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C:\Users\MATRIX\Desktop\progects&amp;notes\"/>
    </mc:Choice>
  </mc:AlternateContent>
  <xr:revisionPtr revIDLastSave="0" documentId="13_ncr:1_{F72E5D5F-0D92-488C-A1E8-FB3F4375EE97}" xr6:coauthVersionLast="45" xr6:coauthVersionMax="45" xr10:uidLastSave="{00000000-0000-0000-0000-000000000000}"/>
  <bookViews>
    <workbookView xWindow="-120" yWindow="-120" windowWidth="20730" windowHeight="11160" activeTab="1" xr2:uid="{00000000-000D-0000-FFFF-FFFF00000000}"/>
  </bookViews>
  <sheets>
    <sheet name="Data" sheetId="2" r:id="rId1"/>
    <sheet name="Dashboard" sheetId="7" r:id="rId2"/>
    <sheet name="lookup" sheetId="4" r:id="rId3"/>
    <sheet name="count_vehicle" sheetId="3" r:id="rId4"/>
    <sheet name="Average_age" sheetId="5" r:id="rId5"/>
    <sheet name="Average of hh" sheetId="6" r:id="rId6"/>
  </sheets>
  <definedNames>
    <definedName name="ExternalData_1" localSheetId="0" hidden="1">Data!$A$1:$G$1785</definedName>
    <definedName name="Slicer_fuel_type_label">#N/A</definedName>
  </definedNames>
  <calcPr calcId="191029"/>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8" i="7" l="1"/>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I2" i="2"/>
  <c r="I3" i="2"/>
  <c r="I4" i="2"/>
  <c r="I5" i="2"/>
  <c r="I6" i="2"/>
  <c r="J6" i="2" s="1" a="1"/>
  <c r="J6" i="2" s="1"/>
  <c r="I7" i="2"/>
  <c r="I8" i="2"/>
  <c r="J8" i="2" s="1" a="1"/>
  <c r="J8" i="2" s="1"/>
  <c r="I9" i="2"/>
  <c r="J9" i="2" s="1" a="1"/>
  <c r="J9" i="2" s="1"/>
  <c r="I10" i="2"/>
  <c r="J10" i="2" s="1" a="1"/>
  <c r="J10" i="2" s="1"/>
  <c r="I11" i="2"/>
  <c r="I12" i="2"/>
  <c r="I13" i="2"/>
  <c r="J13" i="2" s="1" a="1"/>
  <c r="J13" i="2" s="1"/>
  <c r="I14" i="2"/>
  <c r="J14" i="2" s="1" a="1"/>
  <c r="J14" i="2" s="1"/>
  <c r="I15" i="2"/>
  <c r="I16" i="2"/>
  <c r="J16" i="2" s="1" a="1"/>
  <c r="J16" i="2" s="1"/>
  <c r="I17" i="2"/>
  <c r="J17" i="2" s="1" a="1"/>
  <c r="J17" i="2" s="1"/>
  <c r="I18" i="2"/>
  <c r="J18" i="2" s="1" a="1"/>
  <c r="J18" i="2" s="1"/>
  <c r="I19" i="2"/>
  <c r="I20" i="2"/>
  <c r="J20" i="2" s="1" a="1"/>
  <c r="J20" i="2" s="1"/>
  <c r="I21" i="2"/>
  <c r="J21" i="2" s="1" a="1"/>
  <c r="J21" i="2" s="1"/>
  <c r="I22" i="2"/>
  <c r="J22" i="2" s="1" a="1"/>
  <c r="J22" i="2" s="1"/>
  <c r="I23" i="2"/>
  <c r="I24" i="2"/>
  <c r="I25" i="2"/>
  <c r="J25" i="2" s="1" a="1"/>
  <c r="J25" i="2" s="1"/>
  <c r="I26" i="2"/>
  <c r="J26" i="2" s="1" a="1"/>
  <c r="J26" i="2" s="1"/>
  <c r="I27" i="2"/>
  <c r="I28" i="2"/>
  <c r="J28" i="2" s="1" a="1"/>
  <c r="J28" i="2" s="1"/>
  <c r="I29" i="2"/>
  <c r="J29" i="2" s="1" a="1"/>
  <c r="J29" i="2" s="1"/>
  <c r="I30" i="2"/>
  <c r="J30" i="2" s="1" a="1"/>
  <c r="J30" i="2" s="1"/>
  <c r="I31" i="2"/>
  <c r="I32" i="2"/>
  <c r="J32" i="2" s="1" a="1"/>
  <c r="J32" i="2" s="1"/>
  <c r="I33" i="2"/>
  <c r="J33" i="2" s="1" a="1"/>
  <c r="J33" i="2" s="1"/>
  <c r="I34" i="2"/>
  <c r="J34" i="2" s="1" a="1"/>
  <c r="J34" i="2" s="1"/>
  <c r="I35" i="2"/>
  <c r="I36" i="2"/>
  <c r="I37" i="2"/>
  <c r="J37" i="2" s="1" a="1"/>
  <c r="J37" i="2" s="1"/>
  <c r="I38" i="2"/>
  <c r="J38" i="2" s="1" a="1"/>
  <c r="J38" i="2" s="1"/>
  <c r="I39" i="2"/>
  <c r="I40" i="2"/>
  <c r="J40" i="2" s="1" a="1"/>
  <c r="J40" i="2" s="1"/>
  <c r="I41" i="2"/>
  <c r="J41" i="2" s="1" a="1"/>
  <c r="J41" i="2" s="1"/>
  <c r="I42" i="2"/>
  <c r="J42" i="2" s="1" a="1"/>
  <c r="J42" i="2" s="1"/>
  <c r="I43" i="2"/>
  <c r="I44" i="2"/>
  <c r="I45" i="2"/>
  <c r="J45" i="2" s="1" a="1"/>
  <c r="J45" i="2" s="1"/>
  <c r="I46" i="2"/>
  <c r="J46" i="2" s="1" a="1"/>
  <c r="J46" i="2" s="1"/>
  <c r="I47" i="2"/>
  <c r="I48" i="2"/>
  <c r="J48" i="2" s="1" a="1"/>
  <c r="J48" i="2" s="1"/>
  <c r="I49" i="2"/>
  <c r="J49" i="2" s="1" a="1"/>
  <c r="J49" i="2" s="1"/>
  <c r="I50" i="2"/>
  <c r="J50" i="2" s="1" a="1"/>
  <c r="J50" i="2" s="1"/>
  <c r="I51" i="2"/>
  <c r="I52" i="2"/>
  <c r="J52" i="2" s="1" a="1"/>
  <c r="J52" i="2" s="1"/>
  <c r="I53" i="2"/>
  <c r="J53" i="2" s="1" a="1"/>
  <c r="J53" i="2" s="1"/>
  <c r="I54" i="2"/>
  <c r="J54" i="2" s="1" a="1"/>
  <c r="J54" i="2" s="1"/>
  <c r="I55" i="2"/>
  <c r="I56" i="2"/>
  <c r="I57" i="2"/>
  <c r="J57" i="2" s="1" a="1"/>
  <c r="J57" i="2" s="1"/>
  <c r="I58" i="2"/>
  <c r="J58" i="2" s="1" a="1"/>
  <c r="J58" i="2" s="1"/>
  <c r="I59" i="2"/>
  <c r="I60" i="2"/>
  <c r="J60" i="2" s="1" a="1"/>
  <c r="J60" i="2" s="1"/>
  <c r="I61" i="2"/>
  <c r="J61" i="2" s="1" a="1"/>
  <c r="J61" i="2" s="1"/>
  <c r="I62" i="2"/>
  <c r="J62" i="2" s="1" a="1"/>
  <c r="J62" i="2" s="1"/>
  <c r="I63" i="2"/>
  <c r="I64" i="2"/>
  <c r="I65" i="2"/>
  <c r="J65" i="2" s="1" a="1"/>
  <c r="J65" i="2" s="1"/>
  <c r="I66" i="2"/>
  <c r="J66" i="2" s="1" a="1"/>
  <c r="J66" i="2" s="1"/>
  <c r="I67" i="2"/>
  <c r="I68" i="2"/>
  <c r="J68" i="2" s="1" a="1"/>
  <c r="J68" i="2" s="1"/>
  <c r="I69" i="2"/>
  <c r="J69" i="2" s="1" a="1"/>
  <c r="J69" i="2" s="1"/>
  <c r="I70" i="2"/>
  <c r="J70" i="2" s="1" a="1"/>
  <c r="J70" i="2" s="1"/>
  <c r="I71" i="2"/>
  <c r="I72" i="2"/>
  <c r="J72" i="2" s="1" a="1"/>
  <c r="J72" i="2" s="1"/>
  <c r="I73" i="2"/>
  <c r="J73" i="2" s="1" a="1"/>
  <c r="J73" i="2" s="1"/>
  <c r="I74" i="2"/>
  <c r="J74" i="2" s="1" a="1"/>
  <c r="J74" i="2" s="1"/>
  <c r="I75" i="2"/>
  <c r="I76" i="2"/>
  <c r="I77" i="2"/>
  <c r="J77" i="2" s="1" a="1"/>
  <c r="J77" i="2" s="1"/>
  <c r="I78" i="2"/>
  <c r="J78" i="2" s="1" a="1"/>
  <c r="J78" i="2" s="1"/>
  <c r="I79" i="2"/>
  <c r="I80" i="2"/>
  <c r="J80" i="2" s="1" a="1"/>
  <c r="J80" i="2" s="1"/>
  <c r="I81" i="2"/>
  <c r="J81" i="2" s="1" a="1"/>
  <c r="J81" i="2" s="1"/>
  <c r="I82" i="2"/>
  <c r="J82" i="2" s="1" a="1"/>
  <c r="J82" i="2" s="1"/>
  <c r="I83" i="2"/>
  <c r="I84" i="2"/>
  <c r="J84" i="2" s="1" a="1"/>
  <c r="J84" i="2" s="1"/>
  <c r="I85" i="2"/>
  <c r="J85" i="2" s="1" a="1"/>
  <c r="J85" i="2" s="1"/>
  <c r="I86" i="2"/>
  <c r="J86" i="2" s="1" a="1"/>
  <c r="J86" i="2" s="1"/>
  <c r="I87" i="2"/>
  <c r="I88" i="2"/>
  <c r="J88" i="2" s="1" a="1"/>
  <c r="J88" i="2" s="1"/>
  <c r="I89" i="2"/>
  <c r="J89" i="2" s="1" a="1"/>
  <c r="J89" i="2" s="1"/>
  <c r="I90" i="2"/>
  <c r="J90" i="2" s="1" a="1"/>
  <c r="J90" i="2" s="1"/>
  <c r="I91" i="2"/>
  <c r="I92" i="2"/>
  <c r="J92" i="2" s="1" a="1"/>
  <c r="J92" i="2" s="1"/>
  <c r="I93" i="2"/>
  <c r="J93" i="2" s="1" a="1"/>
  <c r="J93" i="2" s="1"/>
  <c r="I94" i="2"/>
  <c r="J94" i="2" s="1" a="1"/>
  <c r="J94" i="2" s="1"/>
  <c r="I95" i="2"/>
  <c r="I96" i="2"/>
  <c r="J96" i="2" s="1" a="1"/>
  <c r="J96" i="2" s="1"/>
  <c r="I97" i="2"/>
  <c r="J97" i="2" s="1" a="1"/>
  <c r="J97" i="2" s="1"/>
  <c r="I98" i="2"/>
  <c r="J98" i="2" s="1" a="1"/>
  <c r="J98" i="2" s="1"/>
  <c r="I99" i="2"/>
  <c r="I100" i="2"/>
  <c r="I101" i="2"/>
  <c r="J101" i="2" s="1" a="1"/>
  <c r="J101" i="2" s="1"/>
  <c r="I102" i="2"/>
  <c r="J102" i="2" s="1" a="1"/>
  <c r="J102" i="2" s="1"/>
  <c r="I103" i="2"/>
  <c r="I104" i="2"/>
  <c r="J104" i="2" s="1" a="1"/>
  <c r="J104" i="2" s="1"/>
  <c r="I105" i="2"/>
  <c r="J105" i="2" s="1" a="1"/>
  <c r="J105" i="2" s="1"/>
  <c r="I106" i="2"/>
  <c r="J106" i="2" s="1" a="1"/>
  <c r="J106" i="2" s="1"/>
  <c r="I107" i="2"/>
  <c r="I108" i="2"/>
  <c r="J108" i="2" s="1" a="1"/>
  <c r="J108" i="2" s="1"/>
  <c r="I109" i="2"/>
  <c r="J109" i="2" s="1" a="1"/>
  <c r="J109" i="2" s="1"/>
  <c r="I110" i="2"/>
  <c r="J110" i="2" s="1" a="1"/>
  <c r="J110" i="2" s="1"/>
  <c r="I111" i="2"/>
  <c r="I112" i="2"/>
  <c r="J112" i="2" s="1" a="1"/>
  <c r="J112" i="2" s="1"/>
  <c r="I113" i="2"/>
  <c r="J113" i="2" s="1" a="1"/>
  <c r="J113" i="2" s="1"/>
  <c r="I114" i="2"/>
  <c r="J114" i="2" s="1" a="1"/>
  <c r="J114" i="2" s="1"/>
  <c r="I115" i="2"/>
  <c r="I116" i="2"/>
  <c r="I117" i="2"/>
  <c r="J117" i="2" s="1" a="1"/>
  <c r="J117" i="2" s="1"/>
  <c r="I118" i="2"/>
  <c r="J118" i="2" s="1" a="1"/>
  <c r="J118" i="2" s="1"/>
  <c r="I119" i="2"/>
  <c r="I120" i="2"/>
  <c r="I121" i="2"/>
  <c r="J121" i="2" s="1" a="1"/>
  <c r="J121" i="2" s="1"/>
  <c r="I122" i="2"/>
  <c r="J122" i="2" s="1" a="1"/>
  <c r="J122" i="2" s="1"/>
  <c r="I123" i="2"/>
  <c r="I124" i="2"/>
  <c r="I125" i="2"/>
  <c r="J125" i="2" s="1" a="1"/>
  <c r="J125" i="2" s="1"/>
  <c r="I126" i="2"/>
  <c r="J126" i="2" s="1" a="1"/>
  <c r="J126" i="2" s="1"/>
  <c r="I127" i="2"/>
  <c r="I128" i="2"/>
  <c r="J128" i="2" s="1" a="1"/>
  <c r="J128" i="2" s="1"/>
  <c r="I129" i="2"/>
  <c r="J129" i="2" s="1" a="1"/>
  <c r="J129" i="2" s="1"/>
  <c r="I130" i="2"/>
  <c r="J130" i="2" s="1" a="1"/>
  <c r="J130" i="2" s="1"/>
  <c r="I131" i="2"/>
  <c r="I132" i="2"/>
  <c r="I133" i="2"/>
  <c r="J133" i="2" s="1" a="1"/>
  <c r="J133" i="2" s="1"/>
  <c r="I134" i="2"/>
  <c r="J134" i="2" s="1" a="1"/>
  <c r="J134" i="2" s="1"/>
  <c r="I135" i="2"/>
  <c r="I136" i="2"/>
  <c r="J136" i="2" s="1" a="1"/>
  <c r="J136" i="2" s="1"/>
  <c r="I137" i="2"/>
  <c r="J137" i="2" s="1" a="1"/>
  <c r="J137" i="2" s="1"/>
  <c r="I138" i="2"/>
  <c r="J138" i="2" s="1" a="1"/>
  <c r="J138" i="2" s="1"/>
  <c r="I139" i="2"/>
  <c r="I140" i="2"/>
  <c r="I141" i="2"/>
  <c r="J141" i="2" s="1" a="1"/>
  <c r="J141" i="2" s="1"/>
  <c r="I142" i="2"/>
  <c r="J142" i="2" s="1" a="1"/>
  <c r="J142" i="2" s="1"/>
  <c r="I143" i="2"/>
  <c r="I144" i="2"/>
  <c r="I145" i="2"/>
  <c r="J145" i="2" s="1" a="1"/>
  <c r="J145" i="2" s="1"/>
  <c r="I146" i="2"/>
  <c r="J146" i="2" s="1" a="1"/>
  <c r="J146" i="2" s="1"/>
  <c r="I147" i="2"/>
  <c r="I148" i="2"/>
  <c r="I149" i="2"/>
  <c r="J149" i="2" s="1" a="1"/>
  <c r="J149" i="2" s="1"/>
  <c r="I150" i="2"/>
  <c r="J150" i="2" s="1" a="1"/>
  <c r="J150" i="2" s="1"/>
  <c r="I151" i="2"/>
  <c r="I152" i="2"/>
  <c r="I153" i="2"/>
  <c r="J153" i="2" s="1" a="1"/>
  <c r="J153" i="2" s="1"/>
  <c r="I154" i="2"/>
  <c r="J154" i="2" s="1" a="1"/>
  <c r="J154" i="2" s="1"/>
  <c r="I155" i="2"/>
  <c r="I156" i="2"/>
  <c r="J156" i="2" s="1" a="1"/>
  <c r="J156" i="2" s="1"/>
  <c r="I157" i="2"/>
  <c r="J157" i="2" s="1" a="1"/>
  <c r="J157" i="2" s="1"/>
  <c r="I158" i="2"/>
  <c r="J158" i="2" s="1" a="1"/>
  <c r="J158" i="2" s="1"/>
  <c r="I159" i="2"/>
  <c r="I160" i="2"/>
  <c r="I161" i="2"/>
  <c r="J161" i="2" s="1" a="1"/>
  <c r="J161" i="2" s="1"/>
  <c r="I162" i="2"/>
  <c r="J162" i="2" s="1" a="1"/>
  <c r="J162" i="2" s="1"/>
  <c r="I163" i="2"/>
  <c r="I164" i="2"/>
  <c r="J164" i="2" s="1" a="1"/>
  <c r="J164" i="2" s="1"/>
  <c r="I165" i="2"/>
  <c r="J165" i="2" s="1" a="1"/>
  <c r="J165" i="2" s="1"/>
  <c r="I166" i="2"/>
  <c r="J166" i="2" s="1" a="1"/>
  <c r="J166" i="2" s="1"/>
  <c r="I167" i="2"/>
  <c r="I168" i="2"/>
  <c r="J168" i="2" s="1" a="1"/>
  <c r="J168" i="2" s="1"/>
  <c r="I169" i="2"/>
  <c r="J169" i="2" s="1" a="1"/>
  <c r="J169" i="2" s="1"/>
  <c r="I170" i="2"/>
  <c r="J170" i="2" s="1" a="1"/>
  <c r="J170" i="2" s="1"/>
  <c r="I171" i="2"/>
  <c r="I172" i="2"/>
  <c r="I173" i="2"/>
  <c r="J173" i="2" s="1" a="1"/>
  <c r="J173" i="2" s="1"/>
  <c r="I174" i="2"/>
  <c r="J174" i="2" s="1" a="1"/>
  <c r="J174" i="2" s="1"/>
  <c r="I175" i="2"/>
  <c r="I176" i="2"/>
  <c r="J176" i="2" s="1" a="1"/>
  <c r="J176" i="2" s="1"/>
  <c r="I177" i="2"/>
  <c r="J177" i="2" s="1" a="1"/>
  <c r="J177" i="2" s="1"/>
  <c r="I178" i="2"/>
  <c r="J178" i="2" s="1" a="1"/>
  <c r="J178" i="2" s="1"/>
  <c r="I179" i="2"/>
  <c r="I180" i="2"/>
  <c r="I181" i="2"/>
  <c r="J181" i="2" s="1" a="1"/>
  <c r="J181" i="2" s="1"/>
  <c r="I182" i="2"/>
  <c r="J182" i="2" s="1" a="1"/>
  <c r="J182" i="2" s="1"/>
  <c r="I183" i="2"/>
  <c r="I184" i="2"/>
  <c r="J184" i="2" s="1" a="1"/>
  <c r="J184" i="2" s="1"/>
  <c r="I185" i="2"/>
  <c r="J185" i="2" s="1" a="1"/>
  <c r="J185" i="2" s="1"/>
  <c r="I186" i="2"/>
  <c r="J186" i="2" s="1" a="1"/>
  <c r="J186" i="2" s="1"/>
  <c r="I187" i="2"/>
  <c r="I188" i="2"/>
  <c r="J188" i="2" s="1" a="1"/>
  <c r="J188" i="2" s="1"/>
  <c r="I189" i="2"/>
  <c r="J189" i="2" s="1" a="1"/>
  <c r="J189" i="2" s="1"/>
  <c r="I190" i="2"/>
  <c r="J190" i="2" s="1" a="1"/>
  <c r="J190" i="2" s="1"/>
  <c r="I191" i="2"/>
  <c r="I192" i="2"/>
  <c r="J192" i="2" s="1" a="1"/>
  <c r="J192" i="2" s="1"/>
  <c r="I193" i="2"/>
  <c r="J193" i="2" s="1" a="1"/>
  <c r="J193" i="2" s="1"/>
  <c r="I194" i="2"/>
  <c r="J194" i="2" s="1" a="1"/>
  <c r="J194" i="2" s="1"/>
  <c r="I195" i="2"/>
  <c r="I196" i="2"/>
  <c r="I197" i="2"/>
  <c r="J197" i="2" s="1" a="1"/>
  <c r="J197" i="2" s="1"/>
  <c r="I198" i="2"/>
  <c r="J198" i="2" s="1" a="1"/>
  <c r="J198" i="2" s="1"/>
  <c r="I199" i="2"/>
  <c r="I200" i="2"/>
  <c r="J200" i="2" s="1" a="1"/>
  <c r="J200" i="2" s="1"/>
  <c r="I201" i="2"/>
  <c r="J201" i="2" s="1" a="1"/>
  <c r="J201" i="2" s="1"/>
  <c r="I202" i="2"/>
  <c r="J202" i="2" s="1" a="1"/>
  <c r="J202" i="2" s="1"/>
  <c r="I203" i="2"/>
  <c r="I204" i="2"/>
  <c r="J204" i="2" s="1" a="1"/>
  <c r="J204" i="2" s="1"/>
  <c r="I205" i="2"/>
  <c r="J205" i="2" s="1" a="1"/>
  <c r="J205" i="2" s="1"/>
  <c r="I206" i="2"/>
  <c r="J206" i="2" s="1" a="1"/>
  <c r="J206" i="2" s="1"/>
  <c r="I207" i="2"/>
  <c r="I208" i="2"/>
  <c r="I209" i="2"/>
  <c r="J209" i="2" s="1" a="1"/>
  <c r="J209" i="2" s="1"/>
  <c r="I210" i="2"/>
  <c r="J210" i="2" s="1" a="1"/>
  <c r="J210" i="2" s="1"/>
  <c r="I211" i="2"/>
  <c r="I212" i="2"/>
  <c r="J212" i="2" s="1" a="1"/>
  <c r="J212" i="2" s="1"/>
  <c r="I213" i="2"/>
  <c r="J213" i="2" s="1" a="1"/>
  <c r="J213" i="2" s="1"/>
  <c r="I214" i="2"/>
  <c r="J214" i="2" s="1" a="1"/>
  <c r="J214" i="2" s="1"/>
  <c r="I215" i="2"/>
  <c r="I216" i="2"/>
  <c r="I217" i="2"/>
  <c r="J217" i="2" s="1" a="1"/>
  <c r="J217" i="2" s="1"/>
  <c r="I218" i="2"/>
  <c r="J218" i="2" s="1" a="1"/>
  <c r="J218" i="2" s="1"/>
  <c r="I219" i="2"/>
  <c r="I220" i="2"/>
  <c r="J220" i="2" s="1" a="1"/>
  <c r="J220" i="2" s="1"/>
  <c r="I221" i="2"/>
  <c r="J221" i="2" s="1" a="1"/>
  <c r="J221" i="2" s="1"/>
  <c r="I222" i="2"/>
  <c r="J222" i="2" s="1" a="1"/>
  <c r="J222" i="2" s="1"/>
  <c r="I223" i="2"/>
  <c r="I224" i="2"/>
  <c r="I225" i="2"/>
  <c r="J225" i="2" s="1" a="1"/>
  <c r="J225" i="2" s="1"/>
  <c r="I226" i="2"/>
  <c r="J226" i="2" s="1" a="1"/>
  <c r="J226" i="2" s="1"/>
  <c r="I227" i="2"/>
  <c r="I228" i="2"/>
  <c r="J228" i="2" s="1" a="1"/>
  <c r="J228" i="2" s="1"/>
  <c r="I229" i="2"/>
  <c r="J229" i="2" s="1" a="1"/>
  <c r="J229" i="2" s="1"/>
  <c r="I230" i="2"/>
  <c r="J230" i="2" s="1" a="1"/>
  <c r="J230" i="2" s="1"/>
  <c r="I231" i="2"/>
  <c r="I232" i="2"/>
  <c r="J232" i="2" s="1" a="1"/>
  <c r="J232" i="2" s="1"/>
  <c r="I233" i="2"/>
  <c r="J233" i="2" s="1" a="1"/>
  <c r="J233" i="2" s="1"/>
  <c r="I234" i="2"/>
  <c r="J234" i="2" s="1" a="1"/>
  <c r="J234" i="2" s="1"/>
  <c r="I235" i="2"/>
  <c r="I236" i="2"/>
  <c r="I237" i="2"/>
  <c r="J237" i="2" s="1" a="1"/>
  <c r="J237" i="2" s="1"/>
  <c r="I238" i="2"/>
  <c r="J238" i="2" s="1" a="1"/>
  <c r="J238" i="2" s="1"/>
  <c r="I239" i="2"/>
  <c r="I240" i="2"/>
  <c r="I241" i="2"/>
  <c r="J241" i="2" s="1" a="1"/>
  <c r="J241" i="2" s="1"/>
  <c r="I242" i="2"/>
  <c r="J242" i="2" s="1" a="1"/>
  <c r="J242" i="2" s="1"/>
  <c r="I243" i="2"/>
  <c r="I244" i="2"/>
  <c r="I245" i="2"/>
  <c r="J245" i="2" s="1" a="1"/>
  <c r="J245" i="2" s="1"/>
  <c r="I246" i="2"/>
  <c r="J246" i="2" s="1" a="1"/>
  <c r="J246" i="2" s="1"/>
  <c r="I247" i="2"/>
  <c r="I248" i="2"/>
  <c r="I249" i="2"/>
  <c r="J249" i="2" s="1" a="1"/>
  <c r="J249" i="2" s="1"/>
  <c r="I250" i="2"/>
  <c r="J250" i="2" s="1" a="1"/>
  <c r="J250" i="2" s="1"/>
  <c r="I251" i="2"/>
  <c r="I252" i="2"/>
  <c r="I253" i="2"/>
  <c r="J253" i="2" s="1" a="1"/>
  <c r="J253" i="2" s="1"/>
  <c r="I254" i="2"/>
  <c r="J254" i="2" s="1" a="1"/>
  <c r="J254" i="2" s="1"/>
  <c r="I255" i="2"/>
  <c r="I256" i="2"/>
  <c r="J256" i="2" s="1" a="1"/>
  <c r="J256" i="2" s="1"/>
  <c r="I257" i="2"/>
  <c r="J257" i="2" s="1" a="1"/>
  <c r="J257" i="2" s="1"/>
  <c r="I258" i="2"/>
  <c r="J258" i="2" s="1" a="1"/>
  <c r="J258" i="2" s="1"/>
  <c r="I259" i="2"/>
  <c r="I260" i="2"/>
  <c r="J260" i="2" s="1" a="1"/>
  <c r="J260" i="2" s="1"/>
  <c r="I261" i="2"/>
  <c r="J261" i="2" s="1" a="1"/>
  <c r="J261" i="2" s="1"/>
  <c r="I262" i="2"/>
  <c r="J262" i="2" s="1" a="1"/>
  <c r="J262" i="2" s="1"/>
  <c r="I263" i="2"/>
  <c r="I264" i="2"/>
  <c r="J264" i="2" s="1" a="1"/>
  <c r="J264" i="2" s="1"/>
  <c r="I265" i="2"/>
  <c r="J265" i="2" s="1" a="1"/>
  <c r="J265" i="2" s="1"/>
  <c r="I266" i="2"/>
  <c r="J266" i="2" s="1" a="1"/>
  <c r="J266" i="2" s="1"/>
  <c r="I267" i="2"/>
  <c r="I268" i="2"/>
  <c r="I269" i="2"/>
  <c r="J269" i="2" s="1" a="1"/>
  <c r="J269" i="2" s="1"/>
  <c r="I270" i="2"/>
  <c r="J270" i="2" s="1" a="1"/>
  <c r="J270" i="2" s="1"/>
  <c r="I271" i="2"/>
  <c r="I272" i="2"/>
  <c r="J272" i="2" s="1" a="1"/>
  <c r="J272" i="2" s="1"/>
  <c r="I273" i="2"/>
  <c r="J273" i="2" s="1" a="1"/>
  <c r="J273" i="2" s="1"/>
  <c r="I274" i="2"/>
  <c r="J274" i="2" s="1" a="1"/>
  <c r="J274" i="2" s="1"/>
  <c r="I275" i="2"/>
  <c r="I276" i="2"/>
  <c r="I277" i="2"/>
  <c r="J277" i="2" s="1" a="1"/>
  <c r="J277" i="2" s="1"/>
  <c r="I278" i="2"/>
  <c r="J278" i="2" s="1" a="1"/>
  <c r="J278" i="2" s="1"/>
  <c r="I279" i="2"/>
  <c r="I280" i="2"/>
  <c r="J280" i="2" s="1" a="1"/>
  <c r="J280" i="2" s="1"/>
  <c r="I281" i="2"/>
  <c r="J281" i="2" s="1" a="1"/>
  <c r="J281" i="2" s="1"/>
  <c r="I282" i="2"/>
  <c r="J282" i="2" s="1" a="1"/>
  <c r="J282" i="2" s="1"/>
  <c r="I283" i="2"/>
  <c r="I284" i="2"/>
  <c r="J284" i="2" s="1" a="1"/>
  <c r="J284" i="2" s="1"/>
  <c r="I285" i="2"/>
  <c r="J285" i="2" s="1" a="1"/>
  <c r="J285" i="2" s="1"/>
  <c r="I286" i="2"/>
  <c r="J286" i="2" s="1" a="1"/>
  <c r="J286" i="2" s="1"/>
  <c r="I287" i="2"/>
  <c r="I288" i="2"/>
  <c r="J288" i="2" s="1" a="1"/>
  <c r="J288" i="2" s="1"/>
  <c r="I289" i="2"/>
  <c r="J289" i="2" s="1" a="1"/>
  <c r="J289" i="2" s="1"/>
  <c r="I290" i="2"/>
  <c r="J290" i="2" s="1" a="1"/>
  <c r="J290" i="2" s="1"/>
  <c r="I291" i="2"/>
  <c r="I292" i="2"/>
  <c r="J292" i="2" s="1" a="1"/>
  <c r="J292" i="2" s="1"/>
  <c r="I293" i="2"/>
  <c r="J293" i="2" s="1" a="1"/>
  <c r="J293" i="2" s="1"/>
  <c r="I294" i="2"/>
  <c r="J294" i="2" s="1" a="1"/>
  <c r="J294" i="2" s="1"/>
  <c r="I295" i="2"/>
  <c r="I296" i="2"/>
  <c r="J296" i="2" s="1" a="1"/>
  <c r="J296" i="2" s="1"/>
  <c r="I297" i="2"/>
  <c r="J297" i="2" s="1" a="1"/>
  <c r="J297" i="2" s="1"/>
  <c r="I298" i="2"/>
  <c r="J298" i="2" s="1" a="1"/>
  <c r="J298" i="2" s="1"/>
  <c r="I299" i="2"/>
  <c r="I300" i="2"/>
  <c r="J300" i="2" s="1" a="1"/>
  <c r="J300" i="2" s="1"/>
  <c r="I301" i="2"/>
  <c r="J301" i="2" s="1" a="1"/>
  <c r="J301" i="2" s="1"/>
  <c r="I302" i="2"/>
  <c r="J302" i="2" s="1" a="1"/>
  <c r="J302" i="2" s="1"/>
  <c r="I303" i="2"/>
  <c r="I304" i="2"/>
  <c r="I305" i="2"/>
  <c r="J305" i="2" s="1" a="1"/>
  <c r="J305" i="2" s="1"/>
  <c r="I306" i="2"/>
  <c r="J306" i="2" s="1" a="1"/>
  <c r="J306" i="2" s="1"/>
  <c r="I307" i="2"/>
  <c r="I308" i="2"/>
  <c r="J308" i="2" s="1" a="1"/>
  <c r="J308" i="2" s="1"/>
  <c r="I309" i="2"/>
  <c r="J309" i="2" s="1" a="1"/>
  <c r="J309" i="2" s="1"/>
  <c r="I310" i="2"/>
  <c r="J310" i="2" s="1" a="1"/>
  <c r="J310" i="2" s="1"/>
  <c r="I311" i="2"/>
  <c r="I312" i="2"/>
  <c r="I313" i="2"/>
  <c r="J313" i="2" s="1" a="1"/>
  <c r="J313" i="2" s="1"/>
  <c r="I314" i="2"/>
  <c r="J314" i="2" s="1" a="1"/>
  <c r="J314" i="2" s="1"/>
  <c r="I315" i="2"/>
  <c r="I316" i="2"/>
  <c r="J316" i="2" s="1" a="1"/>
  <c r="J316" i="2" s="1"/>
  <c r="I317" i="2"/>
  <c r="J317" i="2" s="1" a="1"/>
  <c r="J317" i="2" s="1"/>
  <c r="I318" i="2"/>
  <c r="J318" i="2" s="1" a="1"/>
  <c r="J318" i="2" s="1"/>
  <c r="I319" i="2"/>
  <c r="I320" i="2"/>
  <c r="J320" i="2" s="1" a="1"/>
  <c r="J320" i="2" s="1"/>
  <c r="I321" i="2"/>
  <c r="J321" i="2" s="1" a="1"/>
  <c r="J321" i="2" s="1"/>
  <c r="I322" i="2"/>
  <c r="J322" i="2" s="1" a="1"/>
  <c r="J322" i="2" s="1"/>
  <c r="I323" i="2"/>
  <c r="I324" i="2"/>
  <c r="I325" i="2"/>
  <c r="J325" i="2" s="1" a="1"/>
  <c r="J325" i="2" s="1"/>
  <c r="I326" i="2"/>
  <c r="J326" i="2" s="1" a="1"/>
  <c r="J326" i="2" s="1"/>
  <c r="I327" i="2"/>
  <c r="I328" i="2"/>
  <c r="J328" i="2" s="1" a="1"/>
  <c r="J328" i="2" s="1"/>
  <c r="I329" i="2"/>
  <c r="J329" i="2" s="1" a="1"/>
  <c r="J329" i="2" s="1"/>
  <c r="I330" i="2"/>
  <c r="J330" i="2" s="1" a="1"/>
  <c r="J330" i="2" s="1"/>
  <c r="I331" i="2"/>
  <c r="I332" i="2"/>
  <c r="I333" i="2"/>
  <c r="J333" i="2" s="1" a="1"/>
  <c r="J333" i="2" s="1"/>
  <c r="I334" i="2"/>
  <c r="J334" i="2" s="1" a="1"/>
  <c r="J334" i="2" s="1"/>
  <c r="I335" i="2"/>
  <c r="I336" i="2"/>
  <c r="J336" i="2" s="1" a="1"/>
  <c r="J336" i="2" s="1"/>
  <c r="I337" i="2"/>
  <c r="J337" i="2" s="1" a="1"/>
  <c r="J337" i="2" s="1"/>
  <c r="I338" i="2"/>
  <c r="J338" i="2" s="1" a="1"/>
  <c r="J338" i="2" s="1"/>
  <c r="I339" i="2"/>
  <c r="I340" i="2"/>
  <c r="J340" i="2" s="1" a="1"/>
  <c r="J340" i="2" s="1"/>
  <c r="I341" i="2"/>
  <c r="J341" i="2" s="1" a="1"/>
  <c r="J341" i="2" s="1"/>
  <c r="I342" i="2"/>
  <c r="J342" i="2" s="1" a="1"/>
  <c r="J342" i="2" s="1"/>
  <c r="I343" i="2"/>
  <c r="I344" i="2"/>
  <c r="J344" i="2" s="1" a="1"/>
  <c r="J344" i="2" s="1"/>
  <c r="I345" i="2"/>
  <c r="J345" i="2" s="1" a="1"/>
  <c r="J345" i="2" s="1"/>
  <c r="I346" i="2"/>
  <c r="J346" i="2" s="1" a="1"/>
  <c r="J346" i="2" s="1"/>
  <c r="I347" i="2"/>
  <c r="I348" i="2"/>
  <c r="J348" i="2" s="1" a="1"/>
  <c r="J348" i="2" s="1"/>
  <c r="I349" i="2"/>
  <c r="J349" i="2" s="1" a="1"/>
  <c r="J349" i="2" s="1"/>
  <c r="I350" i="2"/>
  <c r="J350" i="2" s="1" a="1"/>
  <c r="J350" i="2" s="1"/>
  <c r="I351" i="2"/>
  <c r="I352" i="2"/>
  <c r="J352" i="2" s="1" a="1"/>
  <c r="J352" i="2" s="1"/>
  <c r="I353" i="2"/>
  <c r="J353" i="2" s="1" a="1"/>
  <c r="J353" i="2" s="1"/>
  <c r="I354" i="2"/>
  <c r="J354" i="2" s="1" a="1"/>
  <c r="J354" i="2" s="1"/>
  <c r="I355" i="2"/>
  <c r="I356" i="2"/>
  <c r="J356" i="2" s="1" a="1"/>
  <c r="J356" i="2" s="1"/>
  <c r="I357" i="2"/>
  <c r="J357" i="2" s="1" a="1"/>
  <c r="J357" i="2" s="1"/>
  <c r="I358" i="2"/>
  <c r="J358" i="2" s="1" a="1"/>
  <c r="J358" i="2" s="1"/>
  <c r="I359" i="2"/>
  <c r="I360" i="2"/>
  <c r="J360" i="2" s="1" a="1"/>
  <c r="J360" i="2" s="1"/>
  <c r="I361" i="2"/>
  <c r="J361" i="2" s="1" a="1"/>
  <c r="J361" i="2" s="1"/>
  <c r="I362" i="2"/>
  <c r="J362" i="2" s="1" a="1"/>
  <c r="J362" i="2" s="1"/>
  <c r="I363" i="2"/>
  <c r="I364" i="2"/>
  <c r="J364" i="2" s="1" a="1"/>
  <c r="J364" i="2" s="1"/>
  <c r="I365" i="2"/>
  <c r="J365" i="2" s="1" a="1"/>
  <c r="J365" i="2" s="1"/>
  <c r="I366" i="2"/>
  <c r="J366" i="2" s="1" a="1"/>
  <c r="J366" i="2" s="1"/>
  <c r="I367" i="2"/>
  <c r="I368" i="2"/>
  <c r="I369" i="2"/>
  <c r="J369" i="2" s="1" a="1"/>
  <c r="J369" i="2" s="1"/>
  <c r="I370" i="2"/>
  <c r="J370" i="2" s="1" a="1"/>
  <c r="J370" i="2" s="1"/>
  <c r="I371" i="2"/>
  <c r="I372" i="2"/>
  <c r="J372" i="2" s="1" a="1"/>
  <c r="J372" i="2" s="1"/>
  <c r="I373" i="2"/>
  <c r="J373" i="2" s="1" a="1"/>
  <c r="J373" i="2" s="1"/>
  <c r="I374" i="2"/>
  <c r="J374" i="2" s="1" a="1"/>
  <c r="J374" i="2" s="1"/>
  <c r="I375" i="2"/>
  <c r="I376" i="2"/>
  <c r="I377" i="2"/>
  <c r="J377" i="2" s="1" a="1"/>
  <c r="J377" i="2" s="1"/>
  <c r="I378" i="2"/>
  <c r="J378" i="2" s="1" a="1"/>
  <c r="J378" i="2" s="1"/>
  <c r="I379" i="2"/>
  <c r="I380" i="2"/>
  <c r="J380" i="2" s="1" a="1"/>
  <c r="J380" i="2" s="1"/>
  <c r="I381" i="2"/>
  <c r="J381" i="2" s="1" a="1"/>
  <c r="J381" i="2" s="1"/>
  <c r="I382" i="2"/>
  <c r="J382" i="2" s="1" a="1"/>
  <c r="J382" i="2" s="1"/>
  <c r="I383" i="2"/>
  <c r="I384" i="2"/>
  <c r="I385" i="2"/>
  <c r="J385" i="2" s="1" a="1"/>
  <c r="J385" i="2" s="1"/>
  <c r="I386" i="2"/>
  <c r="J386" i="2" s="1" a="1"/>
  <c r="J386" i="2" s="1"/>
  <c r="I387" i="2"/>
  <c r="I388" i="2"/>
  <c r="J388" i="2" s="1" a="1"/>
  <c r="J388" i="2" s="1"/>
  <c r="I389" i="2"/>
  <c r="J389" i="2" s="1" a="1"/>
  <c r="J389" i="2" s="1"/>
  <c r="I390" i="2"/>
  <c r="J390" i="2" s="1" a="1"/>
  <c r="J390" i="2" s="1"/>
  <c r="I391" i="2"/>
  <c r="I392" i="2"/>
  <c r="I393" i="2"/>
  <c r="J393" i="2" s="1" a="1"/>
  <c r="J393" i="2" s="1"/>
  <c r="I394" i="2"/>
  <c r="J394" i="2" s="1" a="1"/>
  <c r="J394" i="2" s="1"/>
  <c r="I395" i="2"/>
  <c r="I396" i="2"/>
  <c r="J396" i="2" s="1" a="1"/>
  <c r="J396" i="2" s="1"/>
  <c r="I397" i="2"/>
  <c r="J397" i="2" s="1" a="1"/>
  <c r="J397" i="2" s="1"/>
  <c r="I398" i="2"/>
  <c r="J398" i="2" s="1" a="1"/>
  <c r="J398" i="2" s="1"/>
  <c r="I399" i="2"/>
  <c r="I400" i="2"/>
  <c r="J400" i="2" s="1" a="1"/>
  <c r="J400" i="2" s="1"/>
  <c r="I401" i="2"/>
  <c r="J401" i="2" s="1" a="1"/>
  <c r="J401" i="2" s="1"/>
  <c r="I402" i="2"/>
  <c r="J402" i="2" s="1" a="1"/>
  <c r="J402" i="2" s="1"/>
  <c r="I403" i="2"/>
  <c r="I404" i="2"/>
  <c r="I405" i="2"/>
  <c r="J405" i="2" s="1" a="1"/>
  <c r="J405" i="2" s="1"/>
  <c r="I406" i="2"/>
  <c r="J406" i="2" s="1" a="1"/>
  <c r="J406" i="2" s="1"/>
  <c r="I407" i="2"/>
  <c r="I408" i="2"/>
  <c r="J408" i="2" s="1" a="1"/>
  <c r="J408" i="2" s="1"/>
  <c r="I409" i="2"/>
  <c r="J409" i="2" s="1" a="1"/>
  <c r="J409" i="2" s="1"/>
  <c r="I410" i="2"/>
  <c r="J410" i="2" s="1" a="1"/>
  <c r="J410" i="2" s="1"/>
  <c r="I411" i="2"/>
  <c r="I412" i="2"/>
  <c r="I413" i="2"/>
  <c r="J413" i="2" s="1" a="1"/>
  <c r="J413" i="2" s="1"/>
  <c r="I414" i="2"/>
  <c r="J414" i="2" s="1" a="1"/>
  <c r="J414" i="2" s="1"/>
  <c r="I415" i="2"/>
  <c r="I416" i="2"/>
  <c r="J416" i="2" s="1" a="1"/>
  <c r="J416" i="2" s="1"/>
  <c r="I417" i="2"/>
  <c r="J417" i="2" s="1" a="1"/>
  <c r="J417" i="2" s="1"/>
  <c r="I418" i="2"/>
  <c r="J418" i="2" s="1" a="1"/>
  <c r="J418" i="2" s="1"/>
  <c r="I419" i="2"/>
  <c r="I420" i="2"/>
  <c r="J420" i="2" s="1" a="1"/>
  <c r="J420" i="2" s="1"/>
  <c r="I421" i="2"/>
  <c r="J421" i="2" s="1" a="1"/>
  <c r="J421" i="2" s="1"/>
  <c r="I422" i="2"/>
  <c r="J422" i="2" s="1" a="1"/>
  <c r="J422" i="2" s="1"/>
  <c r="I423" i="2"/>
  <c r="I424" i="2"/>
  <c r="J424" i="2" s="1" a="1"/>
  <c r="J424" i="2" s="1"/>
  <c r="I425" i="2"/>
  <c r="J425" i="2" s="1" a="1"/>
  <c r="J425" i="2" s="1"/>
  <c r="I426" i="2"/>
  <c r="J426" i="2" s="1" a="1"/>
  <c r="J426" i="2" s="1"/>
  <c r="I427" i="2"/>
  <c r="I428" i="2"/>
  <c r="I429" i="2"/>
  <c r="J429" i="2" s="1" a="1"/>
  <c r="J429" i="2" s="1"/>
  <c r="I430" i="2"/>
  <c r="J430" i="2" s="1" a="1"/>
  <c r="J430" i="2" s="1"/>
  <c r="I431" i="2"/>
  <c r="I432" i="2"/>
  <c r="I433" i="2"/>
  <c r="J433" i="2" s="1" a="1"/>
  <c r="J433" i="2" s="1"/>
  <c r="I434" i="2"/>
  <c r="J434" i="2" s="1" a="1"/>
  <c r="J434" i="2" s="1"/>
  <c r="I435" i="2"/>
  <c r="I436" i="2"/>
  <c r="I437" i="2"/>
  <c r="J437" i="2" s="1" a="1"/>
  <c r="J437" i="2" s="1"/>
  <c r="I438" i="2"/>
  <c r="J438" i="2" s="1" a="1"/>
  <c r="J438" i="2" s="1"/>
  <c r="I439" i="2"/>
  <c r="I440" i="2"/>
  <c r="I441" i="2"/>
  <c r="J441" i="2" s="1" a="1"/>
  <c r="J441" i="2" s="1"/>
  <c r="I442" i="2"/>
  <c r="J442" i="2" s="1" a="1"/>
  <c r="J442" i="2" s="1"/>
  <c r="I443" i="2"/>
  <c r="I444" i="2"/>
  <c r="I445" i="2"/>
  <c r="J445" i="2" s="1" a="1"/>
  <c r="J445" i="2" s="1"/>
  <c r="I446" i="2"/>
  <c r="J446" i="2" s="1" a="1"/>
  <c r="J446" i="2" s="1"/>
  <c r="I447" i="2"/>
  <c r="I448" i="2"/>
  <c r="I449" i="2"/>
  <c r="J449" i="2" s="1" a="1"/>
  <c r="J449" i="2" s="1"/>
  <c r="I450" i="2"/>
  <c r="J450" i="2" s="1" a="1"/>
  <c r="J450" i="2" s="1"/>
  <c r="I451" i="2"/>
  <c r="I452" i="2"/>
  <c r="I453" i="2"/>
  <c r="J453" i="2" s="1" a="1"/>
  <c r="J453" i="2" s="1"/>
  <c r="I454" i="2"/>
  <c r="J454" i="2" s="1" a="1"/>
  <c r="J454" i="2" s="1"/>
  <c r="I455" i="2"/>
  <c r="I456" i="2"/>
  <c r="I457" i="2"/>
  <c r="J457" i="2" s="1" a="1"/>
  <c r="J457" i="2" s="1"/>
  <c r="I458" i="2"/>
  <c r="J458" i="2" s="1" a="1"/>
  <c r="J458" i="2" s="1"/>
  <c r="I459" i="2"/>
  <c r="I460" i="2"/>
  <c r="J460" i="2" s="1" a="1"/>
  <c r="J460" i="2" s="1"/>
  <c r="I461" i="2"/>
  <c r="J461" i="2" s="1" a="1"/>
  <c r="J461" i="2" s="1"/>
  <c r="I462" i="2"/>
  <c r="J462" i="2" s="1" a="1"/>
  <c r="J462" i="2" s="1"/>
  <c r="I463" i="2"/>
  <c r="I464" i="2"/>
  <c r="J464" i="2" s="1" a="1"/>
  <c r="J464" i="2" s="1"/>
  <c r="I465" i="2"/>
  <c r="J465" i="2" s="1" a="1"/>
  <c r="J465" i="2" s="1"/>
  <c r="I466" i="2"/>
  <c r="J466" i="2" s="1" a="1"/>
  <c r="J466" i="2" s="1"/>
  <c r="I467" i="2"/>
  <c r="I468" i="2"/>
  <c r="I469" i="2"/>
  <c r="J469" i="2" s="1" a="1"/>
  <c r="J469" i="2" s="1"/>
  <c r="I470" i="2"/>
  <c r="J470" i="2" s="1" a="1"/>
  <c r="J470" i="2" s="1"/>
  <c r="I471" i="2"/>
  <c r="I472" i="2"/>
  <c r="J472" i="2" s="1" a="1"/>
  <c r="J472" i="2" s="1"/>
  <c r="I473" i="2"/>
  <c r="J473" i="2" s="1" a="1"/>
  <c r="J473" i="2" s="1"/>
  <c r="I474" i="2"/>
  <c r="J474" i="2" s="1" a="1"/>
  <c r="J474" i="2" s="1"/>
  <c r="I475" i="2"/>
  <c r="I476" i="2"/>
  <c r="J476" i="2" s="1" a="1"/>
  <c r="J476" i="2" s="1"/>
  <c r="I477" i="2"/>
  <c r="J477" i="2" s="1" a="1"/>
  <c r="J477" i="2" s="1"/>
  <c r="I478" i="2"/>
  <c r="J478" i="2" s="1" a="1"/>
  <c r="J478" i="2" s="1"/>
  <c r="I479" i="2"/>
  <c r="I480" i="2"/>
  <c r="I481" i="2"/>
  <c r="J481" i="2" s="1" a="1"/>
  <c r="J481" i="2" s="1"/>
  <c r="I482" i="2"/>
  <c r="J482" i="2" s="1" a="1"/>
  <c r="J482" i="2" s="1"/>
  <c r="I483" i="2"/>
  <c r="I484" i="2"/>
  <c r="J484" i="2" s="1" a="1"/>
  <c r="J484" i="2" s="1"/>
  <c r="I485" i="2"/>
  <c r="J485" i="2" s="1" a="1"/>
  <c r="J485" i="2" s="1"/>
  <c r="I486" i="2"/>
  <c r="J486" i="2" s="1" a="1"/>
  <c r="J486" i="2" s="1"/>
  <c r="I487" i="2"/>
  <c r="I488" i="2"/>
  <c r="J488" i="2" s="1" a="1"/>
  <c r="J488" i="2" s="1"/>
  <c r="I489" i="2"/>
  <c r="J489" i="2" s="1" a="1"/>
  <c r="J489" i="2" s="1"/>
  <c r="I490" i="2"/>
  <c r="J490" i="2" s="1" a="1"/>
  <c r="J490" i="2" s="1"/>
  <c r="I491" i="2"/>
  <c r="I492" i="2"/>
  <c r="J492" i="2" s="1" a="1"/>
  <c r="J492" i="2" s="1"/>
  <c r="I493" i="2"/>
  <c r="J493" i="2" s="1" a="1"/>
  <c r="J493" i="2" s="1"/>
  <c r="I494" i="2"/>
  <c r="J494" i="2" s="1" a="1"/>
  <c r="J494" i="2" s="1"/>
  <c r="I495" i="2"/>
  <c r="I496" i="2"/>
  <c r="I497" i="2"/>
  <c r="J497" i="2" s="1" a="1"/>
  <c r="J497" i="2" s="1"/>
  <c r="I498" i="2"/>
  <c r="J498" i="2" s="1" a="1"/>
  <c r="J498" i="2" s="1"/>
  <c r="I499" i="2"/>
  <c r="I500" i="2"/>
  <c r="J500" i="2" s="1" a="1"/>
  <c r="J500" i="2" s="1"/>
  <c r="I501" i="2"/>
  <c r="J501" i="2" s="1" a="1"/>
  <c r="J501" i="2" s="1"/>
  <c r="I502" i="2"/>
  <c r="J502" i="2" s="1" a="1"/>
  <c r="J502" i="2" s="1"/>
  <c r="I503" i="2"/>
  <c r="I504" i="2"/>
  <c r="J504" i="2" s="1" a="1"/>
  <c r="J504" i="2" s="1"/>
  <c r="I505" i="2"/>
  <c r="J505" i="2" s="1" a="1"/>
  <c r="J505" i="2" s="1"/>
  <c r="I506" i="2"/>
  <c r="J506" i="2" s="1" a="1"/>
  <c r="J506" i="2" s="1"/>
  <c r="I507" i="2"/>
  <c r="I508" i="2"/>
  <c r="J508" i="2" s="1" a="1"/>
  <c r="J508" i="2" s="1"/>
  <c r="I509" i="2"/>
  <c r="J509" i="2" s="1" a="1"/>
  <c r="J509" i="2" s="1"/>
  <c r="I510" i="2"/>
  <c r="J510" i="2" s="1" a="1"/>
  <c r="J510" i="2" s="1"/>
  <c r="I511" i="2"/>
  <c r="I512" i="2"/>
  <c r="J512" i="2" s="1" a="1"/>
  <c r="J512" i="2" s="1"/>
  <c r="I513" i="2"/>
  <c r="J513" i="2" s="1" a="1"/>
  <c r="J513" i="2" s="1"/>
  <c r="I514" i="2"/>
  <c r="J514" i="2" s="1" a="1"/>
  <c r="J514" i="2" s="1"/>
  <c r="I515" i="2"/>
  <c r="I516" i="2"/>
  <c r="J516" i="2" s="1" a="1"/>
  <c r="J516" i="2" s="1"/>
  <c r="I517" i="2"/>
  <c r="J517" i="2" s="1" a="1"/>
  <c r="J517" i="2" s="1"/>
  <c r="I518" i="2"/>
  <c r="J518" i="2" s="1" a="1"/>
  <c r="J518" i="2" s="1"/>
  <c r="I519" i="2"/>
  <c r="I520" i="2"/>
  <c r="I521" i="2"/>
  <c r="J521" i="2" s="1" a="1"/>
  <c r="J521" i="2" s="1"/>
  <c r="I522" i="2"/>
  <c r="J522" i="2" s="1" a="1"/>
  <c r="J522" i="2" s="1"/>
  <c r="I523" i="2"/>
  <c r="I524" i="2"/>
  <c r="J524" i="2" s="1" a="1"/>
  <c r="J524" i="2" s="1"/>
  <c r="I525" i="2"/>
  <c r="J525" i="2" s="1" a="1"/>
  <c r="J525" i="2" s="1"/>
  <c r="I526" i="2"/>
  <c r="J526" i="2" s="1" a="1"/>
  <c r="J526" i="2" s="1"/>
  <c r="I527" i="2"/>
  <c r="I528" i="2"/>
  <c r="J528" i="2" s="1" a="1"/>
  <c r="J528" i="2" s="1"/>
  <c r="I529" i="2"/>
  <c r="J529" i="2" s="1" a="1"/>
  <c r="J529" i="2" s="1"/>
  <c r="I530" i="2"/>
  <c r="J530" i="2" s="1" a="1"/>
  <c r="J530" i="2" s="1"/>
  <c r="I531" i="2"/>
  <c r="I532" i="2"/>
  <c r="I533" i="2"/>
  <c r="J533" i="2" s="1" a="1"/>
  <c r="J533" i="2" s="1"/>
  <c r="I534" i="2"/>
  <c r="J534" i="2" s="1" a="1"/>
  <c r="J534" i="2" s="1"/>
  <c r="I535" i="2"/>
  <c r="I536" i="2"/>
  <c r="J536" i="2" s="1" a="1"/>
  <c r="J536" i="2" s="1"/>
  <c r="I537" i="2"/>
  <c r="J537" i="2" s="1" a="1"/>
  <c r="J537" i="2" s="1"/>
  <c r="I538" i="2"/>
  <c r="J538" i="2" s="1" a="1"/>
  <c r="J538" i="2" s="1"/>
  <c r="I539" i="2"/>
  <c r="I540" i="2"/>
  <c r="I541" i="2"/>
  <c r="J541" i="2" s="1" a="1"/>
  <c r="J541" i="2" s="1"/>
  <c r="I542" i="2"/>
  <c r="J542" i="2" s="1" a="1"/>
  <c r="J542" i="2" s="1"/>
  <c r="I543" i="2"/>
  <c r="I544" i="2"/>
  <c r="J544" i="2" s="1" a="1"/>
  <c r="J544" i="2" s="1"/>
  <c r="I545" i="2"/>
  <c r="J545" i="2" s="1" a="1"/>
  <c r="J545" i="2" s="1"/>
  <c r="I546" i="2"/>
  <c r="J546" i="2" s="1" a="1"/>
  <c r="J546" i="2" s="1"/>
  <c r="I547" i="2"/>
  <c r="I548" i="2"/>
  <c r="I549" i="2"/>
  <c r="J549" i="2" s="1" a="1"/>
  <c r="J549" i="2" s="1"/>
  <c r="I550" i="2"/>
  <c r="J550" i="2" s="1" a="1"/>
  <c r="J550" i="2" s="1"/>
  <c r="I551" i="2"/>
  <c r="I552" i="2"/>
  <c r="J552" i="2" s="1" a="1"/>
  <c r="J552" i="2" s="1"/>
  <c r="I553" i="2"/>
  <c r="J553" i="2" s="1" a="1"/>
  <c r="J553" i="2" s="1"/>
  <c r="I554" i="2"/>
  <c r="J554" i="2" s="1" a="1"/>
  <c r="J554" i="2" s="1"/>
  <c r="I555" i="2"/>
  <c r="I556" i="2"/>
  <c r="J556" i="2" s="1" a="1"/>
  <c r="J556" i="2" s="1"/>
  <c r="I557" i="2"/>
  <c r="J557" i="2" s="1" a="1"/>
  <c r="J557" i="2" s="1"/>
  <c r="I558" i="2"/>
  <c r="J558" i="2" s="1" a="1"/>
  <c r="J558" i="2" s="1"/>
  <c r="I559" i="2"/>
  <c r="I560" i="2"/>
  <c r="I561" i="2"/>
  <c r="J561" i="2" s="1" a="1"/>
  <c r="J561" i="2" s="1"/>
  <c r="I562" i="2"/>
  <c r="J562" i="2" s="1" a="1"/>
  <c r="J562" i="2" s="1"/>
  <c r="I563" i="2"/>
  <c r="I564" i="2"/>
  <c r="J564" i="2" s="1" a="1"/>
  <c r="J564" i="2" s="1"/>
  <c r="I565" i="2"/>
  <c r="J565" i="2" s="1" a="1"/>
  <c r="J565" i="2" s="1"/>
  <c r="I566" i="2"/>
  <c r="J566" i="2" s="1" a="1"/>
  <c r="J566" i="2" s="1"/>
  <c r="I567" i="2"/>
  <c r="I568" i="2"/>
  <c r="J568" i="2" s="1" a="1"/>
  <c r="J568" i="2" s="1"/>
  <c r="I569" i="2"/>
  <c r="J569" i="2" s="1" a="1"/>
  <c r="J569" i="2" s="1"/>
  <c r="I570" i="2"/>
  <c r="J570" i="2" s="1" a="1"/>
  <c r="J570" i="2" s="1"/>
  <c r="I571" i="2"/>
  <c r="I572" i="2"/>
  <c r="J572" i="2" s="1" a="1"/>
  <c r="J572" i="2" s="1"/>
  <c r="I573" i="2"/>
  <c r="J573" i="2" s="1" a="1"/>
  <c r="J573" i="2" s="1"/>
  <c r="I574" i="2"/>
  <c r="J574" i="2" s="1" a="1"/>
  <c r="J574" i="2" s="1"/>
  <c r="I575" i="2"/>
  <c r="I576" i="2"/>
  <c r="J576" i="2" s="1" a="1"/>
  <c r="J576" i="2" s="1"/>
  <c r="I577" i="2"/>
  <c r="J577" i="2" s="1" a="1"/>
  <c r="J577" i="2" s="1"/>
  <c r="I578" i="2"/>
  <c r="J578" i="2" s="1" a="1"/>
  <c r="J578" i="2" s="1"/>
  <c r="I579" i="2"/>
  <c r="I580" i="2"/>
  <c r="J580" i="2" s="1" a="1"/>
  <c r="J580" i="2" s="1"/>
  <c r="I581" i="2"/>
  <c r="J581" i="2" s="1" a="1"/>
  <c r="J581" i="2" s="1"/>
  <c r="I582" i="2"/>
  <c r="J582" i="2" s="1" a="1"/>
  <c r="J582" i="2" s="1"/>
  <c r="I583" i="2"/>
  <c r="I584" i="2"/>
  <c r="J584" i="2" s="1" a="1"/>
  <c r="J584" i="2" s="1"/>
  <c r="I585" i="2"/>
  <c r="J585" i="2" s="1" a="1"/>
  <c r="J585" i="2" s="1"/>
  <c r="I586" i="2"/>
  <c r="J586" i="2" s="1" a="1"/>
  <c r="J586" i="2" s="1"/>
  <c r="I587" i="2"/>
  <c r="I588" i="2"/>
  <c r="I589" i="2"/>
  <c r="J589" i="2" s="1" a="1"/>
  <c r="J589" i="2" s="1"/>
  <c r="I590" i="2"/>
  <c r="J590" i="2" s="1" a="1"/>
  <c r="J590" i="2" s="1"/>
  <c r="I591" i="2"/>
  <c r="I592" i="2"/>
  <c r="J592" i="2" s="1" a="1"/>
  <c r="J592" i="2" s="1"/>
  <c r="I593" i="2"/>
  <c r="J593" i="2" s="1" a="1"/>
  <c r="J593" i="2" s="1"/>
  <c r="I594" i="2"/>
  <c r="J594" i="2" s="1" a="1"/>
  <c r="J594" i="2" s="1"/>
  <c r="I595" i="2"/>
  <c r="I596" i="2"/>
  <c r="I597" i="2"/>
  <c r="J597" i="2" s="1" a="1"/>
  <c r="J597" i="2" s="1"/>
  <c r="I598" i="2"/>
  <c r="J598" i="2" s="1" a="1"/>
  <c r="J598" i="2" s="1"/>
  <c r="I599" i="2"/>
  <c r="I600" i="2"/>
  <c r="J600" i="2" s="1" a="1"/>
  <c r="J600" i="2" s="1"/>
  <c r="I601" i="2"/>
  <c r="J601" i="2" s="1" a="1"/>
  <c r="J601" i="2" s="1"/>
  <c r="I602" i="2"/>
  <c r="J602" i="2" s="1" a="1"/>
  <c r="J602" i="2" s="1"/>
  <c r="I603" i="2"/>
  <c r="I604" i="2"/>
  <c r="J604" i="2" s="1" a="1"/>
  <c r="J604" i="2" s="1"/>
  <c r="I605" i="2"/>
  <c r="J605" i="2" s="1" a="1"/>
  <c r="J605" i="2" s="1"/>
  <c r="I606" i="2"/>
  <c r="J606" i="2" s="1" a="1"/>
  <c r="J606" i="2" s="1"/>
  <c r="I607" i="2"/>
  <c r="I608" i="2"/>
  <c r="I609" i="2"/>
  <c r="J609" i="2" s="1" a="1"/>
  <c r="J609" i="2" s="1"/>
  <c r="I610" i="2"/>
  <c r="J610" i="2" s="1" a="1"/>
  <c r="J610" i="2" s="1"/>
  <c r="I611" i="2"/>
  <c r="I612" i="2"/>
  <c r="J612" i="2" s="1" a="1"/>
  <c r="J612" i="2" s="1"/>
  <c r="I613" i="2"/>
  <c r="J613" i="2" s="1" a="1"/>
  <c r="J613" i="2" s="1"/>
  <c r="I614" i="2"/>
  <c r="J614" i="2" s="1" a="1"/>
  <c r="J614" i="2" s="1"/>
  <c r="I615" i="2"/>
  <c r="I616" i="2"/>
  <c r="I617" i="2"/>
  <c r="J617" i="2" s="1" a="1"/>
  <c r="J617" i="2" s="1"/>
  <c r="I618" i="2"/>
  <c r="J618" i="2" s="1" a="1"/>
  <c r="J618" i="2" s="1"/>
  <c r="I619" i="2"/>
  <c r="I620" i="2"/>
  <c r="J620" i="2" s="1" a="1"/>
  <c r="J620" i="2" s="1"/>
  <c r="I621" i="2"/>
  <c r="J621" i="2" s="1" a="1"/>
  <c r="J621" i="2" s="1"/>
  <c r="I622" i="2"/>
  <c r="J622" i="2" s="1" a="1"/>
  <c r="J622" i="2" s="1"/>
  <c r="I623" i="2"/>
  <c r="I624" i="2"/>
  <c r="J624" i="2" s="1" a="1"/>
  <c r="J624" i="2" s="1"/>
  <c r="I625" i="2"/>
  <c r="J625" i="2" s="1" a="1"/>
  <c r="J625" i="2" s="1"/>
  <c r="I626" i="2"/>
  <c r="J626" i="2" s="1" a="1"/>
  <c r="J626" i="2" s="1"/>
  <c r="I627" i="2"/>
  <c r="I628" i="2"/>
  <c r="J628" i="2" s="1" a="1"/>
  <c r="J628" i="2" s="1"/>
  <c r="I629" i="2"/>
  <c r="J629" i="2" s="1" a="1"/>
  <c r="J629" i="2" s="1"/>
  <c r="I630" i="2"/>
  <c r="J630" i="2" s="1" a="1"/>
  <c r="J630" i="2" s="1"/>
  <c r="I631" i="2"/>
  <c r="I632" i="2"/>
  <c r="J632" i="2" s="1" a="1"/>
  <c r="J632" i="2" s="1"/>
  <c r="I633" i="2"/>
  <c r="J633" i="2" s="1" a="1"/>
  <c r="J633" i="2" s="1"/>
  <c r="I634" i="2"/>
  <c r="J634" i="2" s="1" a="1"/>
  <c r="J634" i="2" s="1"/>
  <c r="I635" i="2"/>
  <c r="I636" i="2"/>
  <c r="J636" i="2" s="1" a="1"/>
  <c r="J636" i="2" s="1"/>
  <c r="I637" i="2"/>
  <c r="J637" i="2" s="1" a="1"/>
  <c r="J637" i="2" s="1"/>
  <c r="I638" i="2"/>
  <c r="J638" i="2" s="1" a="1"/>
  <c r="J638" i="2" s="1"/>
  <c r="I639" i="2"/>
  <c r="I640" i="2"/>
  <c r="I641" i="2"/>
  <c r="J641" i="2" s="1" a="1"/>
  <c r="J641" i="2" s="1"/>
  <c r="I642" i="2"/>
  <c r="J642" i="2" s="1" a="1"/>
  <c r="J642" i="2" s="1"/>
  <c r="I643" i="2"/>
  <c r="I644" i="2"/>
  <c r="J644" i="2" s="1" a="1"/>
  <c r="J644" i="2" s="1"/>
  <c r="I645" i="2"/>
  <c r="J645" i="2" s="1" a="1"/>
  <c r="J645" i="2" s="1"/>
  <c r="I646" i="2"/>
  <c r="J646" i="2" s="1" a="1"/>
  <c r="J646" i="2" s="1"/>
  <c r="I647" i="2"/>
  <c r="I648" i="2"/>
  <c r="J648" i="2" s="1" a="1"/>
  <c r="J648" i="2" s="1"/>
  <c r="I649" i="2"/>
  <c r="J649" i="2" s="1" a="1"/>
  <c r="J649" i="2" s="1"/>
  <c r="I650" i="2"/>
  <c r="J650" i="2" s="1" a="1"/>
  <c r="J650" i="2" s="1"/>
  <c r="I651" i="2"/>
  <c r="I652" i="2"/>
  <c r="J652" i="2" s="1" a="1"/>
  <c r="J652" i="2" s="1"/>
  <c r="I653" i="2"/>
  <c r="J653" i="2" s="1" a="1"/>
  <c r="J653" i="2" s="1"/>
  <c r="I654" i="2"/>
  <c r="J654" i="2" s="1" a="1"/>
  <c r="J654" i="2" s="1"/>
  <c r="I655" i="2"/>
  <c r="I656" i="2"/>
  <c r="J656" i="2" s="1" a="1"/>
  <c r="J656" i="2" s="1"/>
  <c r="I657" i="2"/>
  <c r="J657" i="2" s="1" a="1"/>
  <c r="J657" i="2" s="1"/>
  <c r="I658" i="2"/>
  <c r="J658" i="2" s="1" a="1"/>
  <c r="J658" i="2" s="1"/>
  <c r="I659" i="2"/>
  <c r="I660" i="2"/>
  <c r="J660" i="2" s="1" a="1"/>
  <c r="J660" i="2" s="1"/>
  <c r="I661" i="2"/>
  <c r="J661" i="2" s="1" a="1"/>
  <c r="J661" i="2" s="1"/>
  <c r="I662" i="2"/>
  <c r="J662" i="2" s="1" a="1"/>
  <c r="J662" i="2" s="1"/>
  <c r="I663" i="2"/>
  <c r="I664" i="2"/>
  <c r="J664" i="2" s="1" a="1"/>
  <c r="J664" i="2" s="1"/>
  <c r="I665" i="2"/>
  <c r="J665" i="2" s="1" a="1"/>
  <c r="J665" i="2" s="1"/>
  <c r="I666" i="2"/>
  <c r="J666" i="2" s="1" a="1"/>
  <c r="J666" i="2" s="1"/>
  <c r="I667" i="2"/>
  <c r="I668" i="2"/>
  <c r="I669" i="2"/>
  <c r="J669" i="2" s="1" a="1"/>
  <c r="J669" i="2" s="1"/>
  <c r="I670" i="2"/>
  <c r="J670" i="2" s="1" a="1"/>
  <c r="J670" i="2" s="1"/>
  <c r="I671" i="2"/>
  <c r="I672" i="2"/>
  <c r="I673" i="2"/>
  <c r="J673" i="2" s="1" a="1"/>
  <c r="J673" i="2" s="1"/>
  <c r="I674" i="2"/>
  <c r="J674" i="2" s="1" a="1"/>
  <c r="J674" i="2" s="1"/>
  <c r="I675" i="2"/>
  <c r="I676" i="2"/>
  <c r="I677" i="2"/>
  <c r="J677" i="2" s="1" a="1"/>
  <c r="J677" i="2" s="1"/>
  <c r="I678" i="2"/>
  <c r="J678" i="2" s="1" a="1"/>
  <c r="J678" i="2" s="1"/>
  <c r="I679" i="2"/>
  <c r="I680" i="2"/>
  <c r="I681" i="2"/>
  <c r="J681" i="2" s="1" a="1"/>
  <c r="J681" i="2" s="1"/>
  <c r="I682" i="2"/>
  <c r="J682" i="2" s="1" a="1"/>
  <c r="J682" i="2" s="1"/>
  <c r="I683" i="2"/>
  <c r="I684" i="2"/>
  <c r="J684" i="2" s="1" a="1"/>
  <c r="J684" i="2" s="1"/>
  <c r="I685" i="2"/>
  <c r="J685" i="2" s="1" a="1"/>
  <c r="J685" i="2" s="1"/>
  <c r="I686" i="2"/>
  <c r="J686" i="2" s="1" a="1"/>
  <c r="J686" i="2" s="1"/>
  <c r="I687" i="2"/>
  <c r="I688" i="2"/>
  <c r="J688" i="2" s="1" a="1"/>
  <c r="J688" i="2" s="1"/>
  <c r="I689" i="2"/>
  <c r="J689" i="2" s="1" a="1"/>
  <c r="J689" i="2" s="1"/>
  <c r="I690" i="2"/>
  <c r="J690" i="2" s="1" a="1"/>
  <c r="J690" i="2" s="1"/>
  <c r="I691" i="2"/>
  <c r="I692" i="2"/>
  <c r="J692" i="2" s="1" a="1"/>
  <c r="J692" i="2" s="1"/>
  <c r="I693" i="2"/>
  <c r="J693" i="2" s="1" a="1"/>
  <c r="J693" i="2" s="1"/>
  <c r="I694" i="2"/>
  <c r="J694" i="2" s="1" a="1"/>
  <c r="J694" i="2" s="1"/>
  <c r="I695" i="2"/>
  <c r="I696" i="2"/>
  <c r="I697" i="2"/>
  <c r="J697" i="2" s="1" a="1"/>
  <c r="J697" i="2" s="1"/>
  <c r="I698" i="2"/>
  <c r="J698" i="2" s="1" a="1"/>
  <c r="J698" i="2" s="1"/>
  <c r="I699" i="2"/>
  <c r="I700" i="2"/>
  <c r="J700" i="2" s="1" a="1"/>
  <c r="J700" i="2" s="1"/>
  <c r="I701" i="2"/>
  <c r="J701" i="2" s="1" a="1"/>
  <c r="J701" i="2" s="1"/>
  <c r="I702" i="2"/>
  <c r="J702" i="2" s="1" a="1"/>
  <c r="J702" i="2" s="1"/>
  <c r="I703" i="2"/>
  <c r="I704" i="2"/>
  <c r="J704" i="2" s="1" a="1"/>
  <c r="J704" i="2" s="1"/>
  <c r="I705" i="2"/>
  <c r="J705" i="2" s="1" a="1"/>
  <c r="J705" i="2" s="1"/>
  <c r="I706" i="2"/>
  <c r="J706" i="2" s="1" a="1"/>
  <c r="J706" i="2" s="1"/>
  <c r="I707" i="2"/>
  <c r="I708" i="2"/>
  <c r="I709" i="2"/>
  <c r="J709" i="2" s="1" a="1"/>
  <c r="J709" i="2" s="1"/>
  <c r="I710" i="2"/>
  <c r="J710" i="2" s="1" a="1"/>
  <c r="J710" i="2" s="1"/>
  <c r="I711" i="2"/>
  <c r="I712" i="2"/>
  <c r="J712" i="2" s="1" a="1"/>
  <c r="J712" i="2" s="1"/>
  <c r="I713" i="2"/>
  <c r="J713" i="2" s="1" a="1"/>
  <c r="J713" i="2" s="1"/>
  <c r="I714" i="2"/>
  <c r="J714" i="2" s="1" a="1"/>
  <c r="J714" i="2" s="1"/>
  <c r="I715" i="2"/>
  <c r="I716" i="2"/>
  <c r="I717" i="2"/>
  <c r="J717" i="2" s="1" a="1"/>
  <c r="J717" i="2" s="1"/>
  <c r="I718" i="2"/>
  <c r="J718" i="2" s="1" a="1"/>
  <c r="J718" i="2" s="1"/>
  <c r="I719" i="2"/>
  <c r="I720" i="2"/>
  <c r="J720" i="2" s="1" a="1"/>
  <c r="J720" i="2" s="1"/>
  <c r="I721" i="2"/>
  <c r="J721" i="2" s="1" a="1"/>
  <c r="J721" i="2" s="1"/>
  <c r="I722" i="2"/>
  <c r="J722" i="2" s="1" a="1"/>
  <c r="J722" i="2" s="1"/>
  <c r="I723" i="2"/>
  <c r="I724" i="2"/>
  <c r="I725" i="2"/>
  <c r="J725" i="2" s="1" a="1"/>
  <c r="J725" i="2" s="1"/>
  <c r="I726" i="2"/>
  <c r="J726" i="2" s="1" a="1"/>
  <c r="J726" i="2" s="1"/>
  <c r="I727" i="2"/>
  <c r="I728" i="2"/>
  <c r="J728" i="2" s="1" a="1"/>
  <c r="J728" i="2" s="1"/>
  <c r="I729" i="2"/>
  <c r="J729" i="2" s="1" a="1"/>
  <c r="J729" i="2" s="1"/>
  <c r="I730" i="2"/>
  <c r="J730" i="2" s="1" a="1"/>
  <c r="J730" i="2" s="1"/>
  <c r="I731" i="2"/>
  <c r="I732" i="2"/>
  <c r="J732" i="2" s="1" a="1"/>
  <c r="J732" i="2" s="1"/>
  <c r="I733" i="2"/>
  <c r="J733" i="2" s="1" a="1"/>
  <c r="J733" i="2" s="1"/>
  <c r="I734" i="2"/>
  <c r="J734" i="2" s="1" a="1"/>
  <c r="J734" i="2" s="1"/>
  <c r="I735" i="2"/>
  <c r="I736" i="2"/>
  <c r="J736" i="2" s="1" a="1"/>
  <c r="J736" i="2" s="1"/>
  <c r="I737" i="2"/>
  <c r="J737" i="2" s="1" a="1"/>
  <c r="J737" i="2" s="1"/>
  <c r="I738" i="2"/>
  <c r="J738" i="2" s="1" a="1"/>
  <c r="J738" i="2" s="1"/>
  <c r="I739" i="2"/>
  <c r="I740" i="2"/>
  <c r="I741" i="2"/>
  <c r="J741" i="2" s="1" a="1"/>
  <c r="J741" i="2" s="1"/>
  <c r="I742" i="2"/>
  <c r="J742" i="2" s="1" a="1"/>
  <c r="J742" i="2" s="1"/>
  <c r="I743" i="2"/>
  <c r="I744" i="2"/>
  <c r="J744" i="2" s="1" a="1"/>
  <c r="J744" i="2" s="1"/>
  <c r="I745" i="2"/>
  <c r="J745" i="2" s="1" a="1"/>
  <c r="J745" i="2" s="1"/>
  <c r="I746" i="2"/>
  <c r="J746" i="2" s="1" a="1"/>
  <c r="J746" i="2" s="1"/>
  <c r="I747" i="2"/>
  <c r="I748" i="2"/>
  <c r="I749" i="2"/>
  <c r="J749" i="2" s="1" a="1"/>
  <c r="J749" i="2" s="1"/>
  <c r="I750" i="2"/>
  <c r="J750" i="2" s="1" a="1"/>
  <c r="J750" i="2" s="1"/>
  <c r="I751" i="2"/>
  <c r="I752" i="2"/>
  <c r="J752" i="2" s="1" a="1"/>
  <c r="J752" i="2" s="1"/>
  <c r="I753" i="2"/>
  <c r="J753" i="2" s="1" a="1"/>
  <c r="J753" i="2" s="1"/>
  <c r="I754" i="2"/>
  <c r="J754" i="2" s="1" a="1"/>
  <c r="J754" i="2" s="1"/>
  <c r="I755" i="2"/>
  <c r="I756" i="2"/>
  <c r="J756" i="2" s="1" a="1"/>
  <c r="J756" i="2" s="1"/>
  <c r="I757" i="2"/>
  <c r="J757" i="2" s="1" a="1"/>
  <c r="J757" i="2" s="1"/>
  <c r="I758" i="2"/>
  <c r="J758" i="2" s="1" a="1"/>
  <c r="J758" i="2" s="1"/>
  <c r="I759" i="2"/>
  <c r="I760" i="2"/>
  <c r="J760" i="2" s="1" a="1"/>
  <c r="J760" i="2" s="1"/>
  <c r="I761" i="2"/>
  <c r="J761" i="2" s="1" a="1"/>
  <c r="J761" i="2" s="1"/>
  <c r="I762" i="2"/>
  <c r="J762" i="2" s="1" a="1"/>
  <c r="J762" i="2" s="1"/>
  <c r="I763" i="2"/>
  <c r="I764" i="2"/>
  <c r="I765" i="2"/>
  <c r="J765" i="2" s="1" a="1"/>
  <c r="J765" i="2" s="1"/>
  <c r="I766" i="2"/>
  <c r="J766" i="2" s="1" a="1"/>
  <c r="J766" i="2" s="1"/>
  <c r="I767" i="2"/>
  <c r="I768" i="2"/>
  <c r="J768" i="2" s="1" a="1"/>
  <c r="J768" i="2" s="1"/>
  <c r="I769" i="2"/>
  <c r="J769" i="2" s="1" a="1"/>
  <c r="J769" i="2" s="1"/>
  <c r="I770" i="2"/>
  <c r="J770" i="2" s="1" a="1"/>
  <c r="J770" i="2" s="1"/>
  <c r="I771" i="2"/>
  <c r="I772" i="2"/>
  <c r="J772" i="2" s="1" a="1"/>
  <c r="J772" i="2" s="1"/>
  <c r="I773" i="2"/>
  <c r="J773" i="2" s="1" a="1"/>
  <c r="J773" i="2" s="1"/>
  <c r="I774" i="2"/>
  <c r="J774" i="2" s="1" a="1"/>
  <c r="J774" i="2" s="1"/>
  <c r="I775" i="2"/>
  <c r="I776" i="2"/>
  <c r="J776" i="2" s="1" a="1"/>
  <c r="J776" i="2" s="1"/>
  <c r="I777" i="2"/>
  <c r="J777" i="2" s="1" a="1"/>
  <c r="J777" i="2" s="1"/>
  <c r="I778" i="2"/>
  <c r="J778" i="2" s="1" a="1"/>
  <c r="J778" i="2" s="1"/>
  <c r="I779" i="2"/>
  <c r="I780" i="2"/>
  <c r="J780" i="2" s="1" a="1"/>
  <c r="J780" i="2" s="1"/>
  <c r="I781" i="2"/>
  <c r="J781" i="2" s="1" a="1"/>
  <c r="J781" i="2" s="1"/>
  <c r="I782" i="2"/>
  <c r="J782" i="2" s="1" a="1"/>
  <c r="J782" i="2" s="1"/>
  <c r="I783" i="2"/>
  <c r="I784" i="2"/>
  <c r="I785" i="2"/>
  <c r="J785" i="2" s="1" a="1"/>
  <c r="J785" i="2" s="1"/>
  <c r="I786" i="2"/>
  <c r="J786" i="2" s="1" a="1"/>
  <c r="J786" i="2" s="1"/>
  <c r="I787" i="2"/>
  <c r="I788" i="2"/>
  <c r="J788" i="2" s="1" a="1"/>
  <c r="J788" i="2" s="1"/>
  <c r="I789" i="2"/>
  <c r="J789" i="2" s="1" a="1"/>
  <c r="J789" i="2" s="1"/>
  <c r="I790" i="2"/>
  <c r="J790" i="2" s="1" a="1"/>
  <c r="J790" i="2" s="1"/>
  <c r="I791" i="2"/>
  <c r="I792" i="2"/>
  <c r="J792" i="2" s="1" a="1"/>
  <c r="J792" i="2" s="1"/>
  <c r="I793" i="2"/>
  <c r="J793" i="2" s="1" a="1"/>
  <c r="J793" i="2" s="1"/>
  <c r="I794" i="2"/>
  <c r="J794" i="2" s="1" a="1"/>
  <c r="J794" i="2" s="1"/>
  <c r="I795" i="2"/>
  <c r="I796" i="2"/>
  <c r="J796" i="2" s="1" a="1"/>
  <c r="J796" i="2" s="1"/>
  <c r="I797" i="2"/>
  <c r="J797" i="2" s="1" a="1"/>
  <c r="J797" i="2" s="1"/>
  <c r="I798" i="2"/>
  <c r="J798" i="2" s="1" a="1"/>
  <c r="J798" i="2" s="1"/>
  <c r="I799" i="2"/>
  <c r="I800" i="2"/>
  <c r="I801" i="2"/>
  <c r="J801" i="2" s="1" a="1"/>
  <c r="J801" i="2" s="1"/>
  <c r="I802" i="2"/>
  <c r="J802" i="2" s="1" a="1"/>
  <c r="J802" i="2" s="1"/>
  <c r="I803" i="2"/>
  <c r="I804" i="2"/>
  <c r="J804" i="2" s="1" a="1"/>
  <c r="J804" i="2" s="1"/>
  <c r="I805" i="2"/>
  <c r="J805" i="2" s="1" a="1"/>
  <c r="J805" i="2" s="1"/>
  <c r="I806" i="2"/>
  <c r="J806" i="2" s="1" a="1"/>
  <c r="J806" i="2" s="1"/>
  <c r="I807" i="2"/>
  <c r="I808" i="2"/>
  <c r="I809" i="2"/>
  <c r="J809" i="2" s="1" a="1"/>
  <c r="J809" i="2" s="1"/>
  <c r="I810" i="2"/>
  <c r="J810" i="2" s="1" a="1"/>
  <c r="J810" i="2" s="1"/>
  <c r="I811" i="2"/>
  <c r="I812" i="2"/>
  <c r="J812" i="2" s="1" a="1"/>
  <c r="J812" i="2" s="1"/>
  <c r="I813" i="2"/>
  <c r="J813" i="2" s="1" a="1"/>
  <c r="J813" i="2" s="1"/>
  <c r="I814" i="2"/>
  <c r="J814" i="2" s="1" a="1"/>
  <c r="J814" i="2" s="1"/>
  <c r="I815" i="2"/>
  <c r="I816" i="2"/>
  <c r="J816" i="2" s="1" a="1"/>
  <c r="J816" i="2" s="1"/>
  <c r="I817" i="2"/>
  <c r="J817" i="2" s="1" a="1"/>
  <c r="J817" i="2" s="1"/>
  <c r="I818" i="2"/>
  <c r="J818" i="2" s="1" a="1"/>
  <c r="J818" i="2" s="1"/>
  <c r="I819" i="2"/>
  <c r="I820" i="2"/>
  <c r="I821" i="2"/>
  <c r="J821" i="2" s="1" a="1"/>
  <c r="J821" i="2" s="1"/>
  <c r="I822" i="2"/>
  <c r="J822" i="2" s="1" a="1"/>
  <c r="J822" i="2" s="1"/>
  <c r="I823" i="2"/>
  <c r="I824" i="2"/>
  <c r="J824" i="2" s="1" a="1"/>
  <c r="J824" i="2" s="1"/>
  <c r="I825" i="2"/>
  <c r="J825" i="2" s="1" a="1"/>
  <c r="J825" i="2" s="1"/>
  <c r="I826" i="2"/>
  <c r="J826" i="2" s="1" a="1"/>
  <c r="J826" i="2" s="1"/>
  <c r="I827" i="2"/>
  <c r="I828" i="2"/>
  <c r="I829" i="2"/>
  <c r="J829" i="2" s="1" a="1"/>
  <c r="J829" i="2" s="1"/>
  <c r="I830" i="2"/>
  <c r="J830" i="2" s="1" a="1"/>
  <c r="J830" i="2" s="1"/>
  <c r="I831" i="2"/>
  <c r="I832" i="2"/>
  <c r="J832" i="2" s="1" a="1"/>
  <c r="J832" i="2" s="1"/>
  <c r="I833" i="2"/>
  <c r="J833" i="2" s="1" a="1"/>
  <c r="J833" i="2" s="1"/>
  <c r="I834" i="2"/>
  <c r="J834" i="2" s="1" a="1"/>
  <c r="J834" i="2" s="1"/>
  <c r="I835" i="2"/>
  <c r="I836" i="2"/>
  <c r="J836" i="2" s="1" a="1"/>
  <c r="J836" i="2" s="1"/>
  <c r="I837" i="2"/>
  <c r="J837" i="2" s="1" a="1"/>
  <c r="J837" i="2" s="1"/>
  <c r="I838" i="2"/>
  <c r="J838" i="2" s="1" a="1"/>
  <c r="J838" i="2" s="1"/>
  <c r="I839" i="2"/>
  <c r="I840" i="2"/>
  <c r="J840" i="2" s="1" a="1"/>
  <c r="J840" i="2" s="1"/>
  <c r="I841" i="2"/>
  <c r="J841" i="2" s="1" a="1"/>
  <c r="J841" i="2" s="1"/>
  <c r="I842" i="2"/>
  <c r="J842" i="2" s="1" a="1"/>
  <c r="J842" i="2" s="1"/>
  <c r="I843" i="2"/>
  <c r="I844" i="2"/>
  <c r="J844" i="2" s="1" a="1"/>
  <c r="J844" i="2" s="1"/>
  <c r="I845" i="2"/>
  <c r="J845" i="2" s="1" a="1"/>
  <c r="J845" i="2" s="1"/>
  <c r="I846" i="2"/>
  <c r="J846" i="2" s="1" a="1"/>
  <c r="J846" i="2" s="1"/>
  <c r="I847" i="2"/>
  <c r="I848" i="2"/>
  <c r="J848" i="2" s="1" a="1"/>
  <c r="J848" i="2" s="1"/>
  <c r="I849" i="2"/>
  <c r="J849" i="2" s="1" a="1"/>
  <c r="J849" i="2" s="1"/>
  <c r="I850" i="2"/>
  <c r="J850" i="2" s="1" a="1"/>
  <c r="J850" i="2" s="1"/>
  <c r="I851" i="2"/>
  <c r="I852" i="2"/>
  <c r="J852" i="2" s="1" a="1"/>
  <c r="J852" i="2" s="1"/>
  <c r="I853" i="2"/>
  <c r="J853" i="2" s="1" a="1"/>
  <c r="J853" i="2" s="1"/>
  <c r="I854" i="2"/>
  <c r="J854" i="2" s="1" a="1"/>
  <c r="J854" i="2" s="1"/>
  <c r="I855" i="2"/>
  <c r="I856" i="2"/>
  <c r="I857" i="2"/>
  <c r="J857" i="2" s="1" a="1"/>
  <c r="J857" i="2" s="1"/>
  <c r="I858" i="2"/>
  <c r="J858" i="2" s="1" a="1"/>
  <c r="J858" i="2" s="1"/>
  <c r="I859" i="2"/>
  <c r="I860" i="2"/>
  <c r="J860" i="2" s="1" a="1"/>
  <c r="J860" i="2" s="1"/>
  <c r="I861" i="2"/>
  <c r="J861" i="2" s="1" a="1"/>
  <c r="J861" i="2" s="1"/>
  <c r="I862" i="2"/>
  <c r="J862" i="2" s="1" a="1"/>
  <c r="J862" i="2" s="1"/>
  <c r="I863" i="2"/>
  <c r="I864" i="2"/>
  <c r="J864" i="2" s="1" a="1"/>
  <c r="J864" i="2" s="1"/>
  <c r="I865" i="2"/>
  <c r="J865" i="2" s="1" a="1"/>
  <c r="J865" i="2" s="1"/>
  <c r="I866" i="2"/>
  <c r="J866" i="2" s="1" a="1"/>
  <c r="J866" i="2" s="1"/>
  <c r="I867" i="2"/>
  <c r="I868" i="2"/>
  <c r="J868" i="2" s="1" a="1"/>
  <c r="J868" i="2" s="1"/>
  <c r="I869" i="2"/>
  <c r="J869" i="2" s="1" a="1"/>
  <c r="J869" i="2" s="1"/>
  <c r="I870" i="2"/>
  <c r="J870" i="2" s="1" a="1"/>
  <c r="J870" i="2" s="1"/>
  <c r="I871" i="2"/>
  <c r="I872" i="2"/>
  <c r="J872" i="2" s="1" a="1"/>
  <c r="J872" i="2" s="1"/>
  <c r="I873" i="2"/>
  <c r="J873" i="2" s="1" a="1"/>
  <c r="J873" i="2" s="1"/>
  <c r="I874" i="2"/>
  <c r="J874" i="2" s="1" a="1"/>
  <c r="J874" i="2" s="1"/>
  <c r="I875" i="2"/>
  <c r="I876" i="2"/>
  <c r="J876" i="2" s="1" a="1"/>
  <c r="J876" i="2" s="1"/>
  <c r="I877" i="2"/>
  <c r="J877" i="2" s="1" a="1"/>
  <c r="J877" i="2" s="1"/>
  <c r="I878" i="2"/>
  <c r="J878" i="2" s="1" a="1"/>
  <c r="J878" i="2" s="1"/>
  <c r="I879" i="2"/>
  <c r="I880" i="2"/>
  <c r="J880" i="2" s="1" a="1"/>
  <c r="J880" i="2" s="1"/>
  <c r="I881" i="2"/>
  <c r="J881" i="2" s="1" a="1"/>
  <c r="J881" i="2" s="1"/>
  <c r="I882" i="2"/>
  <c r="J882" i="2" s="1" a="1"/>
  <c r="J882" i="2" s="1"/>
  <c r="I883" i="2"/>
  <c r="I884" i="2"/>
  <c r="J884" i="2" s="1" a="1"/>
  <c r="J884" i="2" s="1"/>
  <c r="I885" i="2"/>
  <c r="J885" i="2" s="1" a="1"/>
  <c r="J885" i="2" s="1"/>
  <c r="I886" i="2"/>
  <c r="J886" i="2" s="1" a="1"/>
  <c r="J886" i="2" s="1"/>
  <c r="I887" i="2"/>
  <c r="I888" i="2"/>
  <c r="J888" i="2" s="1" a="1"/>
  <c r="J888" i="2" s="1"/>
  <c r="I889" i="2"/>
  <c r="J889" i="2" s="1" a="1"/>
  <c r="J889" i="2" s="1"/>
  <c r="I890" i="2"/>
  <c r="J890" i="2" s="1" a="1"/>
  <c r="J890" i="2" s="1"/>
  <c r="I891" i="2"/>
  <c r="I892" i="2"/>
  <c r="J892" i="2" s="1" a="1"/>
  <c r="J892" i="2" s="1"/>
  <c r="I893" i="2"/>
  <c r="J893" i="2" s="1" a="1"/>
  <c r="J893" i="2" s="1"/>
  <c r="I894" i="2"/>
  <c r="J894" i="2" s="1" a="1"/>
  <c r="J894" i="2" s="1"/>
  <c r="I895" i="2"/>
  <c r="I896" i="2"/>
  <c r="J896" i="2" s="1" a="1"/>
  <c r="J896" i="2" s="1"/>
  <c r="I897" i="2"/>
  <c r="J897" i="2" s="1" a="1"/>
  <c r="J897" i="2" s="1"/>
  <c r="I898" i="2"/>
  <c r="J898" i="2" s="1" a="1"/>
  <c r="J898" i="2" s="1"/>
  <c r="I899" i="2"/>
  <c r="I900" i="2"/>
  <c r="J900" i="2" s="1" a="1"/>
  <c r="J900" i="2" s="1"/>
  <c r="I901" i="2"/>
  <c r="J901" i="2" s="1" a="1"/>
  <c r="J901" i="2" s="1"/>
  <c r="I902" i="2"/>
  <c r="J902" i="2" s="1" a="1"/>
  <c r="J902" i="2" s="1"/>
  <c r="I903" i="2"/>
  <c r="I904" i="2"/>
  <c r="I905" i="2"/>
  <c r="J905" i="2" s="1" a="1"/>
  <c r="J905" i="2" s="1"/>
  <c r="I906" i="2"/>
  <c r="J906" i="2" s="1" a="1"/>
  <c r="J906" i="2" s="1"/>
  <c r="I907" i="2"/>
  <c r="I908" i="2"/>
  <c r="J908" i="2" s="1" a="1"/>
  <c r="J908" i="2" s="1"/>
  <c r="I909" i="2"/>
  <c r="J909" i="2" s="1" a="1"/>
  <c r="J909" i="2" s="1"/>
  <c r="I910" i="2"/>
  <c r="J910" i="2" s="1" a="1"/>
  <c r="J910" i="2" s="1"/>
  <c r="I911" i="2"/>
  <c r="I912" i="2"/>
  <c r="I913" i="2"/>
  <c r="J913" i="2" s="1" a="1"/>
  <c r="J913" i="2" s="1"/>
  <c r="I914" i="2"/>
  <c r="J914" i="2" s="1" a="1"/>
  <c r="J914" i="2" s="1"/>
  <c r="I915" i="2"/>
  <c r="I916" i="2"/>
  <c r="J916" i="2" s="1" a="1"/>
  <c r="J916" i="2" s="1"/>
  <c r="I917" i="2"/>
  <c r="J917" i="2" s="1" a="1"/>
  <c r="J917" i="2" s="1"/>
  <c r="I918" i="2"/>
  <c r="J918" i="2" s="1" a="1"/>
  <c r="J918" i="2" s="1"/>
  <c r="I919" i="2"/>
  <c r="I920" i="2"/>
  <c r="J920" i="2" s="1" a="1"/>
  <c r="J920" i="2" s="1"/>
  <c r="I921" i="2"/>
  <c r="J921" i="2" s="1" a="1"/>
  <c r="J921" i="2" s="1"/>
  <c r="I922" i="2"/>
  <c r="J922" i="2" s="1" a="1"/>
  <c r="J922" i="2" s="1"/>
  <c r="I923" i="2"/>
  <c r="I924" i="2"/>
  <c r="J924" i="2" s="1" a="1"/>
  <c r="J924" i="2" s="1"/>
  <c r="I925" i="2"/>
  <c r="J925" i="2" s="1" a="1"/>
  <c r="J925" i="2" s="1"/>
  <c r="I926" i="2"/>
  <c r="J926" i="2" s="1" a="1"/>
  <c r="J926" i="2" s="1"/>
  <c r="I927" i="2"/>
  <c r="I928" i="2"/>
  <c r="J928" i="2" s="1" a="1"/>
  <c r="J928" i="2" s="1"/>
  <c r="I929" i="2"/>
  <c r="J929" i="2" s="1" a="1"/>
  <c r="J929" i="2" s="1"/>
  <c r="I930" i="2"/>
  <c r="J930" i="2" s="1" a="1"/>
  <c r="J930" i="2" s="1"/>
  <c r="I931" i="2"/>
  <c r="I932" i="2"/>
  <c r="J932" i="2" s="1" a="1"/>
  <c r="J932" i="2" s="1"/>
  <c r="I933" i="2"/>
  <c r="J933" i="2" s="1" a="1"/>
  <c r="J933" i="2" s="1"/>
  <c r="I934" i="2"/>
  <c r="J934" i="2" s="1" a="1"/>
  <c r="J934" i="2" s="1"/>
  <c r="I935" i="2"/>
  <c r="I936" i="2"/>
  <c r="J936" i="2" s="1" a="1"/>
  <c r="J936" i="2" s="1"/>
  <c r="I937" i="2"/>
  <c r="J937" i="2" s="1" a="1"/>
  <c r="J937" i="2" s="1"/>
  <c r="I938" i="2"/>
  <c r="J938" i="2" s="1" a="1"/>
  <c r="J938" i="2" s="1"/>
  <c r="I939" i="2"/>
  <c r="I940" i="2"/>
  <c r="I941" i="2"/>
  <c r="J941" i="2" s="1" a="1"/>
  <c r="J941" i="2" s="1"/>
  <c r="I942" i="2"/>
  <c r="J942" i="2" s="1" a="1"/>
  <c r="J942" i="2" s="1"/>
  <c r="I943" i="2"/>
  <c r="I944" i="2"/>
  <c r="J944" i="2" s="1" a="1"/>
  <c r="J944" i="2" s="1"/>
  <c r="I945" i="2"/>
  <c r="J945" i="2" s="1" a="1"/>
  <c r="J945" i="2" s="1"/>
  <c r="I946" i="2"/>
  <c r="J946" i="2" s="1" a="1"/>
  <c r="J946" i="2" s="1"/>
  <c r="I947" i="2"/>
  <c r="I948" i="2"/>
  <c r="J948" i="2" s="1" a="1"/>
  <c r="J948" i="2" s="1"/>
  <c r="I949" i="2"/>
  <c r="J949" i="2" s="1" a="1"/>
  <c r="J949" i="2" s="1"/>
  <c r="I950" i="2"/>
  <c r="J950" i="2" s="1" a="1"/>
  <c r="J950" i="2" s="1"/>
  <c r="I951" i="2"/>
  <c r="I952" i="2"/>
  <c r="J952" i="2" s="1" a="1"/>
  <c r="J952" i="2" s="1"/>
  <c r="I953" i="2"/>
  <c r="J953" i="2" s="1" a="1"/>
  <c r="J953" i="2" s="1"/>
  <c r="I954" i="2"/>
  <c r="J954" i="2" s="1" a="1"/>
  <c r="J954" i="2" s="1"/>
  <c r="I955" i="2"/>
  <c r="I956" i="2"/>
  <c r="J956" i="2" s="1" a="1"/>
  <c r="J956" i="2" s="1"/>
  <c r="I957" i="2"/>
  <c r="J957" i="2" s="1" a="1"/>
  <c r="J957" i="2" s="1"/>
  <c r="I958" i="2"/>
  <c r="J958" i="2" s="1" a="1"/>
  <c r="J958" i="2" s="1"/>
  <c r="I959" i="2"/>
  <c r="I960" i="2"/>
  <c r="J960" i="2" s="1" a="1"/>
  <c r="J960" i="2" s="1"/>
  <c r="I961" i="2"/>
  <c r="J961" i="2" s="1" a="1"/>
  <c r="J961" i="2" s="1"/>
  <c r="I962" i="2"/>
  <c r="J962" i="2" s="1" a="1"/>
  <c r="J962" i="2" s="1"/>
  <c r="I963" i="2"/>
  <c r="I964" i="2"/>
  <c r="I965" i="2"/>
  <c r="J965" i="2" s="1" a="1"/>
  <c r="J965" i="2" s="1"/>
  <c r="I966" i="2"/>
  <c r="J966" i="2" s="1" a="1"/>
  <c r="J966" i="2" s="1"/>
  <c r="I967" i="2"/>
  <c r="I968" i="2"/>
  <c r="J968" i="2" s="1" a="1"/>
  <c r="J968" i="2" s="1"/>
  <c r="I969" i="2"/>
  <c r="J969" i="2" s="1" a="1"/>
  <c r="J969" i="2" s="1"/>
  <c r="I970" i="2"/>
  <c r="J970" i="2" s="1" a="1"/>
  <c r="J970" i="2" s="1"/>
  <c r="I971" i="2"/>
  <c r="I972" i="2"/>
  <c r="J972" i="2" s="1" a="1"/>
  <c r="J972" i="2" s="1"/>
  <c r="I973" i="2"/>
  <c r="J973" i="2" s="1" a="1"/>
  <c r="J973" i="2" s="1"/>
  <c r="I974" i="2"/>
  <c r="J974" i="2" s="1" a="1"/>
  <c r="J974" i="2" s="1"/>
  <c r="I975" i="2"/>
  <c r="I976" i="2"/>
  <c r="J976" i="2" s="1" a="1"/>
  <c r="J976" i="2" s="1"/>
  <c r="I977" i="2"/>
  <c r="J977" i="2" s="1" a="1"/>
  <c r="J977" i="2" s="1"/>
  <c r="I978" i="2"/>
  <c r="J978" i="2" s="1" a="1"/>
  <c r="J978" i="2" s="1"/>
  <c r="I979" i="2"/>
  <c r="I980" i="2"/>
  <c r="J980" i="2" s="1" a="1"/>
  <c r="J980" i="2" s="1"/>
  <c r="I981" i="2"/>
  <c r="J981" i="2" s="1" a="1"/>
  <c r="J981" i="2" s="1"/>
  <c r="I982" i="2"/>
  <c r="J982" i="2" s="1" a="1"/>
  <c r="J982" i="2" s="1"/>
  <c r="I983" i="2"/>
  <c r="I984" i="2"/>
  <c r="J984" i="2" s="1" a="1"/>
  <c r="J984" i="2" s="1"/>
  <c r="I985" i="2"/>
  <c r="J985" i="2" s="1" a="1"/>
  <c r="J985" i="2" s="1"/>
  <c r="I986" i="2"/>
  <c r="J986" i="2" s="1" a="1"/>
  <c r="J986" i="2" s="1"/>
  <c r="I987" i="2"/>
  <c r="I988" i="2"/>
  <c r="J988" i="2" s="1" a="1"/>
  <c r="J988" i="2" s="1"/>
  <c r="I989" i="2"/>
  <c r="J989" i="2" s="1" a="1"/>
  <c r="J989" i="2" s="1"/>
  <c r="I990" i="2"/>
  <c r="J990" i="2" s="1" a="1"/>
  <c r="J990" i="2" s="1"/>
  <c r="I991" i="2"/>
  <c r="I992" i="2"/>
  <c r="J992" i="2" s="1" a="1"/>
  <c r="J992" i="2" s="1"/>
  <c r="I993" i="2"/>
  <c r="J993" i="2" s="1" a="1"/>
  <c r="J993" i="2" s="1"/>
  <c r="I994" i="2"/>
  <c r="J994" i="2" s="1" a="1"/>
  <c r="J994" i="2" s="1"/>
  <c r="I995" i="2"/>
  <c r="I996" i="2"/>
  <c r="J996" i="2" s="1" a="1"/>
  <c r="J996" i="2" s="1"/>
  <c r="I997" i="2"/>
  <c r="J997" i="2" s="1" a="1"/>
  <c r="J997" i="2" s="1"/>
  <c r="I998" i="2"/>
  <c r="J998" i="2" s="1" a="1"/>
  <c r="J998" i="2" s="1"/>
  <c r="I999" i="2"/>
  <c r="I1000" i="2"/>
  <c r="J1000" i="2" s="1" a="1"/>
  <c r="J1000" i="2" s="1"/>
  <c r="I1001" i="2"/>
  <c r="J1001" i="2" s="1" a="1"/>
  <c r="J1001" i="2" s="1"/>
  <c r="I1002" i="2"/>
  <c r="J1002" i="2" s="1" a="1"/>
  <c r="J1002" i="2" s="1"/>
  <c r="I1003" i="2"/>
  <c r="I1004" i="2"/>
  <c r="I1005" i="2"/>
  <c r="J1005" i="2" s="1" a="1"/>
  <c r="J1005" i="2" s="1"/>
  <c r="I1006" i="2"/>
  <c r="J1006" i="2" s="1" a="1"/>
  <c r="J1006" i="2" s="1"/>
  <c r="I1007" i="2"/>
  <c r="I1008" i="2"/>
  <c r="J1008" i="2" s="1" a="1"/>
  <c r="J1008" i="2" s="1"/>
  <c r="I1009" i="2"/>
  <c r="J1009" i="2" s="1" a="1"/>
  <c r="J1009" i="2" s="1"/>
  <c r="I1010" i="2"/>
  <c r="J1010" i="2" s="1" a="1"/>
  <c r="J1010" i="2" s="1"/>
  <c r="I1011" i="2"/>
  <c r="I1012" i="2"/>
  <c r="J1012" i="2" s="1" a="1"/>
  <c r="J1012" i="2" s="1"/>
  <c r="I1013" i="2"/>
  <c r="J1013" i="2" s="1" a="1"/>
  <c r="J1013" i="2" s="1"/>
  <c r="I1014" i="2"/>
  <c r="J1014" i="2" s="1" a="1"/>
  <c r="J1014" i="2" s="1"/>
  <c r="I1015" i="2"/>
  <c r="I1016" i="2"/>
  <c r="J1016" i="2" s="1" a="1"/>
  <c r="J1016" i="2" s="1"/>
  <c r="I1017" i="2"/>
  <c r="J1017" i="2" s="1" a="1"/>
  <c r="J1017" i="2" s="1"/>
  <c r="I1018" i="2"/>
  <c r="J1018" i="2" s="1" a="1"/>
  <c r="J1018" i="2" s="1"/>
  <c r="I1019" i="2"/>
  <c r="I1020" i="2"/>
  <c r="J1020" i="2" s="1" a="1"/>
  <c r="J1020" i="2" s="1"/>
  <c r="I1021" i="2"/>
  <c r="J1021" i="2" s="1" a="1"/>
  <c r="J1021" i="2" s="1"/>
  <c r="I1022" i="2"/>
  <c r="J1022" i="2" s="1" a="1"/>
  <c r="J1022" i="2" s="1"/>
  <c r="I1023" i="2"/>
  <c r="I1024" i="2"/>
  <c r="I1025" i="2"/>
  <c r="J1025" i="2" s="1" a="1"/>
  <c r="J1025" i="2" s="1"/>
  <c r="I1026" i="2"/>
  <c r="J1026" i="2" s="1" a="1"/>
  <c r="J1026" i="2" s="1"/>
  <c r="I1027" i="2"/>
  <c r="I1028" i="2"/>
  <c r="J1028" i="2" s="1" a="1"/>
  <c r="J1028" i="2" s="1"/>
  <c r="I1029" i="2"/>
  <c r="J1029" i="2" s="1" a="1"/>
  <c r="J1029" i="2" s="1"/>
  <c r="I1030" i="2"/>
  <c r="J1030" i="2" s="1" a="1"/>
  <c r="J1030" i="2" s="1"/>
  <c r="I1031" i="2"/>
  <c r="I1032" i="2"/>
  <c r="J1032" i="2" s="1" a="1"/>
  <c r="J1032" i="2" s="1"/>
  <c r="I1033" i="2"/>
  <c r="J1033" i="2" s="1" a="1"/>
  <c r="J1033" i="2" s="1"/>
  <c r="I1034" i="2"/>
  <c r="J1034" i="2" s="1" a="1"/>
  <c r="J1034" i="2" s="1"/>
  <c r="I1035" i="2"/>
  <c r="I1036" i="2"/>
  <c r="J1036" i="2" s="1" a="1"/>
  <c r="J1036" i="2" s="1"/>
  <c r="I1037" i="2"/>
  <c r="J1037" i="2" s="1" a="1"/>
  <c r="J1037" i="2" s="1"/>
  <c r="I1038" i="2"/>
  <c r="J1038" i="2" s="1" a="1"/>
  <c r="J1038" i="2" s="1"/>
  <c r="I1039" i="2"/>
  <c r="I1040" i="2"/>
  <c r="J1040" i="2" s="1" a="1"/>
  <c r="J1040" i="2" s="1"/>
  <c r="I1041" i="2"/>
  <c r="J1041" i="2" s="1" a="1"/>
  <c r="J1041" i="2" s="1"/>
  <c r="I1042" i="2"/>
  <c r="J1042" i="2" s="1" a="1"/>
  <c r="J1042" i="2" s="1"/>
  <c r="I1043" i="2"/>
  <c r="I1044" i="2"/>
  <c r="J1044" i="2" s="1" a="1"/>
  <c r="J1044" i="2" s="1"/>
  <c r="I1045" i="2"/>
  <c r="J1045" i="2" s="1" a="1"/>
  <c r="J1045" i="2" s="1"/>
  <c r="I1046" i="2"/>
  <c r="J1046" i="2" s="1" a="1"/>
  <c r="J1046" i="2" s="1"/>
  <c r="I1047" i="2"/>
  <c r="I1048" i="2"/>
  <c r="J1048" i="2" s="1" a="1"/>
  <c r="J1048" i="2" s="1"/>
  <c r="I1049" i="2"/>
  <c r="J1049" i="2" s="1" a="1"/>
  <c r="J1049" i="2" s="1"/>
  <c r="I1050" i="2"/>
  <c r="J1050" i="2" s="1" a="1"/>
  <c r="J1050" i="2" s="1"/>
  <c r="I1051" i="2"/>
  <c r="I1052" i="2"/>
  <c r="J1052" i="2" s="1" a="1"/>
  <c r="J1052" i="2" s="1"/>
  <c r="I1053" i="2"/>
  <c r="J1053" i="2" s="1" a="1"/>
  <c r="J1053" i="2" s="1"/>
  <c r="I1054" i="2"/>
  <c r="J1054" i="2" s="1" a="1"/>
  <c r="J1054" i="2" s="1"/>
  <c r="I1055" i="2"/>
  <c r="I1056" i="2"/>
  <c r="J1056" i="2" s="1" a="1"/>
  <c r="J1056" i="2" s="1"/>
  <c r="I1057" i="2"/>
  <c r="J1057" i="2" s="1" a="1"/>
  <c r="J1057" i="2" s="1"/>
  <c r="I1058" i="2"/>
  <c r="J1058" i="2" s="1" a="1"/>
  <c r="J1058" i="2" s="1"/>
  <c r="I1059" i="2"/>
  <c r="I1060" i="2"/>
  <c r="I1061" i="2"/>
  <c r="J1061" i="2" s="1" a="1"/>
  <c r="J1061" i="2" s="1"/>
  <c r="I1062" i="2"/>
  <c r="J1062" i="2" s="1" a="1"/>
  <c r="J1062" i="2" s="1"/>
  <c r="I1063" i="2"/>
  <c r="I1064" i="2"/>
  <c r="J1064" i="2" s="1" a="1"/>
  <c r="J1064" i="2" s="1"/>
  <c r="I1065" i="2"/>
  <c r="J1065" i="2" s="1" a="1"/>
  <c r="J1065" i="2" s="1"/>
  <c r="I1066" i="2"/>
  <c r="J1066" i="2" s="1" a="1"/>
  <c r="J1066" i="2" s="1"/>
  <c r="I1067" i="2"/>
  <c r="I1068" i="2"/>
  <c r="I1069" i="2"/>
  <c r="J1069" i="2" s="1" a="1"/>
  <c r="J1069" i="2" s="1"/>
  <c r="I1070" i="2"/>
  <c r="J1070" i="2" s="1" a="1"/>
  <c r="J1070" i="2" s="1"/>
  <c r="I1071" i="2"/>
  <c r="I1072" i="2"/>
  <c r="J1072" i="2" s="1" a="1"/>
  <c r="J1072" i="2" s="1"/>
  <c r="I1073" i="2"/>
  <c r="J1073" i="2" s="1" a="1"/>
  <c r="J1073" i="2" s="1"/>
  <c r="I1074" i="2"/>
  <c r="J1074" i="2" s="1" a="1"/>
  <c r="J1074" i="2" s="1"/>
  <c r="I1075" i="2"/>
  <c r="I1076" i="2"/>
  <c r="J1076" i="2" s="1" a="1"/>
  <c r="J1076" i="2" s="1"/>
  <c r="I1077" i="2"/>
  <c r="J1077" i="2" s="1" a="1"/>
  <c r="J1077" i="2" s="1"/>
  <c r="I1078" i="2"/>
  <c r="J1078" i="2" s="1" a="1"/>
  <c r="J1078" i="2" s="1"/>
  <c r="I1079" i="2"/>
  <c r="I1080" i="2"/>
  <c r="J1080" i="2" s="1" a="1"/>
  <c r="J1080" i="2" s="1"/>
  <c r="I1081" i="2"/>
  <c r="J1081" i="2" s="1" a="1"/>
  <c r="J1081" i="2" s="1"/>
  <c r="I1082" i="2"/>
  <c r="J1082" i="2" s="1" a="1"/>
  <c r="J1082" i="2" s="1"/>
  <c r="I1083" i="2"/>
  <c r="I1084" i="2"/>
  <c r="J1084" i="2" s="1" a="1"/>
  <c r="J1084" i="2" s="1"/>
  <c r="I1085" i="2"/>
  <c r="J1085" i="2" s="1" a="1"/>
  <c r="J1085" i="2" s="1"/>
  <c r="I1086" i="2"/>
  <c r="J1086" i="2" s="1" a="1"/>
  <c r="J1086" i="2" s="1"/>
  <c r="I1087" i="2"/>
  <c r="I1088" i="2"/>
  <c r="J1088" i="2" s="1" a="1"/>
  <c r="J1088" i="2" s="1"/>
  <c r="I1089" i="2"/>
  <c r="J1089" i="2" s="1" a="1"/>
  <c r="J1089" i="2" s="1"/>
  <c r="I1090" i="2"/>
  <c r="J1090" i="2" s="1" a="1"/>
  <c r="J1090" i="2" s="1"/>
  <c r="I1091" i="2"/>
  <c r="I1092" i="2"/>
  <c r="J1092" i="2" s="1" a="1"/>
  <c r="J1092" i="2" s="1"/>
  <c r="I1093" i="2"/>
  <c r="J1093" i="2" s="1" a="1"/>
  <c r="J1093" i="2" s="1"/>
  <c r="I1094" i="2"/>
  <c r="J1094" i="2" s="1" a="1"/>
  <c r="J1094" i="2" s="1"/>
  <c r="I1095" i="2"/>
  <c r="I1096" i="2"/>
  <c r="J1096" i="2" s="1" a="1"/>
  <c r="J1096" i="2" s="1"/>
  <c r="I1097" i="2"/>
  <c r="J1097" i="2" s="1" a="1"/>
  <c r="J1097" i="2" s="1"/>
  <c r="I1098" i="2"/>
  <c r="J1098" i="2" s="1" a="1"/>
  <c r="J1098" i="2" s="1"/>
  <c r="I1099" i="2"/>
  <c r="I1100" i="2"/>
  <c r="J1100" i="2" s="1" a="1"/>
  <c r="J1100" i="2" s="1"/>
  <c r="I1101" i="2"/>
  <c r="J1101" i="2" s="1" a="1"/>
  <c r="J1101" i="2" s="1"/>
  <c r="I1102" i="2"/>
  <c r="J1102" i="2" s="1" a="1"/>
  <c r="J1102" i="2" s="1"/>
  <c r="I1103" i="2"/>
  <c r="I1104" i="2"/>
  <c r="J1104" i="2" s="1" a="1"/>
  <c r="J1104" i="2" s="1"/>
  <c r="I1105" i="2"/>
  <c r="J1105" i="2" s="1" a="1"/>
  <c r="J1105" i="2" s="1"/>
  <c r="I1106" i="2"/>
  <c r="J1106" i="2" s="1" a="1"/>
  <c r="J1106" i="2" s="1"/>
  <c r="I1107" i="2"/>
  <c r="I1108" i="2"/>
  <c r="J1108" i="2" s="1" a="1"/>
  <c r="J1108" i="2" s="1"/>
  <c r="I1109" i="2"/>
  <c r="J1109" i="2" s="1" a="1"/>
  <c r="J1109" i="2" s="1"/>
  <c r="I1110" i="2"/>
  <c r="J1110" i="2" s="1" a="1"/>
  <c r="J1110" i="2" s="1"/>
  <c r="I1111" i="2"/>
  <c r="I1112" i="2"/>
  <c r="J1112" i="2" s="1" a="1"/>
  <c r="J1112" i="2" s="1"/>
  <c r="I1113" i="2"/>
  <c r="J1113" i="2" s="1" a="1"/>
  <c r="J1113" i="2" s="1"/>
  <c r="I1114" i="2"/>
  <c r="J1114" i="2" s="1" a="1"/>
  <c r="J1114" i="2" s="1"/>
  <c r="I1115" i="2"/>
  <c r="I1116" i="2"/>
  <c r="J1116" i="2" s="1" a="1"/>
  <c r="J1116" i="2" s="1"/>
  <c r="I1117" i="2"/>
  <c r="J1117" i="2" s="1" a="1"/>
  <c r="J1117" i="2" s="1"/>
  <c r="I1118" i="2"/>
  <c r="J1118" i="2" s="1" a="1"/>
  <c r="J1118" i="2" s="1"/>
  <c r="I1119" i="2"/>
  <c r="I1120" i="2"/>
  <c r="J1120" i="2" s="1" a="1"/>
  <c r="J1120" i="2" s="1"/>
  <c r="I1121" i="2"/>
  <c r="J1121" i="2" s="1" a="1"/>
  <c r="J1121" i="2" s="1"/>
  <c r="I1122" i="2"/>
  <c r="J1122" i="2" s="1" a="1"/>
  <c r="J1122" i="2" s="1"/>
  <c r="I1123" i="2"/>
  <c r="I1124" i="2"/>
  <c r="I1125" i="2"/>
  <c r="J1125" i="2" s="1" a="1"/>
  <c r="J1125" i="2" s="1"/>
  <c r="I1126" i="2"/>
  <c r="J1126" i="2" s="1" a="1"/>
  <c r="J1126" i="2" s="1"/>
  <c r="I1127" i="2"/>
  <c r="I1128" i="2"/>
  <c r="J1128" i="2" s="1" a="1"/>
  <c r="J1128" i="2" s="1"/>
  <c r="I1129" i="2"/>
  <c r="J1129" i="2" s="1" a="1"/>
  <c r="J1129" i="2" s="1"/>
  <c r="I1130" i="2"/>
  <c r="J1130" i="2" s="1" a="1"/>
  <c r="J1130" i="2" s="1"/>
  <c r="I1131" i="2"/>
  <c r="I1132" i="2"/>
  <c r="J1132" i="2" s="1" a="1"/>
  <c r="J1132" i="2" s="1"/>
  <c r="I1133" i="2"/>
  <c r="J1133" i="2" s="1" a="1"/>
  <c r="J1133" i="2" s="1"/>
  <c r="I1134" i="2"/>
  <c r="J1134" i="2" s="1" a="1"/>
  <c r="J1134" i="2" s="1"/>
  <c r="I1135" i="2"/>
  <c r="I1136" i="2"/>
  <c r="I1137" i="2"/>
  <c r="J1137" i="2" s="1" a="1"/>
  <c r="J1137" i="2" s="1"/>
  <c r="I1138" i="2"/>
  <c r="J1138" i="2" s="1" a="1"/>
  <c r="J1138" i="2" s="1"/>
  <c r="I1139" i="2"/>
  <c r="I1140" i="2"/>
  <c r="J1140" i="2" s="1" a="1"/>
  <c r="J1140" i="2" s="1"/>
  <c r="I1141" i="2"/>
  <c r="J1141" i="2" s="1" a="1"/>
  <c r="J1141" i="2" s="1"/>
  <c r="I1142" i="2"/>
  <c r="J1142" i="2" s="1" a="1"/>
  <c r="J1142" i="2" s="1"/>
  <c r="I1143" i="2"/>
  <c r="I1144" i="2"/>
  <c r="J1144" i="2" s="1" a="1"/>
  <c r="J1144" i="2" s="1"/>
  <c r="I1145" i="2"/>
  <c r="J1145" i="2" s="1" a="1"/>
  <c r="J1145" i="2" s="1"/>
  <c r="I1146" i="2"/>
  <c r="J1146" i="2" s="1" a="1"/>
  <c r="J1146" i="2" s="1"/>
  <c r="I1147" i="2"/>
  <c r="I1148" i="2"/>
  <c r="J1148" i="2" s="1" a="1"/>
  <c r="J1148" i="2" s="1"/>
  <c r="I1149" i="2"/>
  <c r="J1149" i="2" s="1" a="1"/>
  <c r="J1149" i="2" s="1"/>
  <c r="I1150" i="2"/>
  <c r="J1150" i="2" s="1" a="1"/>
  <c r="J1150" i="2" s="1"/>
  <c r="I1151" i="2"/>
  <c r="I1152" i="2"/>
  <c r="J1152" i="2" s="1" a="1"/>
  <c r="J1152" i="2" s="1"/>
  <c r="I1153" i="2"/>
  <c r="J1153" i="2" s="1" a="1"/>
  <c r="J1153" i="2" s="1"/>
  <c r="I1154" i="2"/>
  <c r="J1154" i="2" s="1" a="1"/>
  <c r="J1154" i="2" s="1"/>
  <c r="I1155" i="2"/>
  <c r="I1156" i="2"/>
  <c r="I1157" i="2"/>
  <c r="J1157" i="2" s="1" a="1"/>
  <c r="J1157" i="2" s="1"/>
  <c r="I1158" i="2"/>
  <c r="J1158" i="2" s="1" a="1"/>
  <c r="J1158" i="2" s="1"/>
  <c r="I1159" i="2"/>
  <c r="I1160" i="2"/>
  <c r="J1160" i="2" s="1" a="1"/>
  <c r="J1160" i="2" s="1"/>
  <c r="I1161" i="2"/>
  <c r="J1161" i="2" s="1" a="1"/>
  <c r="J1161" i="2" s="1"/>
  <c r="I1162" i="2"/>
  <c r="J1162" i="2" s="1" a="1"/>
  <c r="J1162" i="2" s="1"/>
  <c r="I1163" i="2"/>
  <c r="I1164" i="2"/>
  <c r="J1164" i="2" s="1" a="1"/>
  <c r="J1164" i="2" s="1"/>
  <c r="I1165" i="2"/>
  <c r="J1165" i="2" s="1" a="1"/>
  <c r="J1165" i="2" s="1"/>
  <c r="I1166" i="2"/>
  <c r="J1166" i="2" s="1" a="1"/>
  <c r="J1166" i="2" s="1"/>
  <c r="I1167" i="2"/>
  <c r="I1168" i="2"/>
  <c r="J1168" i="2" s="1" a="1"/>
  <c r="J1168" i="2" s="1"/>
  <c r="I1169" i="2"/>
  <c r="J1169" i="2" s="1" a="1"/>
  <c r="J1169" i="2" s="1"/>
  <c r="I1170" i="2"/>
  <c r="J1170" i="2" s="1" a="1"/>
  <c r="J1170" i="2" s="1"/>
  <c r="I1171" i="2"/>
  <c r="I1172" i="2"/>
  <c r="J1172" i="2" s="1" a="1"/>
  <c r="J1172" i="2" s="1"/>
  <c r="I1173" i="2"/>
  <c r="J1173" i="2" s="1" a="1"/>
  <c r="J1173" i="2" s="1"/>
  <c r="I1174" i="2"/>
  <c r="J1174" i="2" s="1" a="1"/>
  <c r="J1174" i="2" s="1"/>
  <c r="I1175" i="2"/>
  <c r="I1176" i="2"/>
  <c r="J1176" i="2" s="1" a="1"/>
  <c r="J1176" i="2" s="1"/>
  <c r="I1177" i="2"/>
  <c r="J1177" i="2" s="1" a="1"/>
  <c r="J1177" i="2" s="1"/>
  <c r="I1178" i="2"/>
  <c r="J1178" i="2" s="1" a="1"/>
  <c r="J1178" i="2" s="1"/>
  <c r="I1179" i="2"/>
  <c r="I1180" i="2"/>
  <c r="I1181" i="2"/>
  <c r="J1181" i="2" s="1" a="1"/>
  <c r="J1181" i="2" s="1"/>
  <c r="I1182" i="2"/>
  <c r="J1182" i="2" s="1" a="1"/>
  <c r="J1182" i="2" s="1"/>
  <c r="I1183" i="2"/>
  <c r="I1184" i="2"/>
  <c r="J1184" i="2" s="1" a="1"/>
  <c r="J1184" i="2" s="1"/>
  <c r="I1185" i="2"/>
  <c r="J1185" i="2" s="1" a="1"/>
  <c r="J1185" i="2" s="1"/>
  <c r="I1186" i="2"/>
  <c r="J1186" i="2" s="1" a="1"/>
  <c r="J1186" i="2" s="1"/>
  <c r="I1187" i="2"/>
  <c r="I1188" i="2"/>
  <c r="I1189" i="2"/>
  <c r="J1189" i="2" s="1" a="1"/>
  <c r="J1189" i="2" s="1"/>
  <c r="I1190" i="2"/>
  <c r="J1190" i="2" s="1" a="1"/>
  <c r="J1190" i="2" s="1"/>
  <c r="I1191" i="2"/>
  <c r="I1192" i="2"/>
  <c r="J1192" i="2" s="1" a="1"/>
  <c r="J1192" i="2" s="1"/>
  <c r="I1193" i="2"/>
  <c r="J1193" i="2" s="1" a="1"/>
  <c r="J1193" i="2" s="1"/>
  <c r="I1194" i="2"/>
  <c r="J1194" i="2" s="1" a="1"/>
  <c r="J1194" i="2" s="1"/>
  <c r="I1195" i="2"/>
  <c r="I1196" i="2"/>
  <c r="J1196" i="2" s="1" a="1"/>
  <c r="J1196" i="2" s="1"/>
  <c r="I1197" i="2"/>
  <c r="J1197" i="2" s="1" a="1"/>
  <c r="J1197" i="2" s="1"/>
  <c r="I1198" i="2"/>
  <c r="J1198" i="2" s="1" a="1"/>
  <c r="J1198" i="2" s="1"/>
  <c r="I1199" i="2"/>
  <c r="I1200" i="2"/>
  <c r="J1200" i="2" s="1" a="1"/>
  <c r="J1200" i="2" s="1"/>
  <c r="I1201" i="2"/>
  <c r="J1201" i="2" s="1" a="1"/>
  <c r="J1201" i="2" s="1"/>
  <c r="I1202" i="2"/>
  <c r="J1202" i="2" s="1" a="1"/>
  <c r="J1202" i="2" s="1"/>
  <c r="I1203" i="2"/>
  <c r="I1204" i="2"/>
  <c r="J1204" i="2" s="1" a="1"/>
  <c r="J1204" i="2" s="1"/>
  <c r="I1205" i="2"/>
  <c r="J1205" i="2" s="1" a="1"/>
  <c r="J1205" i="2" s="1"/>
  <c r="I1206" i="2"/>
  <c r="J1206" i="2" s="1" a="1"/>
  <c r="J1206" i="2" s="1"/>
  <c r="I1207" i="2"/>
  <c r="I1208" i="2"/>
  <c r="J1208" i="2" s="1" a="1"/>
  <c r="J1208" i="2" s="1"/>
  <c r="I1209" i="2"/>
  <c r="J1209" i="2" s="1" a="1"/>
  <c r="J1209" i="2" s="1"/>
  <c r="I1210" i="2"/>
  <c r="J1210" i="2" s="1" a="1"/>
  <c r="J1210" i="2" s="1"/>
  <c r="I1211" i="2"/>
  <c r="I1212" i="2"/>
  <c r="J1212" i="2" s="1" a="1"/>
  <c r="J1212" i="2" s="1"/>
  <c r="I1213" i="2"/>
  <c r="J1213" i="2" s="1" a="1"/>
  <c r="J1213" i="2" s="1"/>
  <c r="I1214" i="2"/>
  <c r="J1214" i="2" s="1" a="1"/>
  <c r="J1214" i="2" s="1"/>
  <c r="I1215" i="2"/>
  <c r="I1216" i="2"/>
  <c r="J1216" i="2" s="1" a="1"/>
  <c r="J1216" i="2" s="1"/>
  <c r="I1217" i="2"/>
  <c r="J1217" i="2" s="1" a="1"/>
  <c r="J1217" i="2" s="1"/>
  <c r="I1218" i="2"/>
  <c r="J1218" i="2" s="1" a="1"/>
  <c r="J1218" i="2" s="1"/>
  <c r="I1219" i="2"/>
  <c r="I1220" i="2"/>
  <c r="J1220" i="2" s="1" a="1"/>
  <c r="J1220" i="2" s="1"/>
  <c r="I1221" i="2"/>
  <c r="J1221" i="2" s="1" a="1"/>
  <c r="J1221" i="2" s="1"/>
  <c r="I1222" i="2"/>
  <c r="J1222" i="2" s="1" a="1"/>
  <c r="J1222" i="2" s="1"/>
  <c r="I1223" i="2"/>
  <c r="I1224" i="2"/>
  <c r="J1224" i="2" s="1" a="1"/>
  <c r="J1224" i="2" s="1"/>
  <c r="I1225" i="2"/>
  <c r="J1225" i="2" s="1" a="1"/>
  <c r="J1225" i="2" s="1"/>
  <c r="I1226" i="2"/>
  <c r="J1226" i="2" s="1" a="1"/>
  <c r="J1226" i="2" s="1"/>
  <c r="I1227" i="2"/>
  <c r="I1228" i="2"/>
  <c r="J1228" i="2" s="1" a="1"/>
  <c r="J1228" i="2" s="1"/>
  <c r="I1229" i="2"/>
  <c r="J1229" i="2" s="1" a="1"/>
  <c r="J1229" i="2" s="1"/>
  <c r="I1230" i="2"/>
  <c r="J1230" i="2" s="1" a="1"/>
  <c r="J1230" i="2" s="1"/>
  <c r="I1231" i="2"/>
  <c r="I1232" i="2"/>
  <c r="J1232" i="2" s="1" a="1"/>
  <c r="J1232" i="2" s="1"/>
  <c r="I1233" i="2"/>
  <c r="J1233" i="2" s="1" a="1"/>
  <c r="J1233" i="2" s="1"/>
  <c r="I1234" i="2"/>
  <c r="J1234" i="2" s="1" a="1"/>
  <c r="J1234" i="2" s="1"/>
  <c r="I1235" i="2"/>
  <c r="I1236" i="2"/>
  <c r="J1236" i="2" s="1" a="1"/>
  <c r="J1236" i="2" s="1"/>
  <c r="I1237" i="2"/>
  <c r="J1237" i="2" s="1" a="1"/>
  <c r="J1237" i="2" s="1"/>
  <c r="I1238" i="2"/>
  <c r="J1238" i="2" s="1" a="1"/>
  <c r="J1238" i="2" s="1"/>
  <c r="I1239" i="2"/>
  <c r="I1240" i="2"/>
  <c r="I1241" i="2"/>
  <c r="J1241" i="2" s="1" a="1"/>
  <c r="J1241" i="2" s="1"/>
  <c r="I1242" i="2"/>
  <c r="J1242" i="2" s="1" a="1"/>
  <c r="J1242" i="2" s="1"/>
  <c r="I1243" i="2"/>
  <c r="I1244" i="2"/>
  <c r="J1244" i="2" s="1" a="1"/>
  <c r="J1244" i="2" s="1"/>
  <c r="I1245" i="2"/>
  <c r="J1245" i="2" s="1" a="1"/>
  <c r="J1245" i="2" s="1"/>
  <c r="I1246" i="2"/>
  <c r="J1246" i="2" s="1" a="1"/>
  <c r="J1246" i="2" s="1"/>
  <c r="I1247" i="2"/>
  <c r="I1248" i="2"/>
  <c r="J1248" i="2" s="1" a="1"/>
  <c r="J1248" i="2" s="1"/>
  <c r="I1249" i="2"/>
  <c r="J1249" i="2" s="1" a="1"/>
  <c r="J1249" i="2" s="1"/>
  <c r="I1250" i="2"/>
  <c r="J1250" i="2" s="1" a="1"/>
  <c r="J1250" i="2" s="1"/>
  <c r="I1251" i="2"/>
  <c r="I1252" i="2"/>
  <c r="I1253" i="2"/>
  <c r="J1253" i="2" s="1" a="1"/>
  <c r="J1253" i="2" s="1"/>
  <c r="I1254" i="2"/>
  <c r="J1254" i="2" s="1" a="1"/>
  <c r="J1254" i="2" s="1"/>
  <c r="I1255" i="2"/>
  <c r="I1256" i="2"/>
  <c r="I1257" i="2"/>
  <c r="J1257" i="2" s="1" a="1"/>
  <c r="J1257" i="2" s="1"/>
  <c r="I1258" i="2"/>
  <c r="J1258" i="2" s="1" a="1"/>
  <c r="J1258" i="2" s="1"/>
  <c r="I1259" i="2"/>
  <c r="I1260" i="2"/>
  <c r="J1260" i="2" s="1" a="1"/>
  <c r="J1260" i="2" s="1"/>
  <c r="I1261" i="2"/>
  <c r="J1261" i="2" s="1" a="1"/>
  <c r="J1261" i="2" s="1"/>
  <c r="I1262" i="2"/>
  <c r="J1262" i="2" s="1" a="1"/>
  <c r="J1262" i="2" s="1"/>
  <c r="I1263" i="2"/>
  <c r="I1264" i="2"/>
  <c r="J1264" i="2" s="1" a="1"/>
  <c r="J1264" i="2" s="1"/>
  <c r="I1265" i="2"/>
  <c r="J1265" i="2" s="1" a="1"/>
  <c r="J1265" i="2" s="1"/>
  <c r="I1266" i="2"/>
  <c r="J1266" i="2" s="1" a="1"/>
  <c r="J1266" i="2" s="1"/>
  <c r="I1267" i="2"/>
  <c r="I1268" i="2"/>
  <c r="J1268" i="2" s="1" a="1"/>
  <c r="J1268" i="2" s="1"/>
  <c r="I1269" i="2"/>
  <c r="J1269" i="2" s="1" a="1"/>
  <c r="J1269" i="2" s="1"/>
  <c r="I1270" i="2"/>
  <c r="J1270" i="2" s="1" a="1"/>
  <c r="J1270" i="2" s="1"/>
  <c r="I1271" i="2"/>
  <c r="J1271" i="2" s="1" a="1"/>
  <c r="J1271" i="2" s="1"/>
  <c r="I1272" i="2"/>
  <c r="J1272" i="2" s="1" a="1"/>
  <c r="J1272" i="2" s="1"/>
  <c r="I1273" i="2"/>
  <c r="J1273" i="2" s="1" a="1"/>
  <c r="J1273" i="2" s="1"/>
  <c r="I1274" i="2"/>
  <c r="J1274" i="2" s="1" a="1"/>
  <c r="J1274" i="2" s="1"/>
  <c r="I1275" i="2"/>
  <c r="J1275" i="2" s="1" a="1"/>
  <c r="J1275" i="2" s="1"/>
  <c r="I1276" i="2"/>
  <c r="J1276" i="2" s="1" a="1"/>
  <c r="J1276" i="2" s="1"/>
  <c r="I1277" i="2"/>
  <c r="J1277" i="2" s="1" a="1"/>
  <c r="J1277" i="2" s="1"/>
  <c r="I1278" i="2"/>
  <c r="J1278" i="2" s="1" a="1"/>
  <c r="J1278" i="2" s="1"/>
  <c r="I1279" i="2"/>
  <c r="I1280" i="2"/>
  <c r="J1280" i="2" s="1" a="1"/>
  <c r="J1280" i="2" s="1"/>
  <c r="I1281" i="2"/>
  <c r="J1281" i="2" s="1" a="1"/>
  <c r="J1281" i="2" s="1"/>
  <c r="I1282" i="2"/>
  <c r="J1282" i="2" s="1" a="1"/>
  <c r="J1282" i="2" s="1"/>
  <c r="I1283" i="2"/>
  <c r="J1283" i="2" s="1" a="1"/>
  <c r="J1283" i="2" s="1"/>
  <c r="I1284" i="2"/>
  <c r="J1284" i="2" s="1" a="1"/>
  <c r="J1284" i="2" s="1"/>
  <c r="I1285" i="2"/>
  <c r="J1285" i="2" s="1" a="1"/>
  <c r="J1285" i="2" s="1"/>
  <c r="I1286" i="2"/>
  <c r="J1286" i="2" s="1" a="1"/>
  <c r="J1286" i="2" s="1"/>
  <c r="I1287" i="2"/>
  <c r="J1287" i="2" s="1" a="1"/>
  <c r="J1287" i="2" s="1"/>
  <c r="I1288" i="2"/>
  <c r="J1288" i="2" s="1" a="1"/>
  <c r="J1288" i="2" s="1"/>
  <c r="I1289" i="2"/>
  <c r="J1289" i="2" s="1" a="1"/>
  <c r="J1289" i="2" s="1"/>
  <c r="I1290" i="2"/>
  <c r="J1290" i="2" s="1" a="1"/>
  <c r="J1290" i="2" s="1"/>
  <c r="I1291" i="2"/>
  <c r="J1291" i="2" s="1" a="1"/>
  <c r="J1291" i="2" s="1"/>
  <c r="I1292" i="2"/>
  <c r="J1292" i="2" s="1" a="1"/>
  <c r="J1292" i="2" s="1"/>
  <c r="I1293" i="2"/>
  <c r="J1293" i="2" s="1" a="1"/>
  <c r="J1293" i="2" s="1"/>
  <c r="I1294" i="2"/>
  <c r="J1294" i="2" s="1" a="1"/>
  <c r="J1294" i="2" s="1"/>
  <c r="I1295" i="2"/>
  <c r="I1296" i="2"/>
  <c r="J1296" i="2" s="1" a="1"/>
  <c r="J1296" i="2" s="1"/>
  <c r="I1297" i="2"/>
  <c r="J1297" i="2" s="1" a="1"/>
  <c r="J1297" i="2" s="1"/>
  <c r="I1298" i="2"/>
  <c r="J1298" i="2" s="1" a="1"/>
  <c r="J1298" i="2" s="1"/>
  <c r="I1299" i="2"/>
  <c r="J1299" i="2" s="1" a="1"/>
  <c r="J1299" i="2" s="1"/>
  <c r="I1300" i="2"/>
  <c r="J1300" i="2" s="1" a="1"/>
  <c r="J1300" i="2" s="1"/>
  <c r="I1301" i="2"/>
  <c r="J1301" i="2" s="1" a="1"/>
  <c r="J1301" i="2" s="1"/>
  <c r="I1302" i="2"/>
  <c r="J1302" i="2" s="1" a="1"/>
  <c r="J1302" i="2" s="1"/>
  <c r="I1303" i="2"/>
  <c r="J1303" i="2" s="1" a="1"/>
  <c r="J1303" i="2" s="1"/>
  <c r="I1304" i="2"/>
  <c r="I1305" i="2"/>
  <c r="J1305" i="2" s="1" a="1"/>
  <c r="J1305" i="2" s="1"/>
  <c r="I1306" i="2"/>
  <c r="J1306" i="2" s="1" a="1"/>
  <c r="J1306" i="2" s="1"/>
  <c r="I1307" i="2"/>
  <c r="I1308" i="2"/>
  <c r="J1308" i="2" s="1" a="1"/>
  <c r="J1308" i="2" s="1"/>
  <c r="I1309" i="2"/>
  <c r="J1309" i="2" s="1" a="1"/>
  <c r="J1309" i="2" s="1"/>
  <c r="I1310" i="2"/>
  <c r="J1310" i="2" s="1" a="1"/>
  <c r="J1310" i="2" s="1"/>
  <c r="I1311" i="2"/>
  <c r="J1311" i="2" s="1" a="1"/>
  <c r="J1311" i="2" s="1"/>
  <c r="I1312" i="2"/>
  <c r="J1312" i="2" s="1" a="1"/>
  <c r="J1312" i="2" s="1"/>
  <c r="I1313" i="2"/>
  <c r="J1313" i="2" s="1" a="1"/>
  <c r="J1313" i="2" s="1"/>
  <c r="I1314" i="2"/>
  <c r="J1314" i="2" s="1" a="1"/>
  <c r="J1314" i="2" s="1"/>
  <c r="I1315" i="2"/>
  <c r="J1315" i="2" s="1" a="1"/>
  <c r="J1315" i="2" s="1"/>
  <c r="I1316" i="2"/>
  <c r="I1317" i="2"/>
  <c r="J1317" i="2" s="1" a="1"/>
  <c r="J1317" i="2" s="1"/>
  <c r="I1318" i="2"/>
  <c r="J1318" i="2" s="1" a="1"/>
  <c r="J1318" i="2" s="1"/>
  <c r="I1319" i="2"/>
  <c r="I1320" i="2"/>
  <c r="J1320" i="2" s="1" a="1"/>
  <c r="J1320" i="2" s="1"/>
  <c r="I1321" i="2"/>
  <c r="J1321" i="2" s="1" a="1"/>
  <c r="J1321" i="2" s="1"/>
  <c r="I1322" i="2"/>
  <c r="J1322" i="2" s="1" a="1"/>
  <c r="J1322" i="2" s="1"/>
  <c r="I1323" i="2"/>
  <c r="J1323" i="2" s="1" a="1"/>
  <c r="J1323" i="2" s="1"/>
  <c r="I1324" i="2"/>
  <c r="J1324" i="2" s="1" a="1"/>
  <c r="J1324" i="2" s="1"/>
  <c r="I1325" i="2"/>
  <c r="J1325" i="2" s="1" a="1"/>
  <c r="J1325" i="2" s="1"/>
  <c r="I1326" i="2"/>
  <c r="J1326" i="2" s="1" a="1"/>
  <c r="J1326" i="2" s="1"/>
  <c r="I1327" i="2"/>
  <c r="J1327" i="2" s="1" a="1"/>
  <c r="J1327" i="2" s="1"/>
  <c r="I1328" i="2"/>
  <c r="J1328" i="2" s="1" a="1"/>
  <c r="J1328" i="2" s="1"/>
  <c r="I1329" i="2"/>
  <c r="J1329" i="2" s="1" a="1"/>
  <c r="J1329" i="2" s="1"/>
  <c r="I1330" i="2"/>
  <c r="J1330" i="2" s="1" a="1"/>
  <c r="J1330" i="2" s="1"/>
  <c r="I1331" i="2"/>
  <c r="J1331" i="2" s="1" a="1"/>
  <c r="J1331" i="2" s="1"/>
  <c r="I1332" i="2"/>
  <c r="J1332" i="2" s="1" a="1"/>
  <c r="J1332" i="2" s="1"/>
  <c r="I1333" i="2"/>
  <c r="J1333" i="2" s="1" a="1"/>
  <c r="J1333" i="2" s="1"/>
  <c r="I1334" i="2"/>
  <c r="J1334" i="2" s="1" a="1"/>
  <c r="J1334" i="2" s="1"/>
  <c r="I1335" i="2"/>
  <c r="I1336" i="2"/>
  <c r="J1336" i="2" s="1" a="1"/>
  <c r="J1336" i="2" s="1"/>
  <c r="I1337" i="2"/>
  <c r="J1337" i="2" s="1" a="1"/>
  <c r="J1337" i="2" s="1"/>
  <c r="I1338" i="2"/>
  <c r="J1338" i="2" s="1" a="1"/>
  <c r="J1338" i="2" s="1"/>
  <c r="I1339" i="2"/>
  <c r="J1339" i="2" s="1" a="1"/>
  <c r="J1339" i="2" s="1"/>
  <c r="I1340" i="2"/>
  <c r="J1340" i="2" s="1" a="1"/>
  <c r="J1340" i="2" s="1"/>
  <c r="I1341" i="2"/>
  <c r="J1341" i="2" s="1" a="1"/>
  <c r="J1341" i="2" s="1"/>
  <c r="I1342" i="2"/>
  <c r="J1342" i="2" s="1" a="1"/>
  <c r="J1342" i="2" s="1"/>
  <c r="I1343" i="2"/>
  <c r="J1343" i="2" s="1" a="1"/>
  <c r="J1343" i="2" s="1"/>
  <c r="I1344" i="2"/>
  <c r="J1344" i="2" s="1" a="1"/>
  <c r="J1344" i="2" s="1"/>
  <c r="I1345" i="2"/>
  <c r="J1345" i="2" s="1" a="1"/>
  <c r="J1345" i="2" s="1"/>
  <c r="I1346" i="2"/>
  <c r="J1346" i="2" s="1" a="1"/>
  <c r="J1346" i="2" s="1"/>
  <c r="I1347" i="2"/>
  <c r="I1348" i="2"/>
  <c r="J1348" i="2" s="1" a="1"/>
  <c r="J1348" i="2" s="1"/>
  <c r="I1349" i="2"/>
  <c r="J1349" i="2" s="1" a="1"/>
  <c r="J1349" i="2" s="1"/>
  <c r="I1350" i="2"/>
  <c r="J1350" i="2" s="1" a="1"/>
  <c r="J1350" i="2" s="1"/>
  <c r="I1351" i="2"/>
  <c r="J1351" i="2" s="1" a="1"/>
  <c r="J1351" i="2" s="1"/>
  <c r="I1352" i="2"/>
  <c r="J1352" i="2" s="1" a="1"/>
  <c r="J1352" i="2" s="1"/>
  <c r="I1353" i="2"/>
  <c r="J1353" i="2" s="1" a="1"/>
  <c r="J1353" i="2" s="1"/>
  <c r="I1354" i="2"/>
  <c r="J1354" i="2" s="1" a="1"/>
  <c r="J1354" i="2" s="1"/>
  <c r="I1355" i="2"/>
  <c r="J1355" i="2" s="1" a="1"/>
  <c r="J1355" i="2" s="1"/>
  <c r="I1356" i="2"/>
  <c r="I1357" i="2"/>
  <c r="J1357" i="2" s="1" a="1"/>
  <c r="J1357" i="2" s="1"/>
  <c r="I1358" i="2"/>
  <c r="J1358" i="2" s="1" a="1"/>
  <c r="J1358" i="2" s="1"/>
  <c r="I1359" i="2"/>
  <c r="I1360" i="2"/>
  <c r="J1360" i="2" s="1" a="1"/>
  <c r="J1360" i="2" s="1"/>
  <c r="I1361" i="2"/>
  <c r="J1361" i="2" s="1" a="1"/>
  <c r="J1361" i="2" s="1"/>
  <c r="I1362" i="2"/>
  <c r="J1362" i="2" s="1" a="1"/>
  <c r="J1362" i="2" s="1"/>
  <c r="I1363" i="2"/>
  <c r="J1363" i="2" s="1" a="1"/>
  <c r="J1363" i="2" s="1"/>
  <c r="I1364" i="2"/>
  <c r="J1364" i="2" s="1" a="1"/>
  <c r="J1364" i="2" s="1"/>
  <c r="I1365" i="2"/>
  <c r="J1365" i="2" s="1" a="1"/>
  <c r="J1365" i="2" s="1"/>
  <c r="I1366" i="2"/>
  <c r="J1366" i="2" s="1" a="1"/>
  <c r="J1366" i="2" s="1"/>
  <c r="I1367" i="2"/>
  <c r="J1367" i="2" s="1" a="1"/>
  <c r="J1367" i="2" s="1"/>
  <c r="I1368" i="2"/>
  <c r="J1368" i="2" s="1" a="1"/>
  <c r="J1368" i="2" s="1"/>
  <c r="I1369" i="2"/>
  <c r="J1369" i="2" s="1" a="1"/>
  <c r="J1369" i="2" s="1"/>
  <c r="I1370" i="2"/>
  <c r="J1370" i="2" s="1" a="1"/>
  <c r="J1370" i="2" s="1"/>
  <c r="I1371" i="2"/>
  <c r="I1372" i="2"/>
  <c r="J1372" i="2" s="1" a="1"/>
  <c r="J1372" i="2" s="1"/>
  <c r="I1373" i="2"/>
  <c r="J1373" i="2" s="1" a="1"/>
  <c r="J1373" i="2" s="1"/>
  <c r="I1374" i="2"/>
  <c r="J1374" i="2" s="1" a="1"/>
  <c r="J1374" i="2" s="1"/>
  <c r="I1375" i="2"/>
  <c r="J1375" i="2" s="1" a="1"/>
  <c r="J1375" i="2" s="1"/>
  <c r="I1376" i="2"/>
  <c r="J1376" i="2" s="1" a="1"/>
  <c r="J1376" i="2" s="1"/>
  <c r="I1377" i="2"/>
  <c r="J1377" i="2" s="1" a="1"/>
  <c r="J1377" i="2" s="1"/>
  <c r="I1378" i="2"/>
  <c r="J1378" i="2" s="1" a="1"/>
  <c r="J1378" i="2" s="1"/>
  <c r="I1379" i="2"/>
  <c r="J1379" i="2" s="1" a="1"/>
  <c r="J1379" i="2" s="1"/>
  <c r="I1380" i="2"/>
  <c r="J1380" i="2" s="1" a="1"/>
  <c r="J1380" i="2" s="1"/>
  <c r="I1381" i="2"/>
  <c r="J1381" i="2" s="1" a="1"/>
  <c r="J1381" i="2" s="1"/>
  <c r="I1382" i="2"/>
  <c r="J1382" i="2" s="1" a="1"/>
  <c r="J1382" i="2" s="1"/>
  <c r="I1383" i="2"/>
  <c r="I1384" i="2"/>
  <c r="J1384" i="2" s="1" a="1"/>
  <c r="J1384" i="2" s="1"/>
  <c r="I1385" i="2"/>
  <c r="J1385" i="2" s="1" a="1"/>
  <c r="J1385" i="2" s="1"/>
  <c r="I1386" i="2"/>
  <c r="J1386" i="2" s="1" a="1"/>
  <c r="J1386" i="2" s="1"/>
  <c r="I1387" i="2"/>
  <c r="J1387" i="2" s="1" a="1"/>
  <c r="J1387" i="2" s="1"/>
  <c r="I1388" i="2"/>
  <c r="J1388" i="2" s="1" a="1"/>
  <c r="J1388" i="2" s="1"/>
  <c r="I1389" i="2"/>
  <c r="J1389" i="2" s="1" a="1"/>
  <c r="J1389" i="2" s="1"/>
  <c r="I1390" i="2"/>
  <c r="J1390" i="2" s="1" a="1"/>
  <c r="J1390" i="2" s="1"/>
  <c r="I1391" i="2"/>
  <c r="J1391" i="2" s="1" a="1"/>
  <c r="J1391" i="2" s="1"/>
  <c r="I1392" i="2"/>
  <c r="J1392" i="2" s="1" a="1"/>
  <c r="J1392" i="2" s="1"/>
  <c r="I1393" i="2"/>
  <c r="J1393" i="2" s="1" a="1"/>
  <c r="J1393" i="2" s="1"/>
  <c r="I1394" i="2"/>
  <c r="J1394" i="2" s="1" a="1"/>
  <c r="J1394" i="2" s="1"/>
  <c r="I1395" i="2"/>
  <c r="J1395" i="2" s="1" a="1"/>
  <c r="J1395" i="2" s="1"/>
  <c r="I1396" i="2"/>
  <c r="J1396" i="2" s="1" a="1"/>
  <c r="J1396" i="2" s="1"/>
  <c r="I1397" i="2"/>
  <c r="J1397" i="2" s="1" a="1"/>
  <c r="J1397" i="2" s="1"/>
  <c r="I1398" i="2"/>
  <c r="J1398" i="2" s="1" a="1"/>
  <c r="J1398" i="2" s="1"/>
  <c r="I1399" i="2"/>
  <c r="I1400" i="2"/>
  <c r="J1400" i="2" s="1" a="1"/>
  <c r="J1400" i="2" s="1"/>
  <c r="I1401" i="2"/>
  <c r="J1401" i="2" s="1" a="1"/>
  <c r="J1401" i="2" s="1"/>
  <c r="I1402" i="2"/>
  <c r="J1402" i="2" s="1" a="1"/>
  <c r="J1402" i="2" s="1"/>
  <c r="I1403" i="2"/>
  <c r="J1403" i="2" s="1" a="1"/>
  <c r="J1403" i="2" s="1"/>
  <c r="I1404" i="2"/>
  <c r="J1404" i="2" s="1" a="1"/>
  <c r="J1404" i="2" s="1"/>
  <c r="I1405" i="2"/>
  <c r="J1405" i="2" s="1" a="1"/>
  <c r="J1405" i="2" s="1"/>
  <c r="I1406" i="2"/>
  <c r="J1406" i="2" s="1" a="1"/>
  <c r="J1406" i="2" s="1"/>
  <c r="I1407" i="2"/>
  <c r="J1407" i="2" s="1" a="1"/>
  <c r="J1407" i="2" s="1"/>
  <c r="I1408" i="2"/>
  <c r="J1408" i="2" s="1" a="1"/>
  <c r="J1408" i="2" s="1"/>
  <c r="I1409" i="2"/>
  <c r="J1409" i="2" s="1" a="1"/>
  <c r="J1409" i="2" s="1"/>
  <c r="I1410" i="2"/>
  <c r="J1410" i="2" s="1" a="1"/>
  <c r="J1410" i="2" s="1"/>
  <c r="I1411" i="2"/>
  <c r="J1411" i="2" s="1" a="1"/>
  <c r="J1411" i="2" s="1"/>
  <c r="I1412" i="2"/>
  <c r="J1412" i="2" s="1" a="1"/>
  <c r="J1412" i="2" s="1"/>
  <c r="I1413" i="2"/>
  <c r="J1413" i="2" s="1" a="1"/>
  <c r="J1413" i="2" s="1"/>
  <c r="I1414" i="2"/>
  <c r="J1414" i="2" s="1" a="1"/>
  <c r="J1414" i="2" s="1"/>
  <c r="I1415" i="2"/>
  <c r="I1416" i="2"/>
  <c r="J1416" i="2" s="1" a="1"/>
  <c r="J1416" i="2" s="1"/>
  <c r="I1417" i="2"/>
  <c r="J1417" i="2" s="1" a="1"/>
  <c r="J1417" i="2" s="1"/>
  <c r="I1418" i="2"/>
  <c r="J1418" i="2" s="1" a="1"/>
  <c r="J1418" i="2" s="1"/>
  <c r="I1419" i="2"/>
  <c r="J1419" i="2" s="1" a="1"/>
  <c r="J1419" i="2" s="1"/>
  <c r="I1420" i="2"/>
  <c r="J1420" i="2" s="1" a="1"/>
  <c r="J1420" i="2" s="1"/>
  <c r="I1421" i="2"/>
  <c r="J1421" i="2" s="1" a="1"/>
  <c r="J1421" i="2" s="1"/>
  <c r="I1422" i="2"/>
  <c r="J1422" i="2" s="1" a="1"/>
  <c r="J1422" i="2" s="1"/>
  <c r="I1423" i="2"/>
  <c r="J1423" i="2" s="1" a="1"/>
  <c r="J1423" i="2" s="1"/>
  <c r="I1424" i="2"/>
  <c r="J1424" i="2" s="1" a="1"/>
  <c r="J1424" i="2" s="1"/>
  <c r="I1425" i="2"/>
  <c r="J1425" i="2" s="1" a="1"/>
  <c r="J1425" i="2" s="1"/>
  <c r="I1426" i="2"/>
  <c r="J1426" i="2" s="1" a="1"/>
  <c r="J1426" i="2" s="1"/>
  <c r="I1427" i="2"/>
  <c r="I1428" i="2"/>
  <c r="J1428" i="2" s="1" a="1"/>
  <c r="J1428" i="2" s="1"/>
  <c r="I1429" i="2"/>
  <c r="J1429" i="2" s="1" a="1"/>
  <c r="J1429" i="2" s="1"/>
  <c r="I1430" i="2"/>
  <c r="J1430" i="2" s="1" a="1"/>
  <c r="J1430" i="2" s="1"/>
  <c r="I1431" i="2"/>
  <c r="J1431" i="2" s="1" a="1"/>
  <c r="J1431" i="2" s="1"/>
  <c r="I1432" i="2"/>
  <c r="J1432" i="2" s="1" a="1"/>
  <c r="J1432" i="2" s="1"/>
  <c r="I1433" i="2"/>
  <c r="J1433" i="2" s="1" a="1"/>
  <c r="J1433" i="2" s="1"/>
  <c r="I1434" i="2"/>
  <c r="J1434" i="2" s="1" a="1"/>
  <c r="J1434" i="2" s="1"/>
  <c r="I1435" i="2"/>
  <c r="J1435" i="2" s="1" a="1"/>
  <c r="J1435" i="2" s="1"/>
  <c r="I1436" i="2"/>
  <c r="J1436" i="2" s="1" a="1"/>
  <c r="J1436" i="2" s="1"/>
  <c r="I1437" i="2"/>
  <c r="J1437" i="2" s="1" a="1"/>
  <c r="J1437" i="2" s="1"/>
  <c r="I1438" i="2"/>
  <c r="J1438" i="2" s="1" a="1"/>
  <c r="J1438" i="2" s="1"/>
  <c r="I1439" i="2"/>
  <c r="J1439" i="2" s="1" a="1"/>
  <c r="J1439" i="2" s="1"/>
  <c r="I1440" i="2"/>
  <c r="J1440" i="2" s="1" a="1"/>
  <c r="J1440" i="2" s="1"/>
  <c r="I1441" i="2"/>
  <c r="J1441" i="2" s="1" a="1"/>
  <c r="J1441" i="2" s="1"/>
  <c r="I1442" i="2"/>
  <c r="J1442" i="2" s="1" a="1"/>
  <c r="J1442" i="2" s="1"/>
  <c r="I1443" i="2"/>
  <c r="I1444" i="2"/>
  <c r="J1444" i="2" s="1" a="1"/>
  <c r="J1444" i="2" s="1"/>
  <c r="I1445" i="2"/>
  <c r="J1445" i="2" s="1" a="1"/>
  <c r="J1445" i="2" s="1"/>
  <c r="I1446" i="2"/>
  <c r="J1446" i="2" s="1" a="1"/>
  <c r="J1446" i="2" s="1"/>
  <c r="I1447" i="2"/>
  <c r="J1447" i="2" s="1" a="1"/>
  <c r="J1447" i="2" s="1"/>
  <c r="I1448" i="2"/>
  <c r="I1449" i="2"/>
  <c r="J1449" i="2" s="1" a="1"/>
  <c r="J1449" i="2" s="1"/>
  <c r="I1450" i="2"/>
  <c r="J1450" i="2" s="1" a="1"/>
  <c r="J1450" i="2" s="1"/>
  <c r="I1451" i="2"/>
  <c r="J1451" i="2" s="1" a="1"/>
  <c r="J1451" i="2" s="1"/>
  <c r="I1452" i="2"/>
  <c r="J1452" i="2" s="1" a="1"/>
  <c r="J1452" i="2" s="1"/>
  <c r="I1453" i="2"/>
  <c r="J1453" i="2" s="1" a="1"/>
  <c r="J1453" i="2" s="1"/>
  <c r="I1454" i="2"/>
  <c r="J1454" i="2" s="1" a="1"/>
  <c r="J1454" i="2" s="1"/>
  <c r="I1455" i="2"/>
  <c r="I1456" i="2"/>
  <c r="J1456" i="2" s="1" a="1"/>
  <c r="J1456" i="2" s="1"/>
  <c r="I1457" i="2"/>
  <c r="J1457" i="2" s="1" a="1"/>
  <c r="J1457" i="2" s="1"/>
  <c r="I1458" i="2"/>
  <c r="J1458" i="2" s="1" a="1"/>
  <c r="J1458" i="2" s="1"/>
  <c r="I1459" i="2"/>
  <c r="J1459" i="2" s="1" a="1"/>
  <c r="J1459" i="2" s="1"/>
  <c r="I1460" i="2"/>
  <c r="J1460" i="2" s="1" a="1"/>
  <c r="J1460" i="2" s="1"/>
  <c r="I1461" i="2"/>
  <c r="J1461" i="2" s="1" a="1"/>
  <c r="J1461" i="2" s="1"/>
  <c r="I1462" i="2"/>
  <c r="J1462" i="2" s="1" a="1"/>
  <c r="J1462" i="2" s="1"/>
  <c r="I1463" i="2"/>
  <c r="J1463" i="2" s="1" a="1"/>
  <c r="J1463" i="2" s="1"/>
  <c r="I1464" i="2"/>
  <c r="J1464" i="2" s="1" a="1"/>
  <c r="J1464" i="2" s="1"/>
  <c r="I1465" i="2"/>
  <c r="J1465" i="2" s="1" a="1"/>
  <c r="J1465" i="2" s="1"/>
  <c r="I1466" i="2"/>
  <c r="J1466" i="2" s="1" a="1"/>
  <c r="J1466" i="2" s="1"/>
  <c r="I1467" i="2"/>
  <c r="J1467" i="2" s="1" a="1"/>
  <c r="J1467" i="2" s="1"/>
  <c r="I1468" i="2"/>
  <c r="J1468" i="2" s="1" a="1"/>
  <c r="J1468" i="2" s="1"/>
  <c r="I1469" i="2"/>
  <c r="J1469" i="2" s="1" a="1"/>
  <c r="J1469" i="2" s="1"/>
  <c r="I1470" i="2"/>
  <c r="J1470" i="2" s="1" a="1"/>
  <c r="J1470" i="2" s="1"/>
  <c r="I1471" i="2"/>
  <c r="I1472" i="2"/>
  <c r="J1472" i="2" s="1" a="1"/>
  <c r="J1472" i="2" s="1"/>
  <c r="I1473" i="2"/>
  <c r="J1473" i="2" s="1" a="1"/>
  <c r="J1473" i="2" s="1"/>
  <c r="I1474" i="2"/>
  <c r="J1474" i="2" s="1" a="1"/>
  <c r="J1474" i="2" s="1"/>
  <c r="I1475" i="2"/>
  <c r="J1475" i="2" s="1" a="1"/>
  <c r="J1475" i="2" s="1"/>
  <c r="I1476" i="2"/>
  <c r="J1476" i="2" s="1" a="1"/>
  <c r="J1476" i="2" s="1"/>
  <c r="I1477" i="2"/>
  <c r="J1477" i="2" s="1" a="1"/>
  <c r="J1477" i="2" s="1"/>
  <c r="I1478" i="2"/>
  <c r="J1478" i="2" s="1" a="1"/>
  <c r="J1478" i="2" s="1"/>
  <c r="I1479" i="2"/>
  <c r="J1479" i="2" s="1" a="1"/>
  <c r="J1479" i="2" s="1"/>
  <c r="I1480" i="2"/>
  <c r="J1480" i="2" s="1" a="1"/>
  <c r="J1480" i="2" s="1"/>
  <c r="I1481" i="2"/>
  <c r="J1481" i="2" s="1" a="1"/>
  <c r="J1481" i="2" s="1"/>
  <c r="I1482" i="2"/>
  <c r="J1482" i="2" s="1" a="1"/>
  <c r="J1482" i="2" s="1"/>
  <c r="I1483" i="2"/>
  <c r="I1484" i="2"/>
  <c r="I1485" i="2"/>
  <c r="J1485" i="2" s="1" a="1"/>
  <c r="J1485" i="2" s="1"/>
  <c r="I1486" i="2"/>
  <c r="J1486" i="2" s="1" a="1"/>
  <c r="J1486" i="2" s="1"/>
  <c r="I1487" i="2"/>
  <c r="J1487" i="2" s="1" a="1"/>
  <c r="J1487" i="2" s="1"/>
  <c r="I1488" i="2"/>
  <c r="J1488" i="2" s="1" a="1"/>
  <c r="J1488" i="2" s="1"/>
  <c r="I1489" i="2"/>
  <c r="J1489" i="2" s="1" a="1"/>
  <c r="J1489" i="2" s="1"/>
  <c r="I1490" i="2"/>
  <c r="J1490" i="2" s="1" a="1"/>
  <c r="J1490" i="2" s="1"/>
  <c r="I1491" i="2"/>
  <c r="J1491" i="2" s="1" a="1"/>
  <c r="J1491" i="2" s="1"/>
  <c r="I1492" i="2"/>
  <c r="J1492" i="2" s="1" a="1"/>
  <c r="J1492" i="2" s="1"/>
  <c r="I1493" i="2"/>
  <c r="J1493" i="2" s="1" a="1"/>
  <c r="J1493" i="2" s="1"/>
  <c r="I1494" i="2"/>
  <c r="J1494" i="2" s="1" a="1"/>
  <c r="J1494" i="2" s="1"/>
  <c r="I1495" i="2"/>
  <c r="J1495" i="2" s="1" a="1"/>
  <c r="J1495" i="2" s="1"/>
  <c r="I1496" i="2"/>
  <c r="J1496" i="2" s="1" a="1"/>
  <c r="J1496" i="2" s="1"/>
  <c r="I1497" i="2"/>
  <c r="J1497" i="2" s="1" a="1"/>
  <c r="J1497" i="2" s="1"/>
  <c r="I1498" i="2"/>
  <c r="J1498" i="2" s="1" a="1"/>
  <c r="J1498" i="2" s="1"/>
  <c r="I1499" i="2"/>
  <c r="J1499" i="2" s="1" a="1"/>
  <c r="J1499" i="2" s="1"/>
  <c r="I1500" i="2"/>
  <c r="J1500" i="2" s="1" a="1"/>
  <c r="J1500" i="2" s="1"/>
  <c r="I1501" i="2"/>
  <c r="J1501" i="2" s="1" a="1"/>
  <c r="J1501" i="2" s="1"/>
  <c r="I1502" i="2"/>
  <c r="J1502" i="2" s="1" a="1"/>
  <c r="J1502" i="2" s="1"/>
  <c r="I1503" i="2"/>
  <c r="J1503" i="2" s="1" a="1"/>
  <c r="J1503" i="2" s="1"/>
  <c r="I1504" i="2"/>
  <c r="J1504" i="2" s="1" a="1"/>
  <c r="J1504" i="2" s="1"/>
  <c r="I1505" i="2"/>
  <c r="J1505" i="2" s="1" a="1"/>
  <c r="J1505" i="2" s="1"/>
  <c r="I1506" i="2"/>
  <c r="J1506" i="2" s="1" a="1"/>
  <c r="J1506" i="2" s="1"/>
  <c r="I1507" i="2"/>
  <c r="J1507" i="2" s="1" a="1"/>
  <c r="J1507" i="2" s="1"/>
  <c r="I1508" i="2"/>
  <c r="J1508" i="2" s="1" a="1"/>
  <c r="J1508" i="2" s="1"/>
  <c r="I1509" i="2"/>
  <c r="J1509" i="2" s="1" a="1"/>
  <c r="J1509" i="2" s="1"/>
  <c r="I1510" i="2"/>
  <c r="J1510" i="2" s="1" a="1"/>
  <c r="J1510" i="2" s="1"/>
  <c r="I1511" i="2"/>
  <c r="J1511" i="2" s="1" a="1"/>
  <c r="J1511" i="2" s="1"/>
  <c r="I1512" i="2"/>
  <c r="J1512" i="2" s="1" a="1"/>
  <c r="J1512" i="2" s="1"/>
  <c r="I1513" i="2"/>
  <c r="J1513" i="2" s="1" a="1"/>
  <c r="J1513" i="2" s="1"/>
  <c r="I1514" i="2"/>
  <c r="J1514" i="2" s="1" a="1"/>
  <c r="J1514" i="2" s="1"/>
  <c r="I1515" i="2"/>
  <c r="J1515" i="2" s="1" a="1"/>
  <c r="J1515" i="2" s="1"/>
  <c r="I1516" i="2"/>
  <c r="J1516" i="2" s="1" a="1"/>
  <c r="J1516" i="2" s="1"/>
  <c r="I1517" i="2"/>
  <c r="J1517" i="2" s="1" a="1"/>
  <c r="J1517" i="2" s="1"/>
  <c r="I1518" i="2"/>
  <c r="J1518" i="2" s="1" a="1"/>
  <c r="J1518" i="2" s="1"/>
  <c r="I1519" i="2"/>
  <c r="I1520" i="2"/>
  <c r="J1520" i="2" s="1" a="1"/>
  <c r="J1520" i="2" s="1"/>
  <c r="I1521" i="2"/>
  <c r="J1521" i="2" s="1" a="1"/>
  <c r="J1521" i="2" s="1"/>
  <c r="I1522" i="2"/>
  <c r="J1522" i="2" s="1" a="1"/>
  <c r="J1522" i="2" s="1"/>
  <c r="I1523" i="2"/>
  <c r="J1523" i="2" s="1" a="1"/>
  <c r="J1523" i="2" s="1"/>
  <c r="I1524" i="2"/>
  <c r="J1524" i="2" s="1" a="1"/>
  <c r="J1524" i="2" s="1"/>
  <c r="I1525" i="2"/>
  <c r="J1525" i="2" s="1" a="1"/>
  <c r="J1525" i="2" s="1"/>
  <c r="I1526" i="2"/>
  <c r="J1526" i="2" s="1" a="1"/>
  <c r="J1526" i="2" s="1"/>
  <c r="I1527" i="2"/>
  <c r="J1527" i="2" s="1" a="1"/>
  <c r="J1527" i="2" s="1"/>
  <c r="I1528" i="2"/>
  <c r="J1528" i="2" s="1" a="1"/>
  <c r="J1528" i="2" s="1"/>
  <c r="I1529" i="2"/>
  <c r="J1529" i="2" s="1" a="1"/>
  <c r="J1529" i="2" s="1"/>
  <c r="I1530" i="2"/>
  <c r="J1530" i="2" s="1" a="1"/>
  <c r="J1530" i="2" s="1"/>
  <c r="I1531" i="2"/>
  <c r="J1531" i="2" s="1" a="1"/>
  <c r="J1531" i="2" s="1"/>
  <c r="I1532" i="2"/>
  <c r="J1532" i="2" s="1" a="1"/>
  <c r="J1532" i="2" s="1"/>
  <c r="I1533" i="2"/>
  <c r="J1533" i="2" s="1" a="1"/>
  <c r="J1533" i="2" s="1"/>
  <c r="I1534" i="2"/>
  <c r="J1534" i="2" s="1" a="1"/>
  <c r="J1534" i="2" s="1"/>
  <c r="I1535" i="2"/>
  <c r="I1536" i="2"/>
  <c r="J1536" i="2" s="1" a="1"/>
  <c r="J1536" i="2" s="1"/>
  <c r="I1537" i="2"/>
  <c r="J1537" i="2" s="1" a="1"/>
  <c r="J1537" i="2" s="1"/>
  <c r="I1538" i="2"/>
  <c r="J1538" i="2" s="1" a="1"/>
  <c r="J1538" i="2" s="1"/>
  <c r="I1539" i="2"/>
  <c r="J1539" i="2" s="1" a="1"/>
  <c r="J1539" i="2" s="1"/>
  <c r="I1540" i="2"/>
  <c r="J1540" i="2" s="1" a="1"/>
  <c r="J1540" i="2" s="1"/>
  <c r="I1541" i="2"/>
  <c r="J1541" i="2" s="1" a="1"/>
  <c r="J1541" i="2" s="1"/>
  <c r="I1542" i="2"/>
  <c r="J1542" i="2" s="1" a="1"/>
  <c r="J1542" i="2" s="1"/>
  <c r="I1543" i="2"/>
  <c r="J1543" i="2" s="1" a="1"/>
  <c r="J1543" i="2" s="1"/>
  <c r="I1544" i="2"/>
  <c r="J1544" i="2" s="1" a="1"/>
  <c r="J1544" i="2" s="1"/>
  <c r="I1545" i="2"/>
  <c r="J1545" i="2" s="1" a="1"/>
  <c r="J1545" i="2" s="1"/>
  <c r="I1546" i="2"/>
  <c r="J1546" i="2" s="1" a="1"/>
  <c r="J1546" i="2" s="1"/>
  <c r="I1547" i="2"/>
  <c r="J1547" i="2" s="1" a="1"/>
  <c r="J1547" i="2" s="1"/>
  <c r="I1548" i="2"/>
  <c r="J1548" i="2" s="1" a="1"/>
  <c r="J1548" i="2" s="1"/>
  <c r="I1549" i="2"/>
  <c r="J1549" i="2" s="1" a="1"/>
  <c r="J1549" i="2" s="1"/>
  <c r="I1550" i="2"/>
  <c r="J1550" i="2" s="1" a="1"/>
  <c r="J1550" i="2" s="1"/>
  <c r="I1551" i="2"/>
  <c r="J1551" i="2" s="1" a="1"/>
  <c r="J1551" i="2" s="1"/>
  <c r="I1552" i="2"/>
  <c r="J1552" i="2" s="1" a="1"/>
  <c r="J1552" i="2" s="1"/>
  <c r="I1553" i="2"/>
  <c r="J1553" i="2" s="1" a="1"/>
  <c r="J1553" i="2" s="1"/>
  <c r="I1554" i="2"/>
  <c r="J1554" i="2" s="1" a="1"/>
  <c r="J1554" i="2" s="1"/>
  <c r="I1555" i="2"/>
  <c r="J1555" i="2" s="1" a="1"/>
  <c r="J1555" i="2" s="1"/>
  <c r="I1556" i="2"/>
  <c r="J1556" i="2" s="1" a="1"/>
  <c r="J1556" i="2" s="1"/>
  <c r="I1557" i="2"/>
  <c r="J1557" i="2" s="1" a="1"/>
  <c r="J1557" i="2" s="1"/>
  <c r="I1558" i="2"/>
  <c r="J1558" i="2" s="1" a="1"/>
  <c r="J1558" i="2" s="1"/>
  <c r="I1559" i="2"/>
  <c r="J1559" i="2" s="1" a="1"/>
  <c r="J1559" i="2" s="1"/>
  <c r="I1560" i="2"/>
  <c r="J1560" i="2" s="1" a="1"/>
  <c r="J1560" i="2" s="1"/>
  <c r="I1561" i="2"/>
  <c r="J1561" i="2" s="1" a="1"/>
  <c r="J1561" i="2" s="1"/>
  <c r="I1562" i="2"/>
  <c r="J1562" i="2" s="1" a="1"/>
  <c r="J1562" i="2" s="1"/>
  <c r="I1563" i="2"/>
  <c r="J1563" i="2" s="1" a="1"/>
  <c r="J1563" i="2" s="1"/>
  <c r="I1564" i="2"/>
  <c r="J1564" i="2" s="1" a="1"/>
  <c r="J1564" i="2" s="1"/>
  <c r="I1565" i="2"/>
  <c r="J1565" i="2" s="1" a="1"/>
  <c r="J1565" i="2" s="1"/>
  <c r="I1566" i="2"/>
  <c r="J1566" i="2" s="1" a="1"/>
  <c r="J1566" i="2" s="1"/>
  <c r="I1567" i="2"/>
  <c r="I1568" i="2"/>
  <c r="J1568" i="2" s="1" a="1"/>
  <c r="J1568" i="2" s="1"/>
  <c r="I1569" i="2"/>
  <c r="J1569" i="2" s="1" a="1"/>
  <c r="J1569" i="2" s="1"/>
  <c r="I1570" i="2"/>
  <c r="J1570" i="2" s="1" a="1"/>
  <c r="J1570" i="2" s="1"/>
  <c r="I1571" i="2"/>
  <c r="J1571" i="2" s="1" a="1"/>
  <c r="J1571" i="2" s="1"/>
  <c r="I1572" i="2"/>
  <c r="J1572" i="2" s="1" a="1"/>
  <c r="J1572" i="2" s="1"/>
  <c r="I1573" i="2"/>
  <c r="J1573" i="2" s="1" a="1"/>
  <c r="J1573" i="2" s="1"/>
  <c r="I1574" i="2"/>
  <c r="J1574" i="2" s="1" a="1"/>
  <c r="J1574" i="2" s="1"/>
  <c r="I1575" i="2"/>
  <c r="J1575" i="2" s="1" a="1"/>
  <c r="J1575" i="2" s="1"/>
  <c r="I1576" i="2"/>
  <c r="J1576" i="2" s="1" a="1"/>
  <c r="J1576" i="2" s="1"/>
  <c r="I1577" i="2"/>
  <c r="J1577" i="2" s="1" a="1"/>
  <c r="J1577" i="2" s="1"/>
  <c r="I1578" i="2"/>
  <c r="J1578" i="2" s="1" a="1"/>
  <c r="J1578" i="2" s="1"/>
  <c r="I1579" i="2"/>
  <c r="J1579" i="2" s="1" a="1"/>
  <c r="J1579" i="2" s="1"/>
  <c r="I1580" i="2"/>
  <c r="J1580" i="2" s="1" a="1"/>
  <c r="J1580" i="2" s="1"/>
  <c r="I1581" i="2"/>
  <c r="J1581" i="2" s="1" a="1"/>
  <c r="J1581" i="2" s="1"/>
  <c r="I1582" i="2"/>
  <c r="J1582" i="2" s="1" a="1"/>
  <c r="J1582" i="2" s="1"/>
  <c r="I1583" i="2"/>
  <c r="I1584" i="2"/>
  <c r="J1584" i="2" s="1" a="1"/>
  <c r="J1584" i="2" s="1"/>
  <c r="I1585" i="2"/>
  <c r="J1585" i="2" s="1" a="1"/>
  <c r="J1585" i="2" s="1"/>
  <c r="I1586" i="2"/>
  <c r="J1586" i="2" s="1" a="1"/>
  <c r="J1586" i="2" s="1"/>
  <c r="I1587" i="2"/>
  <c r="J1587" i="2" s="1" a="1"/>
  <c r="J1587" i="2" s="1"/>
  <c r="I1588" i="2"/>
  <c r="J1588" i="2" s="1" a="1"/>
  <c r="J1588" i="2" s="1"/>
  <c r="I1589" i="2"/>
  <c r="J1589" i="2" s="1" a="1"/>
  <c r="J1589" i="2" s="1"/>
  <c r="I1590" i="2"/>
  <c r="J1590" i="2" s="1" a="1"/>
  <c r="J1590" i="2" s="1"/>
  <c r="I1591" i="2"/>
  <c r="J1591" i="2" s="1" a="1"/>
  <c r="J1591" i="2" s="1"/>
  <c r="I1592" i="2"/>
  <c r="J1592" i="2" s="1" a="1"/>
  <c r="J1592" i="2" s="1"/>
  <c r="I1593" i="2"/>
  <c r="J1593" i="2" s="1" a="1"/>
  <c r="J1593" i="2" s="1"/>
  <c r="I1594" i="2"/>
  <c r="J1594" i="2" s="1" a="1"/>
  <c r="J1594" i="2" s="1"/>
  <c r="I1595" i="2"/>
  <c r="J1595" i="2" s="1" a="1"/>
  <c r="J1595" i="2" s="1"/>
  <c r="I1596" i="2"/>
  <c r="J1596" i="2" s="1" a="1"/>
  <c r="J1596" i="2" s="1"/>
  <c r="I1597" i="2"/>
  <c r="J1597" i="2" s="1" a="1"/>
  <c r="J1597" i="2" s="1"/>
  <c r="I1598" i="2"/>
  <c r="J1598" i="2" s="1" a="1"/>
  <c r="J1598" i="2" s="1"/>
  <c r="I1599" i="2"/>
  <c r="I1600" i="2"/>
  <c r="J1600" i="2" s="1" a="1"/>
  <c r="J1600" i="2" s="1"/>
  <c r="I1601" i="2"/>
  <c r="J1601" i="2" s="1" a="1"/>
  <c r="J1601" i="2" s="1"/>
  <c r="I1602" i="2"/>
  <c r="J1602" i="2" s="1" a="1"/>
  <c r="J1602" i="2" s="1"/>
  <c r="I1603" i="2"/>
  <c r="J1603" i="2" s="1" a="1"/>
  <c r="J1603" i="2" s="1"/>
  <c r="I1604" i="2"/>
  <c r="J1604" i="2" s="1" a="1"/>
  <c r="J1604" i="2" s="1"/>
  <c r="I1605" i="2"/>
  <c r="J1605" i="2" s="1" a="1"/>
  <c r="J1605" i="2" s="1"/>
  <c r="I1606" i="2"/>
  <c r="J1606" i="2" s="1" a="1"/>
  <c r="J1606" i="2" s="1"/>
  <c r="I1607" i="2"/>
  <c r="J1607" i="2" s="1" a="1"/>
  <c r="J1607" i="2" s="1"/>
  <c r="I1608" i="2"/>
  <c r="J1608" i="2" s="1" a="1"/>
  <c r="J1608" i="2" s="1"/>
  <c r="I1609" i="2"/>
  <c r="J1609" i="2" s="1" a="1"/>
  <c r="J1609" i="2" s="1"/>
  <c r="I1610" i="2"/>
  <c r="J1610" i="2" s="1" a="1"/>
  <c r="J1610" i="2" s="1"/>
  <c r="I1611" i="2"/>
  <c r="J1611" i="2" s="1" a="1"/>
  <c r="J1611" i="2" s="1"/>
  <c r="I1612" i="2"/>
  <c r="J1612" i="2" s="1" a="1"/>
  <c r="J1612" i="2" s="1"/>
  <c r="I1613" i="2"/>
  <c r="J1613" i="2" s="1" a="1"/>
  <c r="J1613" i="2" s="1"/>
  <c r="I1614" i="2"/>
  <c r="J1614" i="2" s="1" a="1"/>
  <c r="J1614" i="2" s="1"/>
  <c r="I1615" i="2"/>
  <c r="J1615" i="2" s="1" a="1"/>
  <c r="J1615" i="2" s="1"/>
  <c r="I1616" i="2"/>
  <c r="J1616" i="2" s="1" a="1"/>
  <c r="J1616" i="2" s="1"/>
  <c r="I1617" i="2"/>
  <c r="J1617" i="2" s="1" a="1"/>
  <c r="J1617" i="2" s="1"/>
  <c r="I1618" i="2"/>
  <c r="J1618" i="2" s="1" a="1"/>
  <c r="J1618" i="2" s="1"/>
  <c r="I1619" i="2"/>
  <c r="J1619" i="2" s="1" a="1"/>
  <c r="J1619" i="2" s="1"/>
  <c r="I1620" i="2"/>
  <c r="J1620" i="2" s="1" a="1"/>
  <c r="J1620" i="2" s="1"/>
  <c r="I1621" i="2"/>
  <c r="J1621" i="2" s="1" a="1"/>
  <c r="J1621" i="2" s="1"/>
  <c r="I1622" i="2"/>
  <c r="J1622" i="2" s="1" a="1"/>
  <c r="J1622" i="2" s="1"/>
  <c r="I1623" i="2"/>
  <c r="J1623" i="2" s="1" a="1"/>
  <c r="J1623" i="2" s="1"/>
  <c r="I1624" i="2"/>
  <c r="J1624" i="2" s="1" a="1"/>
  <c r="J1624" i="2" s="1"/>
  <c r="I1625" i="2"/>
  <c r="J1625" i="2" s="1" a="1"/>
  <c r="J1625" i="2" s="1"/>
  <c r="I1626" i="2"/>
  <c r="J1626" i="2" s="1" a="1"/>
  <c r="J1626" i="2" s="1"/>
  <c r="I1627" i="2"/>
  <c r="J1627" i="2" s="1" a="1"/>
  <c r="J1627" i="2" s="1"/>
  <c r="I1628" i="2"/>
  <c r="J1628" i="2" s="1" a="1"/>
  <c r="J1628" i="2" s="1"/>
  <c r="I1629" i="2"/>
  <c r="J1629" i="2" s="1" a="1"/>
  <c r="J1629" i="2" s="1"/>
  <c r="I1630" i="2"/>
  <c r="J1630" i="2" s="1" a="1"/>
  <c r="J1630" i="2" s="1"/>
  <c r="I1631" i="2"/>
  <c r="I1632" i="2"/>
  <c r="J1632" i="2" s="1" a="1"/>
  <c r="J1632" i="2" s="1"/>
  <c r="I1633" i="2"/>
  <c r="J1633" i="2" s="1" a="1"/>
  <c r="J1633" i="2" s="1"/>
  <c r="I1634" i="2"/>
  <c r="J1634" i="2" s="1" a="1"/>
  <c r="J1634" i="2" s="1"/>
  <c r="I1635" i="2"/>
  <c r="J1635" i="2" s="1" a="1"/>
  <c r="J1635" i="2" s="1"/>
  <c r="I1636" i="2"/>
  <c r="J1636" i="2" s="1" a="1"/>
  <c r="J1636" i="2" s="1"/>
  <c r="I1637" i="2"/>
  <c r="J1637" i="2" s="1" a="1"/>
  <c r="J1637" i="2" s="1"/>
  <c r="I1638" i="2"/>
  <c r="J1638" i="2" s="1" a="1"/>
  <c r="J1638" i="2" s="1"/>
  <c r="I1639" i="2"/>
  <c r="J1639" i="2" s="1" a="1"/>
  <c r="J1639" i="2" s="1"/>
  <c r="I1640" i="2"/>
  <c r="J1640" i="2" s="1" a="1"/>
  <c r="J1640" i="2" s="1"/>
  <c r="I1641" i="2"/>
  <c r="J1641" i="2" s="1" a="1"/>
  <c r="J1641" i="2" s="1"/>
  <c r="I1642" i="2"/>
  <c r="J1642" i="2" s="1" a="1"/>
  <c r="J1642" i="2" s="1"/>
  <c r="I1643" i="2"/>
  <c r="I1644" i="2"/>
  <c r="J1644" i="2" s="1" a="1"/>
  <c r="J1644" i="2" s="1"/>
  <c r="I1645" i="2"/>
  <c r="J1645" i="2" s="1" a="1"/>
  <c r="J1645" i="2" s="1"/>
  <c r="I1646" i="2"/>
  <c r="J1646" i="2" s="1" a="1"/>
  <c r="J1646" i="2" s="1"/>
  <c r="I1647" i="2"/>
  <c r="J1647" i="2" s="1" a="1"/>
  <c r="J1647" i="2" s="1"/>
  <c r="I1648" i="2"/>
  <c r="J1648" i="2" s="1" a="1"/>
  <c r="J1648" i="2" s="1"/>
  <c r="I1649" i="2"/>
  <c r="J1649" i="2" s="1" a="1"/>
  <c r="J1649" i="2" s="1"/>
  <c r="I1650" i="2"/>
  <c r="J1650" i="2" s="1" a="1"/>
  <c r="J1650" i="2" s="1"/>
  <c r="I1651" i="2"/>
  <c r="J1651" i="2" s="1" a="1"/>
  <c r="J1651" i="2" s="1"/>
  <c r="I1652" i="2"/>
  <c r="J1652" i="2" s="1" a="1"/>
  <c r="J1652" i="2" s="1"/>
  <c r="I1653" i="2"/>
  <c r="J1653" i="2" s="1" a="1"/>
  <c r="J1653" i="2" s="1"/>
  <c r="I1654" i="2"/>
  <c r="J1654" i="2" s="1" a="1"/>
  <c r="J1654" i="2" s="1"/>
  <c r="I1655" i="2"/>
  <c r="J1655" i="2" s="1" a="1"/>
  <c r="J1655" i="2" s="1"/>
  <c r="I1656" i="2"/>
  <c r="J1656" i="2" s="1" a="1"/>
  <c r="J1656" i="2" s="1"/>
  <c r="I1657" i="2"/>
  <c r="J1657" i="2" s="1" a="1"/>
  <c r="J1657" i="2" s="1"/>
  <c r="I1658" i="2"/>
  <c r="J1658" i="2" s="1" a="1"/>
  <c r="J1658" i="2" s="1"/>
  <c r="I1659" i="2"/>
  <c r="J1659" i="2" s="1" a="1"/>
  <c r="J1659" i="2" s="1"/>
  <c r="I1660" i="2"/>
  <c r="J1660" i="2" s="1" a="1"/>
  <c r="J1660" i="2" s="1"/>
  <c r="I1661" i="2"/>
  <c r="J1661" i="2" s="1" a="1"/>
  <c r="J1661" i="2" s="1"/>
  <c r="I1662" i="2"/>
  <c r="J1662" i="2" s="1" a="1"/>
  <c r="J1662" i="2" s="1"/>
  <c r="I1663" i="2"/>
  <c r="J1663" i="2" s="1" a="1"/>
  <c r="J1663" i="2" s="1"/>
  <c r="I1664" i="2"/>
  <c r="J1664" i="2" s="1" a="1"/>
  <c r="J1664" i="2" s="1"/>
  <c r="I1665" i="2"/>
  <c r="J1665" i="2" s="1" a="1"/>
  <c r="J1665" i="2" s="1"/>
  <c r="I1666" i="2"/>
  <c r="J1666" i="2" s="1" a="1"/>
  <c r="J1666" i="2" s="1"/>
  <c r="I1667" i="2"/>
  <c r="J1667" i="2" s="1" a="1"/>
  <c r="J1667" i="2" s="1"/>
  <c r="I1668" i="2"/>
  <c r="J1668" i="2" s="1" a="1"/>
  <c r="J1668" i="2" s="1"/>
  <c r="I1669" i="2"/>
  <c r="J1669" i="2" s="1" a="1"/>
  <c r="J1669" i="2" s="1"/>
  <c r="I1670" i="2"/>
  <c r="J1670" i="2" s="1" a="1"/>
  <c r="J1670" i="2" s="1"/>
  <c r="I1671" i="2"/>
  <c r="J1671" i="2" s="1" a="1"/>
  <c r="J1671" i="2" s="1"/>
  <c r="I1672" i="2"/>
  <c r="J1672" i="2" s="1" a="1"/>
  <c r="J1672" i="2" s="1"/>
  <c r="I1673" i="2"/>
  <c r="J1673" i="2" s="1" a="1"/>
  <c r="J1673" i="2" s="1"/>
  <c r="I1674" i="2"/>
  <c r="J1674" i="2" s="1" a="1"/>
  <c r="J1674" i="2" s="1"/>
  <c r="I1675" i="2"/>
  <c r="I1676" i="2"/>
  <c r="J1676" i="2" s="1" a="1"/>
  <c r="J1676" i="2" s="1"/>
  <c r="I1677" i="2"/>
  <c r="J1677" i="2" s="1" a="1"/>
  <c r="J1677" i="2" s="1"/>
  <c r="I1678" i="2"/>
  <c r="J1678" i="2" s="1" a="1"/>
  <c r="J1678" i="2" s="1"/>
  <c r="I1679" i="2"/>
  <c r="J1679" i="2" s="1" a="1"/>
  <c r="J1679" i="2" s="1"/>
  <c r="I1680" i="2"/>
  <c r="J1680" i="2" s="1" a="1"/>
  <c r="J1680" i="2" s="1"/>
  <c r="I1681" i="2"/>
  <c r="J1681" i="2" s="1" a="1"/>
  <c r="J1681" i="2" s="1"/>
  <c r="I1682" i="2"/>
  <c r="J1682" i="2" s="1" a="1"/>
  <c r="J1682" i="2" s="1"/>
  <c r="I1683" i="2"/>
  <c r="J1683" i="2" s="1" a="1"/>
  <c r="J1683" i="2" s="1"/>
  <c r="I1684" i="2"/>
  <c r="J1684" i="2" s="1" a="1"/>
  <c r="J1684" i="2" s="1"/>
  <c r="I1685" i="2"/>
  <c r="J1685" i="2" s="1" a="1"/>
  <c r="J1685" i="2" s="1"/>
  <c r="I1686" i="2"/>
  <c r="J1686" i="2" s="1" a="1"/>
  <c r="J1686" i="2" s="1"/>
  <c r="I1687" i="2"/>
  <c r="J1687" i="2" s="1" a="1"/>
  <c r="J1687" i="2" s="1"/>
  <c r="I1688" i="2"/>
  <c r="J1688" i="2" s="1" a="1"/>
  <c r="J1688" i="2" s="1"/>
  <c r="I1689" i="2"/>
  <c r="J1689" i="2" s="1" a="1"/>
  <c r="J1689" i="2" s="1"/>
  <c r="I1690" i="2"/>
  <c r="J1690" i="2" s="1" a="1"/>
  <c r="J1690" i="2" s="1"/>
  <c r="I1691" i="2"/>
  <c r="I1692" i="2"/>
  <c r="J1692" i="2" s="1" a="1"/>
  <c r="J1692" i="2" s="1"/>
  <c r="I1693" i="2"/>
  <c r="J1693" i="2" s="1" a="1"/>
  <c r="J1693" i="2" s="1"/>
  <c r="I1694" i="2"/>
  <c r="J1694" i="2" s="1" a="1"/>
  <c r="J1694" i="2" s="1"/>
  <c r="I1695" i="2"/>
  <c r="J1695" i="2" s="1" a="1"/>
  <c r="J1695" i="2" s="1"/>
  <c r="I1696" i="2"/>
  <c r="J1696" i="2" s="1" a="1"/>
  <c r="J1696" i="2" s="1"/>
  <c r="I1697" i="2"/>
  <c r="J1697" i="2" s="1" a="1"/>
  <c r="J1697" i="2" s="1"/>
  <c r="I1698" i="2"/>
  <c r="J1698" i="2" s="1" a="1"/>
  <c r="J1698" i="2" s="1"/>
  <c r="I1699" i="2"/>
  <c r="J1699" i="2" s="1" a="1"/>
  <c r="J1699" i="2" s="1"/>
  <c r="I1700" i="2"/>
  <c r="J1700" i="2" s="1" a="1"/>
  <c r="J1700" i="2" s="1"/>
  <c r="I1701" i="2"/>
  <c r="J1701" i="2" s="1" a="1"/>
  <c r="J1701" i="2" s="1"/>
  <c r="I1702" i="2"/>
  <c r="J1702" i="2" s="1" a="1"/>
  <c r="J1702" i="2" s="1"/>
  <c r="I1703" i="2"/>
  <c r="J1703" i="2" s="1" a="1"/>
  <c r="J1703" i="2" s="1"/>
  <c r="I1704" i="2"/>
  <c r="J1704" i="2" s="1" a="1"/>
  <c r="J1704" i="2" s="1"/>
  <c r="I1705" i="2"/>
  <c r="J1705" i="2" s="1" a="1"/>
  <c r="J1705" i="2" s="1"/>
  <c r="I1706" i="2"/>
  <c r="J1706" i="2" s="1" a="1"/>
  <c r="J1706" i="2" s="1"/>
  <c r="I1707" i="2"/>
  <c r="I1708" i="2"/>
  <c r="J1708" i="2" s="1" a="1"/>
  <c r="J1708" i="2" s="1"/>
  <c r="I1709" i="2"/>
  <c r="J1709" i="2" s="1" a="1"/>
  <c r="J1709" i="2" s="1"/>
  <c r="I1710" i="2"/>
  <c r="J1710" i="2" s="1" a="1"/>
  <c r="J1710" i="2" s="1"/>
  <c r="I1711" i="2"/>
  <c r="J1711" i="2" s="1" a="1"/>
  <c r="J1711" i="2" s="1"/>
  <c r="I1712" i="2"/>
  <c r="J1712" i="2" s="1" a="1"/>
  <c r="J1712" i="2" s="1"/>
  <c r="I1713" i="2"/>
  <c r="J1713" i="2" s="1" a="1"/>
  <c r="J1713" i="2" s="1"/>
  <c r="I1714" i="2"/>
  <c r="J1714" i="2" s="1" a="1"/>
  <c r="J1714" i="2" s="1"/>
  <c r="I1715" i="2"/>
  <c r="J1715" i="2" s="1" a="1"/>
  <c r="J1715" i="2" s="1"/>
  <c r="I1716" i="2"/>
  <c r="J1716" i="2" s="1" a="1"/>
  <c r="J1716" i="2" s="1"/>
  <c r="I1717" i="2"/>
  <c r="J1717" i="2" s="1" a="1"/>
  <c r="J1717" i="2" s="1"/>
  <c r="I1718" i="2"/>
  <c r="J1718" i="2" s="1" a="1"/>
  <c r="J1718" i="2" s="1"/>
  <c r="I1719" i="2"/>
  <c r="J1719" i="2" s="1" a="1"/>
  <c r="J1719" i="2" s="1"/>
  <c r="I1720" i="2"/>
  <c r="J1720" i="2" s="1" a="1"/>
  <c r="J1720" i="2" s="1"/>
  <c r="I1721" i="2"/>
  <c r="J1721" i="2" s="1" a="1"/>
  <c r="J1721" i="2" s="1"/>
  <c r="I1722" i="2"/>
  <c r="J1722" i="2" s="1" a="1"/>
  <c r="J1722" i="2" s="1"/>
  <c r="I1723" i="2"/>
  <c r="J1723" i="2" s="1" a="1"/>
  <c r="J1723" i="2" s="1"/>
  <c r="I1724" i="2"/>
  <c r="J1724" i="2" s="1" a="1"/>
  <c r="J1724" i="2" s="1"/>
  <c r="I1725" i="2"/>
  <c r="J1725" i="2" s="1" a="1"/>
  <c r="J1725" i="2" s="1"/>
  <c r="I1726" i="2"/>
  <c r="J1726" i="2" s="1" a="1"/>
  <c r="J1726" i="2" s="1"/>
  <c r="I1727" i="2"/>
  <c r="J1727" i="2" s="1" a="1"/>
  <c r="J1727" i="2" s="1"/>
  <c r="I1728" i="2"/>
  <c r="J1728" i="2" s="1" a="1"/>
  <c r="J1728" i="2" s="1"/>
  <c r="I1729" i="2"/>
  <c r="J1729" i="2" s="1" a="1"/>
  <c r="J1729" i="2" s="1"/>
  <c r="I1730" i="2"/>
  <c r="J1730" i="2" s="1" a="1"/>
  <c r="J1730" i="2" s="1"/>
  <c r="I1731" i="2"/>
  <c r="J1731" i="2" s="1" a="1"/>
  <c r="J1731" i="2" s="1"/>
  <c r="I1732" i="2"/>
  <c r="J1732" i="2" s="1" a="1"/>
  <c r="J1732" i="2" s="1"/>
  <c r="I1733" i="2"/>
  <c r="J1733" i="2" s="1" a="1"/>
  <c r="J1733" i="2" s="1"/>
  <c r="I1734" i="2"/>
  <c r="J1734" i="2" s="1" a="1"/>
  <c r="J1734" i="2" s="1"/>
  <c r="I1735" i="2"/>
  <c r="J1735" i="2" s="1" a="1"/>
  <c r="J1735" i="2" s="1"/>
  <c r="I1736" i="2"/>
  <c r="J1736" i="2" s="1" a="1"/>
  <c r="J1736" i="2" s="1"/>
  <c r="I1737" i="2"/>
  <c r="J1737" i="2" s="1" a="1"/>
  <c r="J1737" i="2" s="1"/>
  <c r="I1738" i="2"/>
  <c r="J1738" i="2" s="1" a="1"/>
  <c r="J1738" i="2" s="1"/>
  <c r="I1739" i="2"/>
  <c r="I1740" i="2"/>
  <c r="J1740" i="2" s="1" a="1"/>
  <c r="J1740" i="2" s="1"/>
  <c r="I1741" i="2"/>
  <c r="J1741" i="2" s="1" a="1"/>
  <c r="J1741" i="2" s="1"/>
  <c r="I1742" i="2"/>
  <c r="J1742" i="2" s="1" a="1"/>
  <c r="J1742" i="2" s="1"/>
  <c r="I1743" i="2"/>
  <c r="J1743" i="2" s="1" a="1"/>
  <c r="J1743" i="2" s="1"/>
  <c r="I1744" i="2"/>
  <c r="J1744" i="2" s="1" a="1"/>
  <c r="J1744" i="2" s="1"/>
  <c r="I1745" i="2"/>
  <c r="J1745" i="2" s="1" a="1"/>
  <c r="J1745" i="2" s="1"/>
  <c r="I1746" i="2"/>
  <c r="J1746" i="2" s="1" a="1"/>
  <c r="J1746" i="2" s="1"/>
  <c r="I1747" i="2"/>
  <c r="J1747" i="2" s="1" a="1"/>
  <c r="J1747" i="2" s="1"/>
  <c r="I1748" i="2"/>
  <c r="J1748" i="2" s="1" a="1"/>
  <c r="J1748" i="2" s="1"/>
  <c r="I1749" i="2"/>
  <c r="J1749" i="2" s="1" a="1"/>
  <c r="J1749" i="2" s="1"/>
  <c r="I1750" i="2"/>
  <c r="J1750" i="2" s="1" a="1"/>
  <c r="J1750" i="2" s="1"/>
  <c r="I1751" i="2"/>
  <c r="J1751" i="2" s="1" a="1"/>
  <c r="J1751" i="2" s="1"/>
  <c r="I1752" i="2"/>
  <c r="J1752" i="2" s="1" a="1"/>
  <c r="J1752" i="2" s="1"/>
  <c r="I1753" i="2"/>
  <c r="J1753" i="2" s="1" a="1"/>
  <c r="J1753" i="2" s="1"/>
  <c r="I1754" i="2"/>
  <c r="J1754" i="2" s="1" a="1"/>
  <c r="J1754" i="2" s="1"/>
  <c r="I1755" i="2"/>
  <c r="I1756" i="2"/>
  <c r="J1756" i="2" s="1" a="1"/>
  <c r="J1756" i="2" s="1"/>
  <c r="I1757" i="2"/>
  <c r="J1757" i="2" s="1" a="1"/>
  <c r="J1757" i="2" s="1"/>
  <c r="I1758" i="2"/>
  <c r="J1758" i="2" s="1" a="1"/>
  <c r="J1758" i="2" s="1"/>
  <c r="I1759" i="2"/>
  <c r="J1759" i="2" s="1" a="1"/>
  <c r="J1759" i="2" s="1"/>
  <c r="I1760" i="2"/>
  <c r="J1760" i="2" s="1" a="1"/>
  <c r="J1760" i="2" s="1"/>
  <c r="I1761" i="2"/>
  <c r="J1761" i="2" s="1" a="1"/>
  <c r="J1761" i="2" s="1"/>
  <c r="I1762" i="2"/>
  <c r="J1762" i="2" s="1" a="1"/>
  <c r="J1762" i="2" s="1"/>
  <c r="I1763" i="2"/>
  <c r="J1763" i="2" s="1" a="1"/>
  <c r="J1763" i="2" s="1"/>
  <c r="I1764" i="2"/>
  <c r="J1764" i="2" s="1" a="1"/>
  <c r="J1764" i="2" s="1"/>
  <c r="I1765" i="2"/>
  <c r="J1765" i="2" s="1" a="1"/>
  <c r="J1765" i="2" s="1"/>
  <c r="I1766" i="2"/>
  <c r="J1766" i="2" s="1" a="1"/>
  <c r="J1766" i="2" s="1"/>
  <c r="I1767" i="2"/>
  <c r="I1768" i="2"/>
  <c r="J1768" i="2" s="1" a="1"/>
  <c r="J1768" i="2" s="1"/>
  <c r="I1769" i="2"/>
  <c r="J1769" i="2" s="1" a="1"/>
  <c r="J1769" i="2" s="1"/>
  <c r="I1770" i="2"/>
  <c r="J1770" i="2" s="1" a="1"/>
  <c r="J1770" i="2" s="1"/>
  <c r="I1771" i="2"/>
  <c r="J1771" i="2" s="1" a="1"/>
  <c r="J1771" i="2" s="1"/>
  <c r="I1772" i="2"/>
  <c r="J1772" i="2" s="1" a="1"/>
  <c r="J1772" i="2" s="1"/>
  <c r="I1773" i="2"/>
  <c r="J1773" i="2" s="1" a="1"/>
  <c r="J1773" i="2" s="1"/>
  <c r="I1774" i="2"/>
  <c r="J1774" i="2" s="1" a="1"/>
  <c r="J1774" i="2" s="1"/>
  <c r="I1775" i="2"/>
  <c r="J1775" i="2" s="1" a="1"/>
  <c r="J1775" i="2" s="1"/>
  <c r="I1776" i="2"/>
  <c r="J1776" i="2" s="1" a="1"/>
  <c r="J1776" i="2" s="1"/>
  <c r="I1777" i="2"/>
  <c r="J1777" i="2" s="1" a="1"/>
  <c r="J1777" i="2" s="1"/>
  <c r="I1778" i="2"/>
  <c r="J1778" i="2" s="1" a="1"/>
  <c r="J1778" i="2" s="1"/>
  <c r="I1779" i="2"/>
  <c r="J1779" i="2" s="1" a="1"/>
  <c r="J1779" i="2" s="1"/>
  <c r="I1780" i="2"/>
  <c r="J1780" i="2" s="1" a="1"/>
  <c r="J1780" i="2" s="1"/>
  <c r="I1781" i="2"/>
  <c r="J1781" i="2" s="1" a="1"/>
  <c r="J1781" i="2" s="1"/>
  <c r="I1782" i="2"/>
  <c r="J1782" i="2" s="1" a="1"/>
  <c r="J1782" i="2" s="1"/>
  <c r="I1783" i="2"/>
  <c r="J1783" i="2" s="1" a="1"/>
  <c r="J1783" i="2" s="1"/>
  <c r="I1784" i="2"/>
  <c r="J1784" i="2" s="1" a="1"/>
  <c r="J1784" i="2" s="1"/>
  <c r="I1785" i="2"/>
  <c r="J1785" i="2" s="1" a="1"/>
  <c r="J1785" i="2" s="1"/>
  <c r="J2" i="2" a="1"/>
  <c r="J2" i="2" s="1"/>
  <c r="J3" i="2" a="1"/>
  <c r="J3" i="2" s="1"/>
  <c r="J4" i="2" a="1"/>
  <c r="J4" i="2" s="1"/>
  <c r="J5" i="2" a="1"/>
  <c r="J5" i="2" s="1"/>
  <c r="J7" i="2" a="1"/>
  <c r="J7" i="2" s="1"/>
  <c r="J11" i="2" a="1"/>
  <c r="J11" i="2" s="1"/>
  <c r="J12" i="2" a="1"/>
  <c r="J12" i="2" s="1"/>
  <c r="J15" i="2" a="1"/>
  <c r="J15" i="2" s="1"/>
  <c r="J19" i="2" a="1"/>
  <c r="J19" i="2" s="1"/>
  <c r="J23" i="2" a="1"/>
  <c r="J23" i="2" s="1"/>
  <c r="J24" i="2" a="1"/>
  <c r="J24" i="2" s="1"/>
  <c r="J27" i="2" a="1"/>
  <c r="J27" i="2" s="1"/>
  <c r="J31" i="2" a="1"/>
  <c r="J31" i="2" s="1"/>
  <c r="J35" i="2" a="1"/>
  <c r="J35" i="2" s="1"/>
  <c r="J36" i="2" a="1"/>
  <c r="J36" i="2" s="1"/>
  <c r="J39" i="2" a="1"/>
  <c r="J39" i="2" s="1"/>
  <c r="J43" i="2" a="1"/>
  <c r="J43" i="2" s="1"/>
  <c r="J44" i="2" a="1"/>
  <c r="J44" i="2" s="1"/>
  <c r="J47" i="2" a="1"/>
  <c r="J47" i="2" s="1"/>
  <c r="J51" i="2" a="1"/>
  <c r="J51" i="2" s="1"/>
  <c r="J55" i="2" a="1"/>
  <c r="J55" i="2" s="1"/>
  <c r="J56" i="2" a="1"/>
  <c r="J56" i="2" s="1"/>
  <c r="J59" i="2" a="1"/>
  <c r="J59" i="2" s="1"/>
  <c r="J63" i="2" a="1"/>
  <c r="J63" i="2" s="1"/>
  <c r="J64" i="2" a="1"/>
  <c r="J64" i="2" s="1"/>
  <c r="J67" i="2" a="1"/>
  <c r="J67" i="2" s="1"/>
  <c r="J71" i="2" a="1"/>
  <c r="J71" i="2" s="1"/>
  <c r="J75" i="2" a="1"/>
  <c r="J75" i="2" s="1"/>
  <c r="J76" i="2" a="1"/>
  <c r="J76" i="2" s="1"/>
  <c r="J79" i="2" a="1"/>
  <c r="J79" i="2" s="1"/>
  <c r="J83" i="2" a="1"/>
  <c r="J83" i="2" s="1"/>
  <c r="J87" i="2" a="1"/>
  <c r="J87" i="2" s="1"/>
  <c r="J91" i="2" a="1"/>
  <c r="J91" i="2" s="1"/>
  <c r="J95" i="2" a="1"/>
  <c r="J95" i="2" s="1"/>
  <c r="J99" i="2" a="1"/>
  <c r="J99" i="2" s="1"/>
  <c r="J100" i="2" a="1"/>
  <c r="J100" i="2" s="1"/>
  <c r="J103" i="2" a="1"/>
  <c r="J103" i="2" s="1"/>
  <c r="J107" i="2" a="1"/>
  <c r="J107" i="2" s="1"/>
  <c r="J111" i="2" a="1"/>
  <c r="J111" i="2" s="1"/>
  <c r="J115" i="2" a="1"/>
  <c r="J115" i="2" s="1"/>
  <c r="J116" i="2" a="1"/>
  <c r="J116" i="2" s="1"/>
  <c r="J119" i="2" a="1"/>
  <c r="J119" i="2" s="1"/>
  <c r="J120" i="2" a="1"/>
  <c r="J120" i="2" s="1"/>
  <c r="J123" i="2" a="1"/>
  <c r="J123" i="2" s="1"/>
  <c r="J124" i="2" a="1"/>
  <c r="J124" i="2" s="1"/>
  <c r="J127" i="2" a="1"/>
  <c r="J127" i="2" s="1"/>
  <c r="J131" i="2" a="1"/>
  <c r="J131" i="2" s="1"/>
  <c r="J132" i="2" a="1"/>
  <c r="J132" i="2" s="1"/>
  <c r="J135" i="2" a="1"/>
  <c r="J135" i="2" s="1"/>
  <c r="J139" i="2" a="1"/>
  <c r="J139" i="2" s="1"/>
  <c r="J140" i="2" a="1"/>
  <c r="J140" i="2" s="1"/>
  <c r="J143" i="2" a="1"/>
  <c r="J143" i="2" s="1"/>
  <c r="J144" i="2" a="1"/>
  <c r="J144" i="2" s="1"/>
  <c r="J147" i="2" a="1"/>
  <c r="J147" i="2" s="1"/>
  <c r="J148" i="2" a="1"/>
  <c r="J148" i="2" s="1"/>
  <c r="J151" i="2" a="1"/>
  <c r="J151" i="2" s="1"/>
  <c r="J152" i="2" a="1"/>
  <c r="J152" i="2" s="1"/>
  <c r="J155" i="2" a="1"/>
  <c r="J155" i="2" s="1"/>
  <c r="J159" i="2" a="1"/>
  <c r="J159" i="2" s="1"/>
  <c r="J160" i="2" a="1"/>
  <c r="J160" i="2" s="1"/>
  <c r="J163" i="2" a="1"/>
  <c r="J163" i="2" s="1"/>
  <c r="J167" i="2" a="1"/>
  <c r="J167" i="2" s="1"/>
  <c r="J171" i="2" a="1"/>
  <c r="J171" i="2" s="1"/>
  <c r="J172" i="2" a="1"/>
  <c r="J172" i="2" s="1"/>
  <c r="J175" i="2" a="1"/>
  <c r="J175" i="2" s="1"/>
  <c r="J179" i="2" a="1"/>
  <c r="J179" i="2" s="1"/>
  <c r="J180" i="2" a="1"/>
  <c r="J180" i="2" s="1"/>
  <c r="J183" i="2" a="1"/>
  <c r="J183" i="2" s="1"/>
  <c r="J187" i="2" a="1"/>
  <c r="J187" i="2" s="1"/>
  <c r="J191" i="2" a="1"/>
  <c r="J191" i="2" s="1"/>
  <c r="J195" i="2" a="1"/>
  <c r="J195" i="2" s="1"/>
  <c r="J196" i="2" a="1"/>
  <c r="J196" i="2" s="1"/>
  <c r="J199" i="2" a="1"/>
  <c r="J199" i="2" s="1"/>
  <c r="J203" i="2" a="1"/>
  <c r="J203" i="2" s="1"/>
  <c r="J207" i="2" a="1"/>
  <c r="J207" i="2" s="1"/>
  <c r="J208" i="2" a="1"/>
  <c r="J208" i="2" s="1"/>
  <c r="J211" i="2" a="1"/>
  <c r="J211" i="2" s="1"/>
  <c r="J215" i="2" a="1"/>
  <c r="J215" i="2" s="1"/>
  <c r="J216" i="2" a="1"/>
  <c r="J216" i="2" s="1"/>
  <c r="J219" i="2" a="1"/>
  <c r="J219" i="2" s="1"/>
  <c r="J223" i="2" a="1"/>
  <c r="J223" i="2" s="1"/>
  <c r="J224" i="2" a="1"/>
  <c r="J224" i="2" s="1"/>
  <c r="J227" i="2" a="1"/>
  <c r="J227" i="2" s="1"/>
  <c r="J231" i="2" a="1"/>
  <c r="J231" i="2" s="1"/>
  <c r="J235" i="2" a="1"/>
  <c r="J235" i="2" s="1"/>
  <c r="J236" i="2" a="1"/>
  <c r="J236" i="2" s="1"/>
  <c r="J239" i="2" a="1"/>
  <c r="J239" i="2" s="1"/>
  <c r="J240" i="2" a="1"/>
  <c r="J240" i="2" s="1"/>
  <c r="J243" i="2" a="1"/>
  <c r="J243" i="2" s="1"/>
  <c r="J244" i="2" a="1"/>
  <c r="J244" i="2" s="1"/>
  <c r="J247" i="2" a="1"/>
  <c r="J247" i="2" s="1"/>
  <c r="J248" i="2" a="1"/>
  <c r="J248" i="2" s="1"/>
  <c r="J251" i="2" a="1"/>
  <c r="J251" i="2" s="1"/>
  <c r="J252" i="2" a="1"/>
  <c r="J252" i="2" s="1"/>
  <c r="J255" i="2" a="1"/>
  <c r="J255" i="2" s="1"/>
  <c r="J259" i="2" a="1"/>
  <c r="J259" i="2" s="1"/>
  <c r="J263" i="2" a="1"/>
  <c r="J263" i="2" s="1"/>
  <c r="J267" i="2" a="1"/>
  <c r="J267" i="2" s="1"/>
  <c r="J268" i="2" a="1"/>
  <c r="J268" i="2" s="1"/>
  <c r="J271" i="2" a="1"/>
  <c r="J271" i="2" s="1"/>
  <c r="J275" i="2" a="1"/>
  <c r="J275" i="2" s="1"/>
  <c r="J276" i="2" a="1"/>
  <c r="J276" i="2" s="1"/>
  <c r="J279" i="2" a="1"/>
  <c r="J279" i="2" s="1"/>
  <c r="J283" i="2" a="1"/>
  <c r="J283" i="2" s="1"/>
  <c r="J287" i="2" a="1"/>
  <c r="J287" i="2" s="1"/>
  <c r="J291" i="2" a="1"/>
  <c r="J291" i="2" s="1"/>
  <c r="J295" i="2" a="1"/>
  <c r="J295" i="2" s="1"/>
  <c r="J299" i="2" a="1"/>
  <c r="J299" i="2" s="1"/>
  <c r="J303" i="2" a="1"/>
  <c r="J303" i="2" s="1"/>
  <c r="J304" i="2" a="1"/>
  <c r="J304" i="2" s="1"/>
  <c r="J307" i="2" a="1"/>
  <c r="J307" i="2" s="1"/>
  <c r="J311" i="2" a="1"/>
  <c r="J311" i="2" s="1"/>
  <c r="J312" i="2" a="1"/>
  <c r="J312" i="2" s="1"/>
  <c r="J315" i="2" a="1"/>
  <c r="J315" i="2" s="1"/>
  <c r="J319" i="2" a="1"/>
  <c r="J319" i="2" s="1"/>
  <c r="J323" i="2" a="1"/>
  <c r="J323" i="2" s="1"/>
  <c r="J324" i="2" a="1"/>
  <c r="J324" i="2" s="1"/>
  <c r="J327" i="2" a="1"/>
  <c r="J327" i="2" s="1"/>
  <c r="J331" i="2" a="1"/>
  <c r="J331" i="2" s="1"/>
  <c r="J332" i="2" a="1"/>
  <c r="J332" i="2" s="1"/>
  <c r="J335" i="2" a="1"/>
  <c r="J335" i="2" s="1"/>
  <c r="J339" i="2" a="1"/>
  <c r="J339" i="2" s="1"/>
  <c r="J343" i="2" a="1"/>
  <c r="J343" i="2" s="1"/>
  <c r="J347" i="2" a="1"/>
  <c r="J347" i="2" s="1"/>
  <c r="J351" i="2" a="1"/>
  <c r="J351" i="2" s="1"/>
  <c r="J355" i="2" a="1"/>
  <c r="J355" i="2" s="1"/>
  <c r="J359" i="2" a="1"/>
  <c r="J359" i="2" s="1"/>
  <c r="J363" i="2" a="1"/>
  <c r="J363" i="2" s="1"/>
  <c r="J367" i="2" a="1"/>
  <c r="J367" i="2" s="1"/>
  <c r="J368" i="2" a="1"/>
  <c r="J368" i="2" s="1"/>
  <c r="J371" i="2" a="1"/>
  <c r="J371" i="2" s="1"/>
  <c r="J375" i="2" a="1"/>
  <c r="J375" i="2" s="1"/>
  <c r="J376" i="2" a="1"/>
  <c r="J376" i="2" s="1"/>
  <c r="J379" i="2" a="1"/>
  <c r="J379" i="2" s="1"/>
  <c r="J383" i="2" a="1"/>
  <c r="J383" i="2" s="1"/>
  <c r="J384" i="2" a="1"/>
  <c r="J384" i="2" s="1"/>
  <c r="J387" i="2" a="1"/>
  <c r="J387" i="2" s="1"/>
  <c r="J391" i="2" a="1"/>
  <c r="J391" i="2" s="1"/>
  <c r="J392" i="2" a="1"/>
  <c r="J392" i="2" s="1"/>
  <c r="J395" i="2" a="1"/>
  <c r="J395" i="2" s="1"/>
  <c r="J399" i="2" a="1"/>
  <c r="J399" i="2" s="1"/>
  <c r="J403" i="2" a="1"/>
  <c r="J403" i="2" s="1"/>
  <c r="J404" i="2" a="1"/>
  <c r="J404" i="2" s="1"/>
  <c r="J407" i="2" a="1"/>
  <c r="J407" i="2" s="1"/>
  <c r="J411" i="2" a="1"/>
  <c r="J411" i="2" s="1"/>
  <c r="J412" i="2" a="1"/>
  <c r="J412" i="2" s="1"/>
  <c r="J415" i="2" a="1"/>
  <c r="J415" i="2" s="1"/>
  <c r="J419" i="2" a="1"/>
  <c r="J419" i="2" s="1"/>
  <c r="J423" i="2" a="1"/>
  <c r="J423" i="2" s="1"/>
  <c r="J427" i="2" a="1"/>
  <c r="J427" i="2" s="1"/>
  <c r="J428" i="2" a="1"/>
  <c r="J428" i="2" s="1"/>
  <c r="J431" i="2" a="1"/>
  <c r="J431" i="2" s="1"/>
  <c r="J432" i="2" a="1"/>
  <c r="J432" i="2" s="1"/>
  <c r="J435" i="2" a="1"/>
  <c r="J435" i="2" s="1"/>
  <c r="J436" i="2" a="1"/>
  <c r="J436" i="2" s="1"/>
  <c r="J439" i="2" a="1"/>
  <c r="J439" i="2" s="1"/>
  <c r="J440" i="2" a="1"/>
  <c r="J440" i="2" s="1"/>
  <c r="J443" i="2" a="1"/>
  <c r="J443" i="2" s="1"/>
  <c r="J444" i="2" a="1"/>
  <c r="J444" i="2" s="1"/>
  <c r="J447" i="2" a="1"/>
  <c r="J447" i="2" s="1"/>
  <c r="J448" i="2" a="1"/>
  <c r="J448" i="2" s="1"/>
  <c r="J451" i="2" a="1"/>
  <c r="J451" i="2" s="1"/>
  <c r="J452" i="2" a="1"/>
  <c r="J452" i="2" s="1"/>
  <c r="J455" i="2" a="1"/>
  <c r="J455" i="2" s="1"/>
  <c r="J456" i="2" a="1"/>
  <c r="J456" i="2" s="1"/>
  <c r="J459" i="2" a="1"/>
  <c r="J459" i="2" s="1"/>
  <c r="J463" i="2" a="1"/>
  <c r="J463" i="2" s="1"/>
  <c r="J467" i="2" a="1"/>
  <c r="J467" i="2" s="1"/>
  <c r="J468" i="2" a="1"/>
  <c r="J468" i="2" s="1"/>
  <c r="J471" i="2" a="1"/>
  <c r="J471" i="2" s="1"/>
  <c r="J475" i="2" a="1"/>
  <c r="J475" i="2" s="1"/>
  <c r="J479" i="2" a="1"/>
  <c r="J479" i="2" s="1"/>
  <c r="J480" i="2" a="1"/>
  <c r="J480" i="2" s="1"/>
  <c r="J483" i="2" a="1"/>
  <c r="J483" i="2" s="1"/>
  <c r="J487" i="2" a="1"/>
  <c r="J487" i="2" s="1"/>
  <c r="J491" i="2" a="1"/>
  <c r="J491" i="2" s="1"/>
  <c r="J495" i="2" a="1"/>
  <c r="J495" i="2" s="1"/>
  <c r="J496" i="2" a="1"/>
  <c r="J496" i="2" s="1"/>
  <c r="J499" i="2" a="1"/>
  <c r="J499" i="2" s="1"/>
  <c r="J503" i="2" a="1"/>
  <c r="J503" i="2" s="1"/>
  <c r="J507" i="2" a="1"/>
  <c r="J507" i="2" s="1"/>
  <c r="J511" i="2" a="1"/>
  <c r="J511" i="2" s="1"/>
  <c r="J515" i="2" a="1"/>
  <c r="J515" i="2" s="1"/>
  <c r="J519" i="2" a="1"/>
  <c r="J519" i="2" s="1"/>
  <c r="J520" i="2" a="1"/>
  <c r="J520" i="2" s="1"/>
  <c r="J523" i="2" a="1"/>
  <c r="J523" i="2" s="1"/>
  <c r="J527" i="2" a="1"/>
  <c r="J527" i="2" s="1"/>
  <c r="J531" i="2" a="1"/>
  <c r="J531" i="2" s="1"/>
  <c r="J532" i="2" a="1"/>
  <c r="J532" i="2" s="1"/>
  <c r="J535" i="2" a="1"/>
  <c r="J535" i="2" s="1"/>
  <c r="J539" i="2" a="1"/>
  <c r="J539" i="2" s="1"/>
  <c r="J540" i="2" a="1"/>
  <c r="J540" i="2" s="1"/>
  <c r="J543" i="2" a="1"/>
  <c r="J543" i="2" s="1"/>
  <c r="J547" i="2" a="1"/>
  <c r="J547" i="2" s="1"/>
  <c r="J548" i="2" a="1"/>
  <c r="J548" i="2" s="1"/>
  <c r="J551" i="2" a="1"/>
  <c r="J551" i="2" s="1"/>
  <c r="J555" i="2" a="1"/>
  <c r="J555" i="2" s="1"/>
  <c r="J559" i="2" a="1"/>
  <c r="J559" i="2" s="1"/>
  <c r="J560" i="2" a="1"/>
  <c r="J560" i="2" s="1"/>
  <c r="J563" i="2" a="1"/>
  <c r="J563" i="2" s="1"/>
  <c r="J567" i="2" a="1"/>
  <c r="J567" i="2" s="1"/>
  <c r="J571" i="2" a="1"/>
  <c r="J571" i="2" s="1"/>
  <c r="J575" i="2" a="1"/>
  <c r="J575" i="2" s="1"/>
  <c r="J579" i="2" a="1"/>
  <c r="J579" i="2" s="1"/>
  <c r="J583" i="2" a="1"/>
  <c r="J583" i="2" s="1"/>
  <c r="J587" i="2" a="1"/>
  <c r="J587" i="2" s="1"/>
  <c r="J588" i="2" a="1"/>
  <c r="J588" i="2" s="1"/>
  <c r="J591" i="2" a="1"/>
  <c r="J591" i="2" s="1"/>
  <c r="J595" i="2" a="1"/>
  <c r="J595" i="2" s="1"/>
  <c r="J596" i="2" a="1"/>
  <c r="J596" i="2" s="1"/>
  <c r="J599" i="2" a="1"/>
  <c r="J599" i="2" s="1"/>
  <c r="J603" i="2" a="1"/>
  <c r="J603" i="2" s="1"/>
  <c r="J607" i="2" a="1"/>
  <c r="J607" i="2" s="1"/>
  <c r="J608" i="2" a="1"/>
  <c r="J608" i="2" s="1"/>
  <c r="J611" i="2" a="1"/>
  <c r="J611" i="2" s="1"/>
  <c r="J615" i="2" a="1"/>
  <c r="J615" i="2" s="1"/>
  <c r="J616" i="2" a="1"/>
  <c r="J616" i="2" s="1"/>
  <c r="J619" i="2" a="1"/>
  <c r="J619" i="2" s="1"/>
  <c r="J623" i="2" a="1"/>
  <c r="J623" i="2" s="1"/>
  <c r="J627" i="2" a="1"/>
  <c r="J627" i="2" s="1"/>
  <c r="J631" i="2" a="1"/>
  <c r="J631" i="2" s="1"/>
  <c r="J635" i="2" a="1"/>
  <c r="J635" i="2" s="1"/>
  <c r="J639" i="2" a="1"/>
  <c r="J639" i="2" s="1"/>
  <c r="J640" i="2" a="1"/>
  <c r="J640" i="2" s="1"/>
  <c r="J643" i="2" a="1"/>
  <c r="J643" i="2" s="1"/>
  <c r="J647" i="2" a="1"/>
  <c r="J647" i="2" s="1"/>
  <c r="J651" i="2" a="1"/>
  <c r="J651" i="2" s="1"/>
  <c r="J655" i="2" a="1"/>
  <c r="J655" i="2" s="1"/>
  <c r="J659" i="2" a="1"/>
  <c r="J659" i="2" s="1"/>
  <c r="J663" i="2" a="1"/>
  <c r="J663" i="2" s="1"/>
  <c r="J667" i="2" a="1"/>
  <c r="J667" i="2" s="1"/>
  <c r="J668" i="2" a="1"/>
  <c r="J668" i="2" s="1"/>
  <c r="J671" i="2" a="1"/>
  <c r="J671" i="2" s="1"/>
  <c r="J672" i="2" a="1"/>
  <c r="J672" i="2" s="1"/>
  <c r="J675" i="2" a="1"/>
  <c r="J675" i="2" s="1"/>
  <c r="J676" i="2" a="1"/>
  <c r="J676" i="2" s="1"/>
  <c r="J679" i="2" a="1"/>
  <c r="J679" i="2" s="1"/>
  <c r="J680" i="2" a="1"/>
  <c r="J680" i="2" s="1"/>
  <c r="J683" i="2" a="1"/>
  <c r="J683" i="2" s="1"/>
  <c r="J687" i="2" a="1"/>
  <c r="J687" i="2" s="1"/>
  <c r="J691" i="2" a="1"/>
  <c r="J691" i="2" s="1"/>
  <c r="J695" i="2" a="1"/>
  <c r="J695" i="2" s="1"/>
  <c r="J696" i="2" a="1"/>
  <c r="J696" i="2" s="1"/>
  <c r="J699" i="2" a="1"/>
  <c r="J699" i="2" s="1"/>
  <c r="J703" i="2" a="1"/>
  <c r="J703" i="2" s="1"/>
  <c r="J707" i="2" a="1"/>
  <c r="J707" i="2" s="1"/>
  <c r="J708" i="2" a="1"/>
  <c r="J708" i="2" s="1"/>
  <c r="J711" i="2" a="1"/>
  <c r="J711" i="2" s="1"/>
  <c r="J715" i="2" a="1"/>
  <c r="J715" i="2" s="1"/>
  <c r="J716" i="2" a="1"/>
  <c r="J716" i="2" s="1"/>
  <c r="J719" i="2" a="1"/>
  <c r="J719" i="2" s="1"/>
  <c r="J723" i="2" a="1"/>
  <c r="J723" i="2" s="1"/>
  <c r="J724" i="2" a="1"/>
  <c r="J724" i="2" s="1"/>
  <c r="J727" i="2" a="1"/>
  <c r="J727" i="2" s="1"/>
  <c r="J731" i="2" a="1"/>
  <c r="J731" i="2" s="1"/>
  <c r="J735" i="2" a="1"/>
  <c r="J735" i="2" s="1"/>
  <c r="J739" i="2" a="1"/>
  <c r="J739" i="2" s="1"/>
  <c r="J740" i="2" a="1"/>
  <c r="J740" i="2" s="1"/>
  <c r="J743" i="2" a="1"/>
  <c r="J743" i="2" s="1"/>
  <c r="J747" i="2" a="1"/>
  <c r="J747" i="2" s="1"/>
  <c r="J748" i="2" a="1"/>
  <c r="J748" i="2" s="1"/>
  <c r="J751" i="2" a="1"/>
  <c r="J751" i="2" s="1"/>
  <c r="J755" i="2" a="1"/>
  <c r="J755" i="2" s="1"/>
  <c r="J759" i="2" a="1"/>
  <c r="J759" i="2" s="1"/>
  <c r="J763" i="2" a="1"/>
  <c r="J763" i="2" s="1"/>
  <c r="J764" i="2" a="1"/>
  <c r="J764" i="2" s="1"/>
  <c r="J767" i="2" a="1"/>
  <c r="J767" i="2" s="1"/>
  <c r="J771" i="2" a="1"/>
  <c r="J771" i="2" s="1"/>
  <c r="J775" i="2" a="1"/>
  <c r="J775" i="2" s="1"/>
  <c r="J779" i="2" a="1"/>
  <c r="J779" i="2" s="1"/>
  <c r="J783" i="2" a="1"/>
  <c r="J783" i="2" s="1"/>
  <c r="J784" i="2" a="1"/>
  <c r="J784" i="2" s="1"/>
  <c r="J787" i="2" a="1"/>
  <c r="J787" i="2" s="1"/>
  <c r="J791" i="2" a="1"/>
  <c r="J791" i="2" s="1"/>
  <c r="J795" i="2" a="1"/>
  <c r="J795" i="2" s="1"/>
  <c r="J799" i="2" a="1"/>
  <c r="J799" i="2" s="1"/>
  <c r="J800" i="2" a="1"/>
  <c r="J800" i="2" s="1"/>
  <c r="J803" i="2" a="1"/>
  <c r="J803" i="2" s="1"/>
  <c r="J807" i="2" a="1"/>
  <c r="J807" i="2" s="1"/>
  <c r="J808" i="2" a="1"/>
  <c r="J808" i="2" s="1"/>
  <c r="J811" i="2" a="1"/>
  <c r="J811" i="2" s="1"/>
  <c r="J815" i="2" a="1"/>
  <c r="J815" i="2" s="1"/>
  <c r="J819" i="2" a="1"/>
  <c r="J819" i="2" s="1"/>
  <c r="J820" i="2" a="1"/>
  <c r="J820" i="2" s="1"/>
  <c r="J823" i="2" a="1"/>
  <c r="J823" i="2" s="1"/>
  <c r="J827" i="2" a="1"/>
  <c r="J827" i="2" s="1"/>
  <c r="J828" i="2" a="1"/>
  <c r="J828" i="2" s="1"/>
  <c r="J831" i="2" a="1"/>
  <c r="J831" i="2" s="1"/>
  <c r="J835" i="2" a="1"/>
  <c r="J835" i="2" s="1"/>
  <c r="J839" i="2" a="1"/>
  <c r="J839" i="2" s="1"/>
  <c r="J843" i="2" a="1"/>
  <c r="J843" i="2" s="1"/>
  <c r="J847" i="2" a="1"/>
  <c r="J847" i="2" s="1"/>
  <c r="J851" i="2" a="1"/>
  <c r="J851" i="2" s="1"/>
  <c r="J855" i="2" a="1"/>
  <c r="J855" i="2" s="1"/>
  <c r="J856" i="2" a="1"/>
  <c r="J856" i="2" s="1"/>
  <c r="J859" i="2" a="1"/>
  <c r="J859" i="2" s="1"/>
  <c r="J863" i="2" a="1"/>
  <c r="J863" i="2" s="1"/>
  <c r="J867" i="2" a="1"/>
  <c r="J867" i="2" s="1"/>
  <c r="J871" i="2" a="1"/>
  <c r="J871" i="2" s="1"/>
  <c r="J875" i="2" a="1"/>
  <c r="J875" i="2" s="1"/>
  <c r="J879" i="2" a="1"/>
  <c r="J879" i="2" s="1"/>
  <c r="J883" i="2" a="1"/>
  <c r="J883" i="2" s="1"/>
  <c r="J887" i="2" a="1"/>
  <c r="J887" i="2" s="1"/>
  <c r="J891" i="2" a="1"/>
  <c r="J891" i="2" s="1"/>
  <c r="J895" i="2" a="1"/>
  <c r="J895" i="2" s="1"/>
  <c r="J899" i="2" a="1"/>
  <c r="J899" i="2" s="1"/>
  <c r="J903" i="2" a="1"/>
  <c r="J903" i="2" s="1"/>
  <c r="J904" i="2" a="1"/>
  <c r="J904" i="2" s="1"/>
  <c r="J907" i="2" a="1"/>
  <c r="J907" i="2" s="1"/>
  <c r="J911" i="2" a="1"/>
  <c r="J911" i="2" s="1"/>
  <c r="J912" i="2" a="1"/>
  <c r="J912" i="2" s="1"/>
  <c r="J915" i="2" a="1"/>
  <c r="J915" i="2" s="1"/>
  <c r="J919" i="2" a="1"/>
  <c r="J919" i="2" s="1"/>
  <c r="J923" i="2" a="1"/>
  <c r="J923" i="2" s="1"/>
  <c r="J927" i="2" a="1"/>
  <c r="J927" i="2" s="1"/>
  <c r="J931" i="2" a="1"/>
  <c r="J931" i="2" s="1"/>
  <c r="J935" i="2" a="1"/>
  <c r="J935" i="2" s="1"/>
  <c r="J939" i="2" a="1"/>
  <c r="J939" i="2" s="1"/>
  <c r="J940" i="2" a="1"/>
  <c r="J940" i="2" s="1"/>
  <c r="J943" i="2" a="1"/>
  <c r="J943" i="2" s="1"/>
  <c r="J947" i="2" a="1"/>
  <c r="J947" i="2" s="1"/>
  <c r="J951" i="2" a="1"/>
  <c r="J951" i="2" s="1"/>
  <c r="J955" i="2" a="1"/>
  <c r="J955" i="2" s="1"/>
  <c r="J959" i="2" a="1"/>
  <c r="J959" i="2" s="1"/>
  <c r="J963" i="2" a="1"/>
  <c r="J963" i="2" s="1"/>
  <c r="J964" i="2" a="1"/>
  <c r="J964" i="2" s="1"/>
  <c r="J967" i="2" a="1"/>
  <c r="J967" i="2" s="1"/>
  <c r="J971" i="2" a="1"/>
  <c r="J971" i="2" s="1"/>
  <c r="J975" i="2" a="1"/>
  <c r="J975" i="2" s="1"/>
  <c r="J979" i="2" a="1"/>
  <c r="J979" i="2" s="1"/>
  <c r="J983" i="2" a="1"/>
  <c r="J983" i="2" s="1"/>
  <c r="J987" i="2" a="1"/>
  <c r="J987" i="2" s="1"/>
  <c r="J991" i="2" a="1"/>
  <c r="J991" i="2" s="1"/>
  <c r="J995" i="2" a="1"/>
  <c r="J995" i="2" s="1"/>
  <c r="J999" i="2" a="1"/>
  <c r="J999" i="2" s="1"/>
  <c r="J1003" i="2" a="1"/>
  <c r="J1003" i="2" s="1"/>
  <c r="J1004" i="2" a="1"/>
  <c r="J1004" i="2" s="1"/>
  <c r="J1007" i="2" a="1"/>
  <c r="J1007" i="2" s="1"/>
  <c r="J1011" i="2" a="1"/>
  <c r="J1011" i="2" s="1"/>
  <c r="J1015" i="2" a="1"/>
  <c r="J1015" i="2" s="1"/>
  <c r="J1019" i="2" a="1"/>
  <c r="J1019" i="2" s="1"/>
  <c r="J1023" i="2" a="1"/>
  <c r="J1023" i="2" s="1"/>
  <c r="J1024" i="2" a="1"/>
  <c r="J1024" i="2" s="1"/>
  <c r="J1027" i="2" a="1"/>
  <c r="J1027" i="2" s="1"/>
  <c r="J1031" i="2" a="1"/>
  <c r="J1031" i="2" s="1"/>
  <c r="J1035" i="2" a="1"/>
  <c r="J1035" i="2" s="1"/>
  <c r="J1039" i="2" a="1"/>
  <c r="J1039" i="2" s="1"/>
  <c r="J1043" i="2" a="1"/>
  <c r="J1043" i="2" s="1"/>
  <c r="J1047" i="2" a="1"/>
  <c r="J1047" i="2" s="1"/>
  <c r="J1051" i="2" a="1"/>
  <c r="J1051" i="2" s="1"/>
  <c r="J1055" i="2" a="1"/>
  <c r="J1055" i="2" s="1"/>
  <c r="J1059" i="2" a="1"/>
  <c r="J1059" i="2" s="1"/>
  <c r="J1060" i="2" a="1"/>
  <c r="J1060" i="2" s="1"/>
  <c r="J1063" i="2" a="1"/>
  <c r="J1063" i="2" s="1"/>
  <c r="J1067" i="2" a="1"/>
  <c r="J1067" i="2" s="1"/>
  <c r="J1068" i="2" a="1"/>
  <c r="J1068" i="2" s="1"/>
  <c r="J1071" i="2" a="1"/>
  <c r="J1071" i="2" s="1"/>
  <c r="J1075" i="2" a="1"/>
  <c r="J1075" i="2" s="1"/>
  <c r="J1079" i="2" a="1"/>
  <c r="J1079" i="2" s="1"/>
  <c r="J1083" i="2" a="1"/>
  <c r="J1083" i="2" s="1"/>
  <c r="J1087" i="2" a="1"/>
  <c r="J1087" i="2" s="1"/>
  <c r="J1091" i="2" a="1"/>
  <c r="J1091" i="2" s="1"/>
  <c r="J1095" i="2" a="1"/>
  <c r="J1095" i="2" s="1"/>
  <c r="J1099" i="2" a="1"/>
  <c r="J1099" i="2" s="1"/>
  <c r="J1103" i="2" a="1"/>
  <c r="J1103" i="2" s="1"/>
  <c r="J1107" i="2" a="1"/>
  <c r="J1107" i="2" s="1"/>
  <c r="J1111" i="2" a="1"/>
  <c r="J1111" i="2" s="1"/>
  <c r="J1115" i="2" a="1"/>
  <c r="J1115" i="2" s="1"/>
  <c r="J1119" i="2" a="1"/>
  <c r="J1119" i="2" s="1"/>
  <c r="J1123" i="2" a="1"/>
  <c r="J1123" i="2" s="1"/>
  <c r="J1124" i="2" a="1"/>
  <c r="J1124" i="2" s="1"/>
  <c r="J1127" i="2" a="1"/>
  <c r="J1127" i="2" s="1"/>
  <c r="J1131" i="2" a="1"/>
  <c r="J1131" i="2" s="1"/>
  <c r="J1135" i="2" a="1"/>
  <c r="J1135" i="2" s="1"/>
  <c r="J1136" i="2" a="1"/>
  <c r="J1136" i="2" s="1"/>
  <c r="J1139" i="2" a="1"/>
  <c r="J1139" i="2" s="1"/>
  <c r="J1143" i="2" a="1"/>
  <c r="J1143" i="2" s="1"/>
  <c r="J1147" i="2" a="1"/>
  <c r="J1147" i="2" s="1"/>
  <c r="J1151" i="2" a="1"/>
  <c r="J1151" i="2" s="1"/>
  <c r="J1155" i="2" a="1"/>
  <c r="J1155" i="2" s="1"/>
  <c r="J1156" i="2" a="1"/>
  <c r="J1156" i="2" s="1"/>
  <c r="J1159" i="2" a="1"/>
  <c r="J1159" i="2" s="1"/>
  <c r="J1163" i="2" a="1"/>
  <c r="J1163" i="2" s="1"/>
  <c r="J1167" i="2" a="1"/>
  <c r="J1167" i="2" s="1"/>
  <c r="J1171" i="2" a="1"/>
  <c r="J1171" i="2" s="1"/>
  <c r="J1175" i="2" a="1"/>
  <c r="J1175" i="2" s="1"/>
  <c r="J1179" i="2" a="1"/>
  <c r="J1179" i="2" s="1"/>
  <c r="J1180" i="2" a="1"/>
  <c r="J1180" i="2" s="1"/>
  <c r="J1183" i="2" a="1"/>
  <c r="J1183" i="2" s="1"/>
  <c r="J1187" i="2" a="1"/>
  <c r="J1187" i="2" s="1"/>
  <c r="J1188" i="2" a="1"/>
  <c r="J1188" i="2" s="1"/>
  <c r="J1191" i="2" a="1"/>
  <c r="J1191" i="2" s="1"/>
  <c r="J1195" i="2" a="1"/>
  <c r="J1195" i="2" s="1"/>
  <c r="J1199" i="2" a="1"/>
  <c r="J1199" i="2" s="1"/>
  <c r="J1203" i="2" a="1"/>
  <c r="J1203" i="2" s="1"/>
  <c r="J1207" i="2" a="1"/>
  <c r="J1207" i="2" s="1"/>
  <c r="J1211" i="2" a="1"/>
  <c r="J1211" i="2" s="1"/>
  <c r="J1215" i="2" a="1"/>
  <c r="J1215" i="2" s="1"/>
  <c r="J1219" i="2" a="1"/>
  <c r="J1219" i="2" s="1"/>
  <c r="J1223" i="2" a="1"/>
  <c r="J1223" i="2" s="1"/>
  <c r="J1227" i="2" a="1"/>
  <c r="J1227" i="2" s="1"/>
  <c r="J1231" i="2" a="1"/>
  <c r="J1231" i="2" s="1"/>
  <c r="J1235" i="2" a="1"/>
  <c r="J1235" i="2" s="1"/>
  <c r="J1239" i="2" a="1"/>
  <c r="J1239" i="2" s="1"/>
  <c r="J1240" i="2" a="1"/>
  <c r="J1240" i="2" s="1"/>
  <c r="J1243" i="2" a="1"/>
  <c r="J1243" i="2" s="1"/>
  <c r="J1247" i="2" a="1"/>
  <c r="J1247" i="2" s="1"/>
  <c r="J1251" i="2" a="1"/>
  <c r="J1251" i="2" s="1"/>
  <c r="J1252" i="2" a="1"/>
  <c r="J1252" i="2" s="1"/>
  <c r="J1255" i="2" a="1"/>
  <c r="J1255" i="2" s="1"/>
  <c r="J1256" i="2" a="1"/>
  <c r="J1256" i="2" s="1"/>
  <c r="J1259" i="2" a="1"/>
  <c r="J1259" i="2" s="1"/>
  <c r="J1263" i="2" a="1"/>
  <c r="J1263" i="2" s="1"/>
  <c r="J1267" i="2" a="1"/>
  <c r="J1267" i="2" s="1"/>
  <c r="J1279" i="2" a="1"/>
  <c r="J1279" i="2" s="1"/>
  <c r="J1295" i="2" a="1"/>
  <c r="J1295" i="2" s="1"/>
  <c r="J1304" i="2" a="1"/>
  <c r="J1304" i="2" s="1"/>
  <c r="J1307" i="2" a="1"/>
  <c r="J1307" i="2" s="1"/>
  <c r="J1316" i="2" a="1"/>
  <c r="J1316" i="2" s="1"/>
  <c r="J1319" i="2" a="1"/>
  <c r="J1319" i="2" s="1"/>
  <c r="J1335" i="2" a="1"/>
  <c r="J1335" i="2" s="1"/>
  <c r="J1347" i="2" a="1"/>
  <c r="J1347" i="2" s="1"/>
  <c r="J1356" i="2" a="1"/>
  <c r="J1356" i="2" s="1"/>
  <c r="J1359" i="2" a="1"/>
  <c r="J1359" i="2" s="1"/>
  <c r="J1371" i="2" a="1"/>
  <c r="J1371" i="2" s="1"/>
  <c r="J1383" i="2" a="1"/>
  <c r="J1383" i="2" s="1"/>
  <c r="J1399" i="2" a="1"/>
  <c r="J1399" i="2" s="1"/>
  <c r="J1415" i="2" a="1"/>
  <c r="J1415" i="2" s="1"/>
  <c r="J1427" i="2" a="1"/>
  <c r="J1427" i="2" s="1"/>
  <c r="J1443" i="2" a="1"/>
  <c r="J1443" i="2" s="1"/>
  <c r="J1448" i="2" a="1"/>
  <c r="J1448" i="2" s="1"/>
  <c r="J1455" i="2" a="1"/>
  <c r="J1455" i="2" s="1"/>
  <c r="J1471" i="2" a="1"/>
  <c r="J1471" i="2" s="1"/>
  <c r="J1483" i="2" a="1"/>
  <c r="J1483" i="2" s="1"/>
  <c r="J1484" i="2" a="1"/>
  <c r="J1484" i="2" s="1"/>
  <c r="J1519" i="2" a="1"/>
  <c r="J1519" i="2" s="1"/>
  <c r="J1535" i="2" a="1"/>
  <c r="J1535" i="2" s="1"/>
  <c r="J1567" i="2" a="1"/>
  <c r="J1567" i="2" s="1"/>
  <c r="J1583" i="2" a="1"/>
  <c r="J1583" i="2" s="1"/>
  <c r="J1599" i="2" a="1"/>
  <c r="J1599" i="2" s="1"/>
  <c r="J1631" i="2" a="1"/>
  <c r="J1631" i="2" s="1"/>
  <c r="J1643" i="2" a="1"/>
  <c r="J1643" i="2" s="1"/>
  <c r="J1675" i="2" a="1"/>
  <c r="J1675" i="2" s="1"/>
  <c r="J1691" i="2" a="1"/>
  <c r="J1691" i="2" s="1"/>
  <c r="J1707" i="2" a="1"/>
  <c r="J1707" i="2" s="1"/>
  <c r="J1739" i="2" a="1"/>
  <c r="J1739" i="2" s="1"/>
  <c r="J1755" i="2" a="1"/>
  <c r="J1755" i="2" s="1"/>
  <c r="J1767" i="2" a="1"/>
  <c r="J1767" i="2" s="1"/>
  <c r="J8"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DAE75-6884-4005-86B1-65C6D5C2382E}" keepAlive="1" name="Query - qhkz-4dqm" description="Connection to the 'qhkz-4dqm' query in the workbook." type="5" refreshedVersion="6" background="1" saveData="1">
    <dbPr connection="Provider=Microsoft.Mashup.OleDb.1;Data Source=$Workbook$;Location=qhkz-4dqm;Extended Properties=&quot;&quot;" command="SELECT * FROM [qhkz-4dqm]"/>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<sst xmlns="http://schemas.openxmlformats.org/spreadsheetml/2006/main" count="51" uniqueCount="26">
  <si>
    <t>hh_id</t>
  </si>
  <si>
    <t>vehicle_id</t>
  </si>
  <si>
    <t>vehicle_num</t>
  </si>
  <si>
    <t>year</t>
  </si>
  <si>
    <t>fuel_type</t>
  </si>
  <si>
    <t>hh_weight_zonal</t>
  </si>
  <si>
    <t>hh_weight_citywide</t>
  </si>
  <si>
    <t>Row Labels</t>
  </si>
  <si>
    <t>Grand Total</t>
  </si>
  <si>
    <t>Count of vehicle_id</t>
  </si>
  <si>
    <t>code</t>
  </si>
  <si>
    <t>name</t>
  </si>
  <si>
    <t>Gasoline</t>
  </si>
  <si>
    <t>Diesel</t>
  </si>
  <si>
    <t>Hybrid</t>
  </si>
  <si>
    <t>Electric</t>
  </si>
  <si>
    <t>Plug-in Hybrid</t>
  </si>
  <si>
    <t>Other</t>
  </si>
  <si>
    <t>Don't Know / Not Reported</t>
  </si>
  <si>
    <t>fuel_type_label</t>
  </si>
  <si>
    <t>vehicle_age</t>
  </si>
  <si>
    <t>age_group</t>
  </si>
  <si>
    <t>Average of vehicle_age</t>
  </si>
  <si>
    <t>Average of hh_weight_citywide</t>
  </si>
  <si>
    <t>Total Vehicles</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</si>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</sst>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Tahoma"/>
      <family val="2"/>
      <scheme val="minor"/>
    </font>
    <font>
      <sz val="10"/>
      <color theme="1"/>
      <name val="Arial Unicode MS"/>
    </font>
    <font>
      <sz val="16"/>
      <color theme="1"/>
      <name val="Tahoma"/>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xf>
    <xf numFmtId="2" fontId="0" fillId="0" borderId="0" xfId="0" applyNumberFormat="1"/>
    <xf numFmtId="0" fontId="2" fillId="2" borderId="0" xfId="0" applyFont="1" applyFill="1" applyBorder="1" applyAlignment="1">
      <alignment horizontal="center"/>
    </xf>
    <xf numFmtId="2" fontId="2" fillId="2" borderId="0" xfId="0" applyNumberFormat="1" applyFont="1" applyFill="1" applyBorder="1" applyAlignment="1">
      <alignment horizontal="center"/>
    </xf>
  </cellXfs>
  <cellStyles count="1">
    <cellStyle name="Normal" xfId="0" builtinId="0"/>
  </cellStyles>
  <dxfs count="3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[3.xlsx]count_vehicle!PivotTable1</c:name>
    <c:fmtId val="3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a:t>
            </a:r>
            <a:r>
              <a:rPr lang="en-US" b="1" baseline="0"/>
              <a:t> of cars according to fuel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count_vehicle!$B$3</c:f>
              <c:strCache>
                <c:ptCount val="1"/>
                <c:pt idx="0">
                  <c:v>Total</c:v>
                </c:pt>
              </c:strCache>
            </c:strRef>
          </c:tx>
          <c:spPr>
            <a:solidFill>
              <a:schemeClr val="accent1"/>
            </a:solidFill>
            <a:ln>
              <a:noFill/>
            </a:ln>
            <a:effectLst/>
          </c:spPr>
          <c:invertIfNegative val="0"/>
          <c:cat>
            <c:strRef>
              <c:f>count_vehicle!$A$4:$A$11</c:f>
              <c:strCache>
                <c:ptCount val="7"/>
                <c:pt idx="0">
                  <c:v>Gasoline</c:v>
                </c:pt>
                <c:pt idx="1">
                  <c:v>Diesel</c:v>
                </c:pt>
                <c:pt idx="2">
                  <c:v>Electric</c:v>
                </c:pt>
                <c:pt idx="3">
                  <c:v>Hybrid</c:v>
                </c:pt>
                <c:pt idx="4">
                  <c:v>Other</c:v>
                </c:pt>
                <c:pt idx="5">
                  <c:v>Don't Know / Not Reported</c:v>
                </c:pt>
                <c:pt idx="6">
                  <c:v>Plug-in Hybrid</c:v>
                </c:pt>
              </c:strCache>
            </c:strRef>
          </c:cat>
          <c:val>
            <c:numRef>
              <c:f>count_vehicle!$B$4:$B$11</c:f>
              <c:numCache>
                <c:formatCode>General</c:formatCode>
                <c:ptCount val="7"/>
                <c:pt idx="0">
                  <c:v>1622</c:v>
                </c:pt>
                <c:pt idx="1">
                  <c:v>77</c:v>
                </c:pt>
                <c:pt idx="2">
                  <c:v>57</c:v>
                </c:pt>
                <c:pt idx="3">
                  <c:v>18</c:v>
                </c:pt>
                <c:pt idx="4">
                  <c:v>5</c:v>
                </c:pt>
                <c:pt idx="5">
                  <c:v>3</c:v>
                </c:pt>
                <c:pt idx="6">
                  <c:v>2</c:v>
                </c:pt>
              </c:numCache>
            </c:numRef>
          </c:val>
          <c:extLst>
            <c:ext xmlns:c16="http://schemas.microsoft.com/office/drawing/2014/chart" uri="{C3380CC4-5D6E-409C-BE32-E72D297353CC}">
              <c16:uniqueId val="{00000000-ABBD-4077-8C35-06390BF5C65F}"/>
            </c:ext>
          </c:extLst>
        </c:ser>
        <c:dLbls>
          <c:showLegendKey val="0"/>
          <c:showVal val="0"/>
          <c:showCatName val="0"/>
          <c:showSerName val="0"/>
          <c:showPercent val="0"/>
          <c:showBubbleSize val="0"/>
        </c:dLbls>
        <c:gapWidth val="150"/>
        <c:overlap val="100"/>
        <c:axId val="1550380879"/>
        <c:axId val="1537440767"/>
      </c:barChart>
      <c:catAx>
        <c:axId val="15503808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crossAx val="1537440767"/>
        <c:crosses val="autoZero"/>
        <c:auto val="1"/>
        <c:lblAlgn val="ctr"/>
        <c:lblOffset val="100"/>
        <c:noMultiLvlLbl val="0"/>
      </c:catAx>
      <c:valAx>
        <c:axId val="1537440767"/>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crossAx val="155038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[3.xlsx]Average_age!PivotTable1</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of vehicle_age</a:t>
            </a:r>
            <a:r>
              <a:rPr lang="ar-EG" b="1"/>
              <a:t> </a:t>
            </a:r>
            <a:r>
              <a:rPr lang="en-US" b="1"/>
              <a:t>by</a:t>
            </a:r>
            <a:r>
              <a:rPr lang="en-US" b="1" baseline="0"/>
              <a:t> fuel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Average_age!$B$3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Average_age!$A$4:$A$11</c:f>
              <c:strCache>
                <c:ptCount val="7"/>
                <c:pt idx="0">
                  <c:v>Don't Know / Not Reported</c:v>
                </c:pt>
                <c:pt idx="1">
                  <c:v>Plug-in Hybrid</c:v>
                </c:pt>
                <c:pt idx="2">
                  <c:v>Other</c:v>
                </c:pt>
                <c:pt idx="3">
                  <c:v>Gasoline</c:v>
                </c:pt>
                <c:pt idx="4">
                  <c:v>Diesel</c:v>
                </c:pt>
                <c:pt idx="5">
                  <c:v>Electric</c:v>
                </c:pt>
                <c:pt idx="6">
                  <c:v>Hybrid</c:v>
                </c:pt>
              </c:strCache>
            </c:strRef>
          </c:cat>
          <c:val>
            <c:numRef>
              <c:f>Average_age!$B$4:$B$11</c:f>
              <c:numCache>
                <c:formatCode>0.00</c:formatCode>
                <c:ptCount val="7"/>
                <c:pt idx="0">
                  <c:v>16</c:v>
                </c:pt>
                <c:pt idx="1">
                  <c:v>15.5</c:v>
                </c:pt>
                <c:pt idx="2">
                  <c:v>10.6</c:v>
                </c:pt>
                <c:pt idx="3">
                  <c:v>10.354500616522811</c:v>
                </c:pt>
                <c:pt idx="4">
                  <c:v>7.0389610389610393</c:v>
                </c:pt>
                <c:pt idx="5">
                  <c:v>4.9298245614035086</c:v>
                </c:pt>
                <c:pt idx="6">
                  <c:v>3.6111111111111112</c:v>
                </c:pt>
              </c:numCache>
            </c:numRef>
          </c:val>
          <c:extLst>
            <c:ext xmlns:c16="http://schemas.microsoft.com/office/drawing/2014/chart" uri="{C3380CC4-5D6E-409C-BE32-E72D297353CC}">
              <c16:uniqueId val="{00000000-37DC-4952-909A-546001F3F078}"/>
            </c:ext>
          </c:extLst>
        </c:ser>
        <c:dLbls>
          <c:showLegendKey val="0"/>
          <c:showVal val="0"/>
          <c:showCatName val="0"/>
          <c:showSerName val="0"/>
          <c:showPercent val="0"/>
          <c:showBubbleSize val="0"/>
        </c:dLbls>
        <c:gapWidth val="150"/>
        <c:axId val="930902639"/>
        <c:axId val="378201103"/>
      </c:barChart>
      <c:catAx>
        <c:axId val="93090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crossAx val="378201103"/>
        <c:crosses val="autoZero"/>
        <c:auto val="1"/>
        <c:lblAlgn val="ctr"/>
        <c:lblOffset val="100"/>
        <c:noMultiLvlLbl val="0"/>
      </c:catAx>
      <c:valAx>
        <c:axId val="378201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crossAx val="930902639"/>
        <c:crosses val="autoZero"/>
        <c:crossBetween val="between"/>
      </c:valAx>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[3.xlsx]Average of hh!PivotTable2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of hh_weight_citywide by fuel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outerShdw blurRad="50800" dist="50800" dir="5400000" algn="ctr" rotWithShape="0">
              <a:schemeClr val="tx2">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50800" dir="5400000" algn="ctr" rotWithShape="0">
              <a:schemeClr val="tx2">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chemeClr val="tx2">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hh'!$B$3</c:f>
              <c:strCache>
                <c:ptCount val="1"/>
                <c:pt idx="0">
                  <c:v>Total</c:v>
                </c:pt>
              </c:strCache>
            </c:strRef>
          </c:tx>
          <c:spPr>
            <a:solidFill>
              <a:schemeClr val="accent1"/>
            </a:solidFill>
            <a:ln>
              <a:noFill/>
            </a:ln>
            <a:effectLst>
              <a:outerShdw blurRad="50800" dist="50800" dir="5400000" algn="ctr" rotWithShape="0">
                <a:schemeClr val="tx2">
                  <a:lumMod val="60000"/>
                  <a:lumOff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of hh'!$A$4:$A$11</c:f>
              <c:strCache>
                <c:ptCount val="7"/>
                <c:pt idx="0">
                  <c:v>Plug-in Hybrid</c:v>
                </c:pt>
                <c:pt idx="1">
                  <c:v>Gasoline</c:v>
                </c:pt>
                <c:pt idx="2">
                  <c:v>Other</c:v>
                </c:pt>
                <c:pt idx="3">
                  <c:v>Diesel</c:v>
                </c:pt>
                <c:pt idx="4">
                  <c:v>Electric</c:v>
                </c:pt>
                <c:pt idx="5">
                  <c:v>Hybrid</c:v>
                </c:pt>
                <c:pt idx="6">
                  <c:v>Don't Know / Not Reported</c:v>
                </c:pt>
              </c:strCache>
            </c:strRef>
          </c:cat>
          <c:val>
            <c:numRef>
              <c:f>'Average of hh'!$B$4:$B$11</c:f>
              <c:numCache>
                <c:formatCode>0.00</c:formatCode>
                <c:ptCount val="7"/>
                <c:pt idx="0">
                  <c:v>2127.6950000000002</c:v>
                </c:pt>
                <c:pt idx="1">
                  <c:v>985.33969173859566</c:v>
                </c:pt>
                <c:pt idx="2">
                  <c:v>978.78399999999999</c:v>
                </c:pt>
                <c:pt idx="3">
                  <c:v>851.40805194805193</c:v>
                </c:pt>
                <c:pt idx="4">
                  <c:v>771.72157894736813</c:v>
                </c:pt>
                <c:pt idx="5">
                  <c:v>746.75111111111107</c:v>
                </c:pt>
                <c:pt idx="6">
                  <c:v>491.89000000000004</c:v>
                </c:pt>
              </c:numCache>
            </c:numRef>
          </c:val>
          <c:extLst>
            <c:ext xmlns:c16="http://schemas.microsoft.com/office/drawing/2014/chart" uri="{C3380CC4-5D6E-409C-BE32-E72D297353CC}">
              <c16:uniqueId val="{00000000-A193-4A6A-809B-59408829F2F3}"/>
            </c:ext>
          </c:extLst>
        </c:ser>
        <c:dLbls>
          <c:dLblPos val="outEnd"/>
          <c:showLegendKey val="0"/>
          <c:showVal val="1"/>
          <c:showCatName val="0"/>
          <c:showSerName val="0"/>
          <c:showPercent val="0"/>
          <c:showBubbleSize val="0"/>
        </c:dLbls>
        <c:gapWidth val="219"/>
        <c:overlap val="-27"/>
        <c:axId val="1110467903"/>
        <c:axId val="1117807503"/>
      </c:barChart>
      <c:catAx>
        <c:axId val="111046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117807503"/>
        <c:crosses val="autoZero"/>
        <c:auto val="1"/>
        <c:lblAlgn val="ctr"/>
        <c:lblOffset val="100"/>
        <c:noMultiLvlLbl val="0"/>
      </c:catAx>
      <c:valAx>
        <c:axId val="1117807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crossAx val="111046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[3.xlsx]count_vehicle!PivotTable1</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a:t>
            </a:r>
            <a:r>
              <a:rPr lang="en-US" b="1" baseline="0"/>
              <a:t> of cars according to fuel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count_vehicle!$B$3</c:f>
              <c:strCache>
                <c:ptCount val="1"/>
                <c:pt idx="0">
                  <c:v>Total</c:v>
                </c:pt>
              </c:strCache>
            </c:strRef>
          </c:tx>
          <c:spPr>
            <a:solidFill>
              <a:schemeClr val="accent1"/>
            </a:solidFill>
            <a:ln>
              <a:noFill/>
            </a:ln>
            <a:effectLst/>
          </c:spPr>
          <c:invertIfNegative val="0"/>
          <c:cat>
            <c:strRef>
              <c:f>count_vehicle!$A$4:$A$11</c:f>
              <c:strCache>
                <c:ptCount val="7"/>
                <c:pt idx="0">
                  <c:v>Gasoline</c:v>
                </c:pt>
                <c:pt idx="1">
                  <c:v>Diesel</c:v>
                </c:pt>
                <c:pt idx="2">
                  <c:v>Electric</c:v>
                </c:pt>
                <c:pt idx="3">
                  <c:v>Hybrid</c:v>
                </c:pt>
                <c:pt idx="4">
                  <c:v>Other</c:v>
                </c:pt>
                <c:pt idx="5">
                  <c:v>Don't Know / Not Reported</c:v>
                </c:pt>
                <c:pt idx="6">
                  <c:v>Plug-in Hybrid</c:v>
                </c:pt>
              </c:strCache>
            </c:strRef>
          </c:cat>
          <c:val>
            <c:numRef>
              <c:f>count_vehicle!$B$4:$B$11</c:f>
              <c:numCache>
                <c:formatCode>General</c:formatCode>
                <c:ptCount val="7"/>
                <c:pt idx="0">
                  <c:v>1622</c:v>
                </c:pt>
                <c:pt idx="1">
                  <c:v>77</c:v>
                </c:pt>
                <c:pt idx="2">
                  <c:v>57</c:v>
                </c:pt>
                <c:pt idx="3">
                  <c:v>18</c:v>
                </c:pt>
                <c:pt idx="4">
                  <c:v>5</c:v>
                </c:pt>
                <c:pt idx="5">
                  <c:v>3</c:v>
                </c:pt>
                <c:pt idx="6">
                  <c:v>2</c:v>
                </c:pt>
              </c:numCache>
            </c:numRef>
          </c:val>
          <c:extLst>
            <c:ext xmlns:c16="http://schemas.microsoft.com/office/drawing/2014/chart" uri="{C3380CC4-5D6E-409C-BE32-E72D297353CC}">
              <c16:uniqueId val="{00000000-7518-44C6-B7F5-A25170474B16}"/>
            </c:ext>
          </c:extLst>
        </c:ser>
        <c:dLbls>
          <c:showLegendKey val="0"/>
          <c:showVal val="0"/>
          <c:showCatName val="0"/>
          <c:showSerName val="0"/>
          <c:showPercent val="0"/>
          <c:showBubbleSize val="0"/>
        </c:dLbls>
        <c:gapWidth val="150"/>
        <c:overlap val="100"/>
        <c:axId val="1550380879"/>
        <c:axId val="1537440767"/>
      </c:barChart>
      <c:catAx>
        <c:axId val="15503808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537440767"/>
        <c:crosses val="autoZero"/>
        <c:auto val="1"/>
        <c:lblAlgn val="ctr"/>
        <c:lblOffset val="100"/>
        <c:noMultiLvlLbl val="0"/>
      </c:catAx>
      <c:valAx>
        <c:axId val="1537440767"/>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55038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[3.xlsx]Average_age!PivotTable1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of vehicle_age</a:t>
            </a:r>
            <a:r>
              <a:rPr lang="ar-EG" b="1"/>
              <a:t> </a:t>
            </a:r>
            <a:r>
              <a:rPr lang="en-US" b="1"/>
              <a:t>by</a:t>
            </a:r>
            <a:r>
              <a:rPr lang="en-US" b="1" baseline="0"/>
              <a:t> fuel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Average_age!$B$3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Average_age!$A$4:$A$11</c:f>
              <c:strCache>
                <c:ptCount val="7"/>
                <c:pt idx="0">
                  <c:v>Don't Know / Not Reported</c:v>
                </c:pt>
                <c:pt idx="1">
                  <c:v>Plug-in Hybrid</c:v>
                </c:pt>
                <c:pt idx="2">
                  <c:v>Other</c:v>
                </c:pt>
                <c:pt idx="3">
                  <c:v>Gasoline</c:v>
                </c:pt>
                <c:pt idx="4">
                  <c:v>Diesel</c:v>
                </c:pt>
                <c:pt idx="5">
                  <c:v>Electric</c:v>
                </c:pt>
                <c:pt idx="6">
                  <c:v>Hybrid</c:v>
                </c:pt>
              </c:strCache>
            </c:strRef>
          </c:cat>
          <c:val>
            <c:numRef>
              <c:f>Average_age!$B$4:$B$11</c:f>
              <c:numCache>
                <c:formatCode>0.00</c:formatCode>
                <c:ptCount val="7"/>
                <c:pt idx="0">
                  <c:v>16</c:v>
                </c:pt>
                <c:pt idx="1">
                  <c:v>15.5</c:v>
                </c:pt>
                <c:pt idx="2">
                  <c:v>10.6</c:v>
                </c:pt>
                <c:pt idx="3">
                  <c:v>10.354500616522811</c:v>
                </c:pt>
                <c:pt idx="4">
                  <c:v>7.0389610389610393</c:v>
                </c:pt>
                <c:pt idx="5">
                  <c:v>4.9298245614035086</c:v>
                </c:pt>
                <c:pt idx="6">
                  <c:v>3.6111111111111112</c:v>
                </c:pt>
              </c:numCache>
            </c:numRef>
          </c:val>
          <c:extLst>
            <c:ext xmlns:c16="http://schemas.microsoft.com/office/drawing/2014/chart" uri="{C3380CC4-5D6E-409C-BE32-E72D297353CC}">
              <c16:uniqueId val="{00000000-E545-43E4-B1A8-72578B487F5F}"/>
            </c:ext>
          </c:extLst>
        </c:ser>
        <c:dLbls>
          <c:showLegendKey val="0"/>
          <c:showVal val="0"/>
          <c:showCatName val="0"/>
          <c:showSerName val="0"/>
          <c:showPercent val="0"/>
          <c:showBubbleSize val="0"/>
        </c:dLbls>
        <c:gapWidth val="150"/>
        <c:axId val="930902639"/>
        <c:axId val="378201103"/>
      </c:barChart>
      <c:catAx>
        <c:axId val="93090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378201103"/>
        <c:crosses val="autoZero"/>
        <c:auto val="1"/>
        <c:lblAlgn val="ctr"/>
        <c:lblOffset val="100"/>
        <c:noMultiLvlLbl val="0"/>
      </c:catAx>
      <c:valAx>
        <c:axId val="378201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930902639"/>
        <c:crosses val="autoZero"/>
        <c:crossBetween val="between"/>
      </c:valAx>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[3.xlsx]Average of hh!PivotTable2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of hh_weight_citywide by fuel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outerShdw blurRad="50800" dist="50800" dir="5400000" algn="ctr" rotWithShape="0">
              <a:schemeClr val="tx2">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hh'!$B$3</c:f>
              <c:strCache>
                <c:ptCount val="1"/>
                <c:pt idx="0">
                  <c:v>Total</c:v>
                </c:pt>
              </c:strCache>
            </c:strRef>
          </c:tx>
          <c:spPr>
            <a:solidFill>
              <a:schemeClr val="accent1"/>
            </a:solidFill>
            <a:ln>
              <a:noFill/>
            </a:ln>
            <a:effectLst>
              <a:outerShdw blurRad="50800" dist="50800" dir="5400000" algn="ctr" rotWithShape="0">
                <a:schemeClr val="tx2">
                  <a:lumMod val="60000"/>
                  <a:lumOff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of hh'!$A$4:$A$11</c:f>
              <c:strCache>
                <c:ptCount val="7"/>
                <c:pt idx="0">
                  <c:v>Plug-in Hybrid</c:v>
                </c:pt>
                <c:pt idx="1">
                  <c:v>Gasoline</c:v>
                </c:pt>
                <c:pt idx="2">
                  <c:v>Other</c:v>
                </c:pt>
                <c:pt idx="3">
                  <c:v>Diesel</c:v>
                </c:pt>
                <c:pt idx="4">
                  <c:v>Electric</c:v>
                </c:pt>
                <c:pt idx="5">
                  <c:v>Hybrid</c:v>
                </c:pt>
                <c:pt idx="6">
                  <c:v>Don't Know / Not Reported</c:v>
                </c:pt>
              </c:strCache>
            </c:strRef>
          </c:cat>
          <c:val>
            <c:numRef>
              <c:f>'Average of hh'!$B$4:$B$11</c:f>
              <c:numCache>
                <c:formatCode>0.00</c:formatCode>
                <c:ptCount val="7"/>
                <c:pt idx="0">
                  <c:v>2127.6950000000002</c:v>
                </c:pt>
                <c:pt idx="1">
                  <c:v>985.33969173859566</c:v>
                </c:pt>
                <c:pt idx="2">
                  <c:v>978.78399999999999</c:v>
                </c:pt>
                <c:pt idx="3">
                  <c:v>851.40805194805193</c:v>
                </c:pt>
                <c:pt idx="4">
                  <c:v>771.72157894736813</c:v>
                </c:pt>
                <c:pt idx="5">
                  <c:v>746.75111111111107</c:v>
                </c:pt>
                <c:pt idx="6">
                  <c:v>491.89000000000004</c:v>
                </c:pt>
              </c:numCache>
            </c:numRef>
          </c:val>
          <c:extLst>
            <c:ext xmlns:c16="http://schemas.microsoft.com/office/drawing/2014/chart" uri="{C3380CC4-5D6E-409C-BE32-E72D297353CC}">
              <c16:uniqueId val="{00000000-7E7B-4DB9-8C03-BE3A1E980002}"/>
            </c:ext>
          </c:extLst>
        </c:ser>
        <c:dLbls>
          <c:dLblPos val="outEnd"/>
          <c:showLegendKey val="0"/>
          <c:showVal val="1"/>
          <c:showCatName val="0"/>
          <c:showSerName val="0"/>
          <c:showPercent val="0"/>
          <c:showBubbleSize val="0"/>
        </c:dLbls>
        <c:gapWidth val="219"/>
        <c:overlap val="-27"/>
        <c:axId val="1110467903"/>
        <c:axId val="1117807503"/>
      </c:barChart>
      <c:catAx>
        <c:axId val="111046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117807503"/>
        <c:crosses val="autoZero"/>
        <c:auto val="1"/>
        <c:lblAlgn val="ctr"/>
        <c:lblOffset val="100"/>
        <c:noMultiLvlLbl val="0"/>
      </c:catAx>
      <c:valAx>
        <c:axId val="1117807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11046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205468</xdr:colOff>
      <xdr:row>0</xdr:row>
      <xdr:rowOff>103415</xdr:rowOff>
    </xdr:from>
    <xdr:to>
      <xdr:col>13</xdr:col>
      <xdr:colOff>491218</xdr:colOff>
      <xdr:row>3</xdr:row>
      <xdr:rowOff>103415</xdr:rowOff>
    </xdr:to>
    <xdr:sp macro="" textlink="">
      <xdr:nvSpPr>
        <xdr:cNvPr id="2" name="Rectangle: Rounded Corners 1">
          <a:extLst>
            <a:ext uri="{FF2B5EF4-FFF2-40B4-BE49-F238E27FC236}">
              <a16:creationId xmlns:a16="http://schemas.microsoft.com/office/drawing/2014/main" id="{0E949025-46D4-4582-A51F-1D755671C8F5}"/>
            </a:ext>
          </a:extLst>
        </xdr:cNvPr>
        <xdr:cNvSpPr/>
      </xdr:nvSpPr>
      <xdr:spPr>
        <a:xfrm>
          <a:off x="1566182" y="103415"/>
          <a:ext cx="9116786" cy="530679"/>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0"/>
          <a:r>
            <a:rPr lang="en-US" sz="2000" b="1"/>
            <a:t>NYC Household Vehicle Survey — Dashboard</a:t>
          </a:r>
        </a:p>
      </xdr:txBody>
    </xdr:sp>
    <xdr:clientData/>
  </xdr:twoCellAnchor>
  <xdr:twoCellAnchor>
    <xdr:from>
      <xdr:col>9</xdr:col>
      <xdr:colOff>898073</xdr:colOff>
      <xdr:row>31</xdr:row>
      <xdr:rowOff>89806</xdr:rowOff>
    </xdr:from>
    <xdr:to>
      <xdr:col>18</xdr:col>
      <xdr:colOff>612321</xdr:colOff>
      <xdr:row>49</xdr:row>
      <xdr:rowOff>81642</xdr:rowOff>
    </xdr:to>
    <xdr:graphicFrame macro="">
      <xdr:nvGraphicFramePr>
        <xdr:cNvPr id="6" name="Chart 5">
          <a:extLst>
            <a:ext uri="{FF2B5EF4-FFF2-40B4-BE49-F238E27FC236}">
              <a16:creationId xmlns:a16="http://schemas.microsoft.com/office/drawing/2014/main" id="{FC30E141-7887-41DB-8ACF-6D9F0C96A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449036</xdr:colOff>
      <xdr:row>10</xdr:row>
      <xdr:rowOff>121443</xdr:rowOff>
    </xdr:from>
    <xdr:to>
      <xdr:col>18</xdr:col>
      <xdr:colOff>40822</xdr:colOff>
      <xdr:row>28</xdr:row>
      <xdr:rowOff>136071</xdr:rowOff>
    </xdr:to>
    <xdr:graphicFrame macro="">
      <xdr:nvGraphicFramePr>
        <xdr:cNvPr id="7" name="Chart 6">
          <a:extLst>
            <a:ext uri="{FF2B5EF4-FFF2-40B4-BE49-F238E27FC236}">
              <a16:creationId xmlns:a16="http://schemas.microsoft.com/office/drawing/2014/main" id="{66529440-BC8E-49AC-9A95-0D99CC5BC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217544</xdr:colOff>
      <xdr:row>31</xdr:row>
      <xdr:rowOff>95250</xdr:rowOff>
    </xdr:from>
    <xdr:to>
      <xdr:col>9</xdr:col>
      <xdr:colOff>95419</xdr:colOff>
      <xdr:row>49</xdr:row>
      <xdr:rowOff>95251</xdr:rowOff>
    </xdr:to>
    <xdr:graphicFrame macro="">
      <xdr:nvGraphicFramePr>
        <xdr:cNvPr id="8" name="Chart 7">
          <a:extLst>
            <a:ext uri="{FF2B5EF4-FFF2-40B4-BE49-F238E27FC236}">
              <a16:creationId xmlns:a16="http://schemas.microsoft.com/office/drawing/2014/main" id="{A008BEE4-D937-4C17-8FB0-D21E2370F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307862</xdr:colOff>
      <xdr:row>0</xdr:row>
      <xdr:rowOff>95248</xdr:rowOff>
    </xdr:from>
    <xdr:to>
      <xdr:col>26</xdr:col>
      <xdr:colOff>280647</xdr:colOff>
      <xdr:row>18</xdr:row>
      <xdr:rowOff>130967</xdr:rowOff>
    </xdr:to>
    <mc:AlternateContent xmlns:mc="http://schemas.openxmlformats.org/markup-compatibility/2006">
      <mc:Choice xmlns:a14="http://schemas.microsoft.com/office/drawing/2010/main" Requires="a14">
        <xdr:graphicFrame macro="">
          <xdr:nvGraphicFramePr>
            <xdr:cNvPr id="10" name="fuel_type_label 1">
              <a:extLst>
                <a:ext uri="{FF2B5EF4-FFF2-40B4-BE49-F238E27FC236}">
                  <a16:creationId xmlns:a16="http://schemas.microsoft.com/office/drawing/2014/main" id="{D6C44188-17EB-4579-BA7D-8D3A3CABDBB1}"/>
                </a:ext>
              </a:extLst>
            </xdr:cNvPr>
            <xdr:cNvGraphicFramePr/>
          </xdr:nvGraphicFramePr>
          <xdr:xfrm>
            <a:off x="0" y="0"/>
            <a:ext cx="0" cy="0"/>
          </xdr:xfrm>
          <a:graphic>
            <a:graphicData uri="http://schemas.microsoft.com/office/drawing/2010/slicer">
              <sle:slicer xmlns:sle="http://schemas.microsoft.com/office/drawing/2010/slicer" name="fuel_type_label 1"/>
            </a:graphicData>
          </a:graphic>
        </xdr:graphicFrame>
      </mc:Choice>
      <mc:Fallback>
        <xdr:sp macro="" textlink="">
          <xdr:nvSpPr>
            <xdr:cNvPr id="0" name=""/>
            <xdr:cNvSpPr>
              <a:spLocks noTextEdit="1"/>
            </xdr:cNvSpPr>
          </xdr:nvSpPr>
          <xdr:spPr>
            <a:xfrm>
              <a:off x="15452612" y="95248"/>
              <a:ext cx="4116160" cy="355996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178592</xdr:colOff>
      <xdr:row>20</xdr:row>
      <xdr:rowOff>83558</xdr:rowOff>
    </xdr:from>
    <xdr:ext cx="8946358" cy="5821942"/>
    <xdr:sp macro="" textlink="">
      <xdr:nvSpPr>
        <xdr:cNvPr id="3" name="TextBox 2">
          <a:extLst>
            <a:ext uri="{FF2B5EF4-FFF2-40B4-BE49-F238E27FC236}">
              <a16:creationId xmlns:a16="http://schemas.microsoft.com/office/drawing/2014/main" id="{65CB247B-AC39-464B-9D64-8D968001428E}"/>
            </a:ext>
          </a:extLst>
        </xdr:cNvPr>
        <xdr:cNvSpPr txBox="1"/>
      </xdr:nvSpPr>
      <xdr:spPr>
        <a:xfrm>
          <a:off x="14561342" y="4007858"/>
          <a:ext cx="8946358" cy="5821942"/>
        </a:xfrm>
        <a:prstGeom prst="rect">
          <a:avLst/>
        </a:prstGeom>
        <a:solidFill>
          <a:schemeClr val="bg1">
            <a:lumMod val="9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a:r>
            <a:rPr lang="en-US" sz="1400" b="1" u="sng">
              <a:solidFill>
                <a:schemeClr val="tx1">
                  <a:lumMod val="75000"/>
                  <a:lumOff val="25000"/>
                </a:schemeClr>
              </a:solidFill>
            </a:rPr>
            <a:t>Key Insights</a:t>
          </a:r>
          <a:endParaRPr lang="ar-EG" sz="1400" b="1" u="sng">
            <a:solidFill>
              <a:schemeClr val="tx1">
                <a:lumMod val="75000"/>
                <a:lumOff val="25000"/>
              </a:schemeClr>
            </a:solidFill>
          </a:endParaRPr>
        </a:p>
        <a:p>
          <a:pPr algn="r" rtl="1"/>
          <a:r>
            <a:rPr lang="ar-EG" sz="2000" b="0" cap="none" spc="0">
              <a:ln w="0"/>
              <a:solidFill>
                <a:schemeClr val="tx1"/>
              </a:solidFill>
              <a:effectLst>
                <a:outerShdw blurRad="38100" dist="19050" dir="2700000" algn="tl" rotWithShape="0">
                  <a:schemeClr val="dk1">
                    <a:alpha val="40000"/>
                  </a:schemeClr>
                </a:outerShdw>
              </a:effectLst>
            </a:rPr>
            <a:t>1. توزيع أنواع الوقود</a:t>
          </a:r>
          <a:br>
            <a:rPr lang="ar-EG" sz="2000" b="0" cap="none" spc="0">
              <a:ln w="0"/>
              <a:solidFill>
                <a:schemeClr val="tx1"/>
              </a:solidFill>
              <a:effectLst>
                <a:outerShdw blurRad="38100" dist="19050" dir="2700000" algn="tl" rotWithShape="0">
                  <a:schemeClr val="dk1">
                    <a:alpha val="40000"/>
                  </a:schemeClr>
                </a:outerShdw>
              </a:effectLst>
            </a:rPr>
          </a:br>
          <a:r>
            <a:rPr lang="ar-EG" sz="2000" b="0" cap="none" spc="0">
              <a:ln w="0"/>
              <a:solidFill>
                <a:schemeClr val="tx1"/>
              </a:solidFill>
              <a:effectLst>
                <a:outerShdw blurRad="38100" dist="19050" dir="2700000" algn="tl" rotWithShape="0">
                  <a:schemeClr val="dk1">
                    <a:alpha val="40000"/>
                  </a:schemeClr>
                </a:outerShdw>
              </a:effectLst>
            </a:rPr>
            <a:t>غالبية المركبات في العينة (1622 من أصل 1784، أي 90.9%) تعمل بالبنزين، بينما باقي الأنواع (</a:t>
          </a:r>
          <a:r>
            <a:rPr lang="en-US" sz="2000" b="0" cap="none" spc="0">
              <a:ln w="0"/>
              <a:solidFill>
                <a:schemeClr val="tx1"/>
              </a:solidFill>
              <a:effectLst>
                <a:outerShdw blurRad="38100" dist="19050" dir="2700000" algn="tl" rotWithShape="0">
                  <a:schemeClr val="dk1">
                    <a:alpha val="40000"/>
                  </a:schemeClr>
                </a:outerShdw>
              </a:effectLst>
            </a:rPr>
            <a:t>Diesel, Hybrid, Electric...) </a:t>
          </a:r>
          <a:r>
            <a:rPr lang="ar-EG" sz="2000" b="0" cap="none" spc="0">
              <a:ln w="0"/>
              <a:solidFill>
                <a:schemeClr val="tx1"/>
              </a:solidFill>
              <a:effectLst>
                <a:outerShdw blurRad="38100" dist="19050" dir="2700000" algn="tl" rotWithShape="0">
                  <a:schemeClr val="dk1">
                    <a:alpha val="40000"/>
                  </a:schemeClr>
                </a:outerShdw>
              </a:effectLst>
            </a:rPr>
            <a:t>مجتمعة تمثل أقل من 10% فقط — ما يعكس اعتماد كبير على الوقود التقليدي حتى الآن بين الأسر المشمولة بالاستطلاع.</a:t>
          </a:r>
        </a:p>
        <a:p>
          <a:pPr algn="r" rtl="1"/>
          <a:r>
            <a:rPr lang="ar-EG" sz="2000" b="0" cap="none" spc="0">
              <a:ln w="0"/>
              <a:solidFill>
                <a:schemeClr val="tx1"/>
              </a:solidFill>
              <a:effectLst>
                <a:outerShdw blurRad="38100" dist="19050" dir="2700000" algn="tl" rotWithShape="0">
                  <a:schemeClr val="dk1">
                    <a:alpha val="40000"/>
                  </a:schemeClr>
                </a:outerShdw>
              </a:effectLst>
            </a:rPr>
            <a:t>2. العلاقة بين نوع الوقود وعمر المركبة</a:t>
          </a:r>
          <a:br>
            <a:rPr lang="ar-EG" sz="2000" b="0" cap="none" spc="0">
              <a:ln w="0"/>
              <a:solidFill>
                <a:schemeClr val="tx1"/>
              </a:solidFill>
              <a:effectLst>
                <a:outerShdw blurRad="38100" dist="19050" dir="2700000" algn="tl" rotWithShape="0">
                  <a:schemeClr val="dk1">
                    <a:alpha val="40000"/>
                  </a:schemeClr>
                </a:outerShdw>
              </a:effectLst>
            </a:rPr>
          </a:br>
          <a:r>
            <a:rPr lang="ar-EG" sz="2000" b="0" cap="none" spc="0">
              <a:ln w="0"/>
              <a:solidFill>
                <a:schemeClr val="tx1"/>
              </a:solidFill>
              <a:effectLst>
                <a:outerShdw blurRad="38100" dist="19050" dir="2700000" algn="tl" rotWithShape="0">
                  <a:schemeClr val="dk1">
                    <a:alpha val="40000"/>
                  </a:schemeClr>
                </a:outerShdw>
              </a:effectLst>
            </a:rPr>
            <a:t>المركبات الهجينة (</a:t>
          </a:r>
          <a:r>
            <a:rPr lang="en-US" sz="2000" b="0" cap="none" spc="0">
              <a:ln w="0"/>
              <a:solidFill>
                <a:schemeClr val="tx1"/>
              </a:solidFill>
              <a:effectLst>
                <a:outerShdw blurRad="38100" dist="19050" dir="2700000" algn="tl" rotWithShape="0">
                  <a:schemeClr val="dk1">
                    <a:alpha val="40000"/>
                  </a:schemeClr>
                </a:outerShdw>
              </a:effectLst>
            </a:rPr>
            <a:t>Hybrid) </a:t>
          </a:r>
          <a:r>
            <a:rPr lang="ar-EG" sz="2000" b="0" cap="none" spc="0">
              <a:ln w="0"/>
              <a:solidFill>
                <a:schemeClr val="tx1"/>
              </a:solidFill>
              <a:effectLst>
                <a:outerShdw blurRad="38100" dist="19050" dir="2700000" algn="tl" rotWithShape="0">
                  <a:schemeClr val="dk1">
                    <a:alpha val="40000"/>
                  </a:schemeClr>
                </a:outerShdw>
              </a:effectLst>
            </a:rPr>
            <a:t>والكهربائية (</a:t>
          </a:r>
          <a:r>
            <a:rPr lang="en-US" sz="2000" b="0" cap="none" spc="0">
              <a:ln w="0"/>
              <a:solidFill>
                <a:schemeClr val="tx1"/>
              </a:solidFill>
              <a:effectLst>
                <a:outerShdw blurRad="38100" dist="19050" dir="2700000" algn="tl" rotWithShape="0">
                  <a:schemeClr val="dk1">
                    <a:alpha val="40000"/>
                  </a:schemeClr>
                </a:outerShdw>
              </a:effectLst>
            </a:rPr>
            <a:t>Electric) </a:t>
          </a:r>
          <a:r>
            <a:rPr lang="ar-EG" sz="2000" b="0" cap="none" spc="0">
              <a:ln w="0"/>
              <a:solidFill>
                <a:schemeClr val="tx1"/>
              </a:solidFill>
              <a:effectLst>
                <a:outerShdw blurRad="38100" dist="19050" dir="2700000" algn="tl" rotWithShape="0">
                  <a:schemeClr val="dk1">
                    <a:alpha val="40000"/>
                  </a:schemeClr>
                </a:outerShdw>
              </a:effectLst>
            </a:rPr>
            <a:t>هي الأحدث عمرًا (متوسط 3.6 و4.9 سنة على التوالي)، بينما البنزين والديزل أقدم نسبيًا (10.3 و7 سنوات) — وهذا يتماشى مع كون تقنيات الكهرباء والهايبرد أحدث دخولًا للسوق.</a:t>
          </a:r>
        </a:p>
        <a:p>
          <a:pPr algn="r" rtl="1"/>
          <a:r>
            <a:rPr lang="ar-EG" sz="2000" b="0" cap="none" spc="0">
              <a:ln w="0"/>
              <a:solidFill>
                <a:schemeClr val="tx1"/>
              </a:solidFill>
              <a:effectLst>
                <a:outerShdw blurRad="38100" dist="19050" dir="2700000" algn="tl" rotWithShape="0">
                  <a:schemeClr val="dk1">
                    <a:alpha val="40000"/>
                  </a:schemeClr>
                </a:outerShdw>
              </a:effectLst>
            </a:rPr>
            <a:t>3. تنبيه على المتوسطات المضللة إحصائيًا</a:t>
          </a:r>
          <a:br>
            <a:rPr lang="ar-EG" sz="2000" b="0" cap="none" spc="0">
              <a:ln w="0"/>
              <a:solidFill>
                <a:schemeClr val="tx1"/>
              </a:solidFill>
              <a:effectLst>
                <a:outerShdw blurRad="38100" dist="19050" dir="2700000" algn="tl" rotWithShape="0">
                  <a:schemeClr val="dk1">
                    <a:alpha val="40000"/>
                  </a:schemeClr>
                </a:outerShdw>
              </a:effectLst>
            </a:rPr>
          </a:br>
          <a:r>
            <a:rPr lang="ar-EG" sz="2000" b="0" cap="none" spc="0">
              <a:ln w="0"/>
              <a:solidFill>
                <a:schemeClr val="tx1"/>
              </a:solidFill>
              <a:effectLst>
                <a:outerShdw blurRad="38100" dist="19050" dir="2700000" algn="tl" rotWithShape="0">
                  <a:schemeClr val="dk1">
                    <a:alpha val="40000"/>
                  </a:schemeClr>
                </a:outerShdw>
              </a:effectLst>
            </a:rPr>
            <a:t>فئتا "</a:t>
          </a:r>
          <a:r>
            <a:rPr lang="en-US" sz="2000" b="0" cap="none" spc="0">
              <a:ln w="0"/>
              <a:solidFill>
                <a:schemeClr val="tx1"/>
              </a:solidFill>
              <a:effectLst>
                <a:outerShdw blurRad="38100" dist="19050" dir="2700000" algn="tl" rotWithShape="0">
                  <a:schemeClr val="dk1">
                    <a:alpha val="40000"/>
                  </a:schemeClr>
                </a:outerShdw>
              </a:effectLst>
            </a:rPr>
            <a:t>Plug-in Hybrid" </a:t>
          </a:r>
          <a:r>
            <a:rPr lang="ar-EG" sz="2000" b="0" cap="none" spc="0">
              <a:ln w="0"/>
              <a:solidFill>
                <a:schemeClr val="tx1"/>
              </a:solidFill>
              <a:effectLst>
                <a:outerShdw blurRad="38100" dist="19050" dir="2700000" algn="tl" rotWithShape="0">
                  <a:schemeClr val="dk1">
                    <a:alpha val="40000"/>
                  </a:schemeClr>
                </a:outerShdw>
              </a:effectLst>
            </a:rPr>
            <a:t>و"</a:t>
          </a:r>
          <a:r>
            <a:rPr lang="en-US" sz="2000" b="0" cap="none" spc="0">
              <a:ln w="0"/>
              <a:solidFill>
                <a:schemeClr val="tx1"/>
              </a:solidFill>
              <a:effectLst>
                <a:outerShdw blurRad="38100" dist="19050" dir="2700000" algn="tl" rotWithShape="0">
                  <a:schemeClr val="dk1">
                    <a:alpha val="40000"/>
                  </a:schemeClr>
                </a:outerShdw>
              </a:effectLst>
            </a:rPr>
            <a:t>Don't Know / Not Reported" </a:t>
          </a:r>
          <a:r>
            <a:rPr lang="ar-EG" sz="2000" b="0" cap="none" spc="0">
              <a:ln w="0"/>
              <a:solidFill>
                <a:schemeClr val="tx1"/>
              </a:solidFill>
              <a:effectLst>
                <a:outerShdw blurRad="38100" dist="19050" dir="2700000" algn="tl" rotWithShape="0">
                  <a:schemeClr val="dk1">
                    <a:alpha val="40000"/>
                  </a:schemeClr>
                </a:outerShdw>
              </a:effectLst>
            </a:rPr>
            <a:t>سجّلتا أعلى القيم في مؤشرين مختلفين — متوسط الوزن الإحصائي بلغ 2127.70 للـ</a:t>
          </a:r>
          <a:r>
            <a:rPr lang="en-US" sz="2000" b="0" cap="none" spc="0">
              <a:ln w="0"/>
              <a:solidFill>
                <a:schemeClr val="tx1"/>
              </a:solidFill>
              <a:effectLst>
                <a:outerShdw blurRad="38100" dist="19050" dir="2700000" algn="tl" rotWithShape="0">
                  <a:schemeClr val="dk1">
                    <a:alpha val="40000"/>
                  </a:schemeClr>
                </a:outerShdw>
              </a:effectLst>
            </a:rPr>
            <a:t>Plug-in Hybrid، </a:t>
          </a:r>
          <a:r>
            <a:rPr lang="ar-EG" sz="2000" b="0" cap="none" spc="0">
              <a:ln w="0"/>
              <a:solidFill>
                <a:schemeClr val="tx1"/>
              </a:solidFill>
              <a:effectLst>
                <a:outerShdw blurRad="38100" dist="19050" dir="2700000" algn="tl" rotWithShape="0">
                  <a:schemeClr val="dk1">
                    <a:alpha val="40000"/>
                  </a:schemeClr>
                </a:outerShdw>
              </a:effectLst>
            </a:rPr>
            <a:t>ومتوسط عمر المركبة بلغ 16 سنة لفئة </a:t>
          </a:r>
          <a:r>
            <a:rPr lang="en-US" sz="2000" b="0" cap="none" spc="0">
              <a:ln w="0"/>
              <a:solidFill>
                <a:schemeClr val="tx1"/>
              </a:solidFill>
              <a:effectLst>
                <a:outerShdw blurRad="38100" dist="19050" dir="2700000" algn="tl" rotWithShape="0">
                  <a:schemeClr val="dk1">
                    <a:alpha val="40000"/>
                  </a:schemeClr>
                </a:outerShdw>
              </a:effectLst>
            </a:rPr>
            <a:t>Don't Know — </a:t>
          </a:r>
          <a:r>
            <a:rPr lang="ar-EG" sz="2000" b="0" cap="none" spc="0">
              <a:ln w="0"/>
              <a:solidFill>
                <a:schemeClr val="tx1"/>
              </a:solidFill>
              <a:effectLst>
                <a:outerShdw blurRad="38100" dist="19050" dir="2700000" algn="tl" rotWithShape="0">
                  <a:schemeClr val="dk1">
                    <a:alpha val="40000"/>
                  </a:schemeClr>
                </a:outerShdw>
              </a:effectLst>
            </a:rPr>
            <a:t>إلا أن كل فئة منهما تحتوي على عدد ضئيل جدًا من السجلات (2 و3 سجلات فقط على التوالي من إجمالي 1784). لذلك، لا يمكن اعتبار هذه المتوسطات ممثلة إحصائيًا أو الاعتماد عليها في اتخاذ قرارات، نظرًا لصغر حجم العينة الشديد في هاتين الفئتين.</a:t>
          </a:r>
          <a:endParaRPr lang="ar-EG" sz="2000">
            <a:solidFill>
              <a:schemeClr val="tx1">
                <a:lumMod val="75000"/>
                <a:lumOff val="25000"/>
              </a:schemeClr>
            </a:solidFill>
          </a:endParaRPr>
        </a:p>
        <a:p>
          <a:pPr algn="ctr"/>
          <a:endParaRPr lang="ar-EG" sz="1400" b="1">
            <a:solidFill>
              <a:schemeClr val="tx1">
                <a:lumMod val="75000"/>
                <a:lumOff val="25000"/>
              </a:schemeClr>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185737</xdr:colOff>
      <xdr:row>6</xdr:row>
      <xdr:rowOff>9525</xdr:rowOff>
    </xdr:from>
    <xdr:to>
      <xdr:col>9</xdr:col>
      <xdr:colOff>642937</xdr:colOff>
      <xdr:row>21</xdr:row>
      <xdr:rowOff>38100</xdr:rowOff>
    </xdr:to>
    <xdr:graphicFrame macro="">
      <xdr:nvGraphicFramePr>
        <xdr:cNvPr id="4" name="Chart 3">
          <a:extLst>
            <a:ext uri="{FF2B5EF4-FFF2-40B4-BE49-F238E27FC236}">
              <a16:creationId xmlns:a16="http://schemas.microsoft.com/office/drawing/2014/main" id="{2FD4DCAD-7E0A-42A3-BBD2-66D6ED684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3</xdr:row>
      <xdr:rowOff>133350</xdr:rowOff>
    </xdr:from>
    <xdr:to>
      <xdr:col>14</xdr:col>
      <xdr:colOff>0</xdr:colOff>
      <xdr:row>17</xdr:row>
      <xdr:rowOff>123825</xdr:rowOff>
    </xdr:to>
    <mc:AlternateContent xmlns:mc="http://schemas.openxmlformats.org/markup-compatibility/2006">
      <mc:Choice xmlns:a14="http://schemas.microsoft.com/office/drawing/2010/main" Requires="a14">
        <xdr:graphicFrame macro="">
          <xdr:nvGraphicFramePr>
            <xdr:cNvPr id="5" name="fuel_type_label">
              <a:extLst>
                <a:ext uri="{FF2B5EF4-FFF2-40B4-BE49-F238E27FC236}">
                  <a16:creationId xmlns:a16="http://schemas.microsoft.com/office/drawing/2014/main" id="{7E0D1C9C-DAEB-4850-B99C-DF8512C8C981}"/>
                </a:ext>
              </a:extLst>
            </xdr:cNvPr>
            <xdr:cNvGraphicFramePr/>
          </xdr:nvGraphicFramePr>
          <xdr:xfrm>
            <a:off x="0" y="0"/>
            <a:ext cx="0" cy="0"/>
          </xdr:xfrm>
          <a:graphic>
            <a:graphicData uri="http://schemas.microsoft.com/office/drawing/2010/slicer">
              <sle:slicer xmlns:sle="http://schemas.microsoft.com/office/drawing/2010/slicer" name="fuel_type_label"/>
            </a:graphicData>
          </a:graphic>
        </xdr:graphicFrame>
      </mc:Choice>
      <mc:Fallback>
        <xdr:sp macro="" textlink="">
          <xdr:nvSpPr>
            <xdr:cNvPr id="0" name=""/>
            <xdr:cNvSpPr>
              <a:spLocks noTextEdit="1"/>
            </xdr:cNvSpPr>
          </xdr:nvSpPr>
          <xdr:spPr>
            <a:xfrm>
              <a:off x="9658350" y="6762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547687</xdr:colOff>
      <xdr:row>4</xdr:row>
      <xdr:rowOff>57150</xdr:rowOff>
    </xdr:from>
    <xdr:to>
      <xdr:col>9</xdr:col>
      <xdr:colOff>319087</xdr:colOff>
      <xdr:row>20</xdr:row>
      <xdr:rowOff>152400</xdr:rowOff>
    </xdr:to>
    <xdr:graphicFrame macro="">
      <xdr:nvGraphicFramePr>
        <xdr:cNvPr id="2" name="Chart 1">
          <a:extLst>
            <a:ext uri="{FF2B5EF4-FFF2-40B4-BE49-F238E27FC236}">
              <a16:creationId xmlns:a16="http://schemas.microsoft.com/office/drawing/2014/main" id="{C0528527-9BC5-4317-85F0-892FF44A2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3</xdr:row>
      <xdr:rowOff>57150</xdr:rowOff>
    </xdr:from>
    <xdr:to>
      <xdr:col>9</xdr:col>
      <xdr:colOff>595312</xdr:colOff>
      <xdr:row>19</xdr:row>
      <xdr:rowOff>95250</xdr:rowOff>
    </xdr:to>
    <xdr:graphicFrame macro="">
      <xdr:nvGraphicFramePr>
        <xdr:cNvPr id="2" name="Chart 1">
          <a:extLst>
            <a:ext uri="{FF2B5EF4-FFF2-40B4-BE49-F238E27FC236}">
              <a16:creationId xmlns:a16="http://schemas.microsoft.com/office/drawing/2014/main" id="{32CCDA41-3D25-485A-9B90-61ED0DA2B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RIX" refreshedDate="46232.927951388891" createdVersion="6" refreshedVersion="6" minRefreshableVersion="3" recordCount="1784" xr:uid="{1CB28594-2A51-45A2-BBAC-60A5D6C8CE6A}">
  <cacheSource type="worksheet">
    <worksheetSource name="qhkz_4dqm"/>
  </cacheSource>
  <cacheFields count="10">
    <cacheField name="hh_id" numFmtId="0">
      <sharedItems containsSemiMixedTypes="0" containsString="0" containsNumber="1" containsInteger="1" minValue="24000108" maxValue="24153397"/>
    </cacheField>
    <cacheField name="vehicle_id" numFmtId="0">
      <sharedItems containsSemiMixedTypes="0" containsString="0" containsNumber="1" containsInteger="1" minValue="2400010801" maxValue="2415339701"/>
    </cacheField>
    <cacheField name="vehicle_num" numFmtId="0">
      <sharedItems containsSemiMixedTypes="0" containsString="0" containsNumber="1" containsInteger="1" minValue="1" maxValue="1"/>
    </cacheField>
    <cacheField name="year" numFmtId="0">
      <sharedItems containsSemiMixedTypes="0" containsString="0" containsNumber="1" containsInteger="1" minValue="1980" maxValue="2025" count="36">
        <n v="2013"/>
        <n v="2023"/>
        <n v="2014"/>
        <n v="2022"/>
        <n v="2005"/>
        <n v="2020"/>
        <n v="2019"/>
        <n v="2003"/>
        <n v="2017"/>
        <n v="2024"/>
        <n v="2021"/>
        <n v="2018"/>
        <n v="2007"/>
        <n v="1992"/>
        <n v="2016"/>
        <n v="2000"/>
        <n v="2012"/>
        <n v="2010"/>
        <n v="2015"/>
        <n v="2009"/>
        <n v="2004"/>
        <n v="2002"/>
        <n v="2008"/>
        <n v="1980"/>
        <n v="2011"/>
        <n v="1999"/>
        <n v="2025"/>
        <n v="2006"/>
        <n v="1997"/>
        <n v="1998"/>
        <n v="2001"/>
        <n v="1996"/>
        <n v="1994"/>
        <n v="1993"/>
        <n v="1995"/>
        <n v="1981"/>
      </sharedItems>
    </cacheField>
    <cacheField name="fuel_type" numFmtId="0">
      <sharedItems containsSemiMixedTypes="0" containsString="0" containsNumber="1" containsInteger="1" minValue="1" maxValue="7" count="7">
        <n v="1"/>
        <n v="4"/>
        <n v="2"/>
        <n v="6"/>
        <n v="3"/>
        <n v="7"/>
        <n v="5"/>
      </sharedItems>
    </cacheField>
    <cacheField name="hh_weight_zonal" numFmtId="0">
      <sharedItems containsSemiMixedTypes="0" containsString="0" containsNumber="1" minValue="0.32" maxValue="14972.44"/>
    </cacheField>
    <cacheField name="hh_weight_citywide" numFmtId="0">
      <sharedItems containsSemiMixedTypes="0" containsString="0" containsNumber="1" minValue="37.22" maxValue="9999.35"/>
    </cacheField>
    <cacheField name="fuel_type_label" numFmtId="0">
      <sharedItems count="7">
        <s v="Gasoline"/>
        <s v="Electric"/>
        <s v="Diesel"/>
        <s v="Other"/>
        <s v="Hybrid"/>
        <s v="Don't Know / Not Reported"/>
        <s v="Plug-in Hybrid"/>
      </sharedItems>
    </cacheField>
    <cacheField name="vehicle_age" numFmtId="0">
      <sharedItems containsSemiMixedTypes="0" containsString="0" containsNumber="1" containsInteger="1" minValue="1" maxValue="46"/>
    </cacheField>
    <cacheField name="age_group" numFmtId="0">
      <sharedItems/>
    </cacheField>
  </cacheFields>
  <extLst>
    <ext xmlns:x14="http://schemas.microsoft.com/office/spreadsheetml/2009/9/main" uri="{725AE2AE-9491-48be-B2B4-4EB974FC3084}">
      <x14:pivotCacheDefinition pivotCacheId="225028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4">
  <r>
    <n v="24000108"/>
    <n v="2400010801"/>
    <n v="1"/>
    <x v="0"/>
    <x v="0"/>
    <n v="2263.81"/>
    <n v="2432.14"/>
    <x v="0"/>
    <n v="13"/>
    <s v="Older"/>
  </r>
  <r>
    <n v="24000305"/>
    <n v="2400030501"/>
    <n v="1"/>
    <x v="1"/>
    <x v="0"/>
    <n v="1870.22"/>
    <n v="2655.76"/>
    <x v="0"/>
    <n v="3"/>
    <s v="Newer"/>
  </r>
  <r>
    <n v="24000347"/>
    <n v="2400034701"/>
    <n v="1"/>
    <x v="2"/>
    <x v="0"/>
    <n v="766.65"/>
    <n v="1063.24"/>
    <x v="0"/>
    <n v="12"/>
    <s v="Older"/>
  </r>
  <r>
    <n v="24000381"/>
    <n v="2400038101"/>
    <n v="1"/>
    <x v="3"/>
    <x v="0"/>
    <n v="436.44"/>
    <n v="454.51"/>
    <x v="0"/>
    <n v="4"/>
    <s v="Mid-age"/>
  </r>
  <r>
    <n v="24000504"/>
    <n v="2400050401"/>
    <n v="1"/>
    <x v="1"/>
    <x v="0"/>
    <n v="312.06"/>
    <n v="212.53"/>
    <x v="0"/>
    <n v="3"/>
    <s v="Newer"/>
  </r>
  <r>
    <n v="24000545"/>
    <n v="2400054501"/>
    <n v="1"/>
    <x v="1"/>
    <x v="1"/>
    <n v="768.13"/>
    <n v="2286.79"/>
    <x v="1"/>
    <n v="3"/>
    <s v="Newer"/>
  </r>
  <r>
    <n v="24000698"/>
    <n v="2400069801"/>
    <n v="1"/>
    <x v="4"/>
    <x v="0"/>
    <n v="67.319999999999993"/>
    <n v="184.06"/>
    <x v="0"/>
    <n v="21"/>
    <s v="Very Old"/>
  </r>
  <r>
    <n v="24001323"/>
    <n v="2400132301"/>
    <n v="1"/>
    <x v="5"/>
    <x v="0"/>
    <n v="266.42"/>
    <n v="316.61"/>
    <x v="0"/>
    <n v="6"/>
    <s v="Mid-age"/>
  </r>
  <r>
    <n v="24001415"/>
    <n v="2400141501"/>
    <n v="1"/>
    <x v="6"/>
    <x v="0"/>
    <n v="251.48"/>
    <n v="564.69000000000005"/>
    <x v="0"/>
    <n v="7"/>
    <s v="Mid-age"/>
  </r>
  <r>
    <n v="24001425"/>
    <n v="2400142501"/>
    <n v="1"/>
    <x v="6"/>
    <x v="0"/>
    <n v="82.52"/>
    <n v="110.81"/>
    <x v="0"/>
    <n v="7"/>
    <s v="Mid-age"/>
  </r>
  <r>
    <n v="24001655"/>
    <n v="2400165501"/>
    <n v="1"/>
    <x v="7"/>
    <x v="0"/>
    <n v="74.66"/>
    <n v="148.16"/>
    <x v="0"/>
    <n v="23"/>
    <s v="Very Old"/>
  </r>
  <r>
    <n v="24001752"/>
    <n v="2400175201"/>
    <n v="1"/>
    <x v="8"/>
    <x v="0"/>
    <n v="248.24"/>
    <n v="292.11"/>
    <x v="0"/>
    <n v="9"/>
    <s v="Mid-age"/>
  </r>
  <r>
    <n v="24001879"/>
    <n v="2400187901"/>
    <n v="1"/>
    <x v="1"/>
    <x v="0"/>
    <n v="803.42"/>
    <n v="677.13"/>
    <x v="0"/>
    <n v="3"/>
    <s v="Newer"/>
  </r>
  <r>
    <n v="24002089"/>
    <n v="2400208901"/>
    <n v="1"/>
    <x v="2"/>
    <x v="0"/>
    <n v="34.950000000000003"/>
    <n v="306.27"/>
    <x v="0"/>
    <n v="12"/>
    <s v="Older"/>
  </r>
  <r>
    <n v="24002132"/>
    <n v="2400213201"/>
    <n v="1"/>
    <x v="9"/>
    <x v="0"/>
    <n v="1959.22"/>
    <n v="3550.35"/>
    <x v="0"/>
    <n v="2"/>
    <s v="Newer"/>
  </r>
  <r>
    <n v="24002323"/>
    <n v="2400232301"/>
    <n v="1"/>
    <x v="8"/>
    <x v="0"/>
    <n v="264.02999999999997"/>
    <n v="637.92999999999995"/>
    <x v="0"/>
    <n v="9"/>
    <s v="Mid-age"/>
  </r>
  <r>
    <n v="24002413"/>
    <n v="2400241301"/>
    <n v="1"/>
    <x v="10"/>
    <x v="0"/>
    <n v="1192.1099999999999"/>
    <n v="3513.41"/>
    <x v="0"/>
    <n v="5"/>
    <s v="Mid-age"/>
  </r>
  <r>
    <n v="24002447"/>
    <n v="2400244701"/>
    <n v="1"/>
    <x v="11"/>
    <x v="0"/>
    <n v="223.28"/>
    <n v="202.86"/>
    <x v="0"/>
    <n v="8"/>
    <s v="Mid-age"/>
  </r>
  <r>
    <n v="24002550"/>
    <n v="2400255001"/>
    <n v="1"/>
    <x v="12"/>
    <x v="0"/>
    <n v="803.42"/>
    <n v="677.13"/>
    <x v="0"/>
    <n v="19"/>
    <s v="Older"/>
  </r>
  <r>
    <n v="24002558"/>
    <n v="2400255801"/>
    <n v="1"/>
    <x v="10"/>
    <x v="0"/>
    <n v="202"/>
    <n v="271.24"/>
    <x v="0"/>
    <n v="5"/>
    <s v="Mid-age"/>
  </r>
  <r>
    <n v="24002573"/>
    <n v="2400257301"/>
    <n v="1"/>
    <x v="10"/>
    <x v="0"/>
    <n v="768.43"/>
    <n v="799.42"/>
    <x v="0"/>
    <n v="5"/>
    <s v="Mid-age"/>
  </r>
  <r>
    <n v="24002932"/>
    <n v="2400293201"/>
    <n v="1"/>
    <x v="1"/>
    <x v="0"/>
    <n v="190.44"/>
    <n v="485.45"/>
    <x v="0"/>
    <n v="3"/>
    <s v="Newer"/>
  </r>
  <r>
    <n v="24003278"/>
    <n v="2400327801"/>
    <n v="1"/>
    <x v="13"/>
    <x v="0"/>
    <n v="35.950000000000003"/>
    <n v="212.89"/>
    <x v="0"/>
    <n v="34"/>
    <s v="Very Old"/>
  </r>
  <r>
    <n v="24003280"/>
    <n v="2400328001"/>
    <n v="1"/>
    <x v="9"/>
    <x v="0"/>
    <n v="1049.2"/>
    <n v="1191.45"/>
    <x v="0"/>
    <n v="2"/>
    <s v="Newer"/>
  </r>
  <r>
    <n v="24003320"/>
    <n v="2400332001"/>
    <n v="1"/>
    <x v="4"/>
    <x v="0"/>
    <n v="62.76"/>
    <n v="175.64"/>
    <x v="0"/>
    <n v="21"/>
    <s v="Very Old"/>
  </r>
  <r>
    <n v="24003338"/>
    <n v="2400333801"/>
    <n v="1"/>
    <x v="6"/>
    <x v="0"/>
    <n v="244.46"/>
    <n v="232.26"/>
    <x v="0"/>
    <n v="7"/>
    <s v="Mid-age"/>
  </r>
  <r>
    <n v="24003543"/>
    <n v="2400354301"/>
    <n v="1"/>
    <x v="1"/>
    <x v="0"/>
    <n v="393.79"/>
    <n v="170.6"/>
    <x v="0"/>
    <n v="3"/>
    <s v="Newer"/>
  </r>
  <r>
    <n v="24003658"/>
    <n v="2400365801"/>
    <n v="1"/>
    <x v="6"/>
    <x v="1"/>
    <n v="142.58000000000001"/>
    <n v="168.6"/>
    <x v="1"/>
    <n v="7"/>
    <s v="Mid-age"/>
  </r>
  <r>
    <n v="24004176"/>
    <n v="2400417601"/>
    <n v="1"/>
    <x v="14"/>
    <x v="0"/>
    <n v="277.45999999999998"/>
    <n v="621.17999999999995"/>
    <x v="0"/>
    <n v="10"/>
    <s v="Older"/>
  </r>
  <r>
    <n v="24004291"/>
    <n v="2400429101"/>
    <n v="1"/>
    <x v="6"/>
    <x v="0"/>
    <n v="316.27999999999997"/>
    <n v="400.15"/>
    <x v="0"/>
    <n v="7"/>
    <s v="Mid-age"/>
  </r>
  <r>
    <n v="24004548"/>
    <n v="2400454801"/>
    <n v="1"/>
    <x v="10"/>
    <x v="0"/>
    <n v="417.14"/>
    <n v="221.69"/>
    <x v="0"/>
    <n v="5"/>
    <s v="Mid-age"/>
  </r>
  <r>
    <n v="24004585"/>
    <n v="2400458501"/>
    <n v="1"/>
    <x v="2"/>
    <x v="0"/>
    <n v="164.82"/>
    <n v="351.09"/>
    <x v="0"/>
    <n v="12"/>
    <s v="Older"/>
  </r>
  <r>
    <n v="24004617"/>
    <n v="2400461701"/>
    <n v="1"/>
    <x v="10"/>
    <x v="0"/>
    <n v="419.48"/>
    <n v="1761.39"/>
    <x v="0"/>
    <n v="5"/>
    <s v="Mid-age"/>
  </r>
  <r>
    <n v="24004629"/>
    <n v="2400462901"/>
    <n v="1"/>
    <x v="3"/>
    <x v="2"/>
    <n v="202"/>
    <n v="271.24"/>
    <x v="2"/>
    <n v="4"/>
    <s v="Mid-age"/>
  </r>
  <r>
    <n v="24004647"/>
    <n v="2400464701"/>
    <n v="1"/>
    <x v="1"/>
    <x v="0"/>
    <n v="416.84"/>
    <n v="704.64"/>
    <x v="0"/>
    <n v="3"/>
    <s v="Newer"/>
  </r>
  <r>
    <n v="24004707"/>
    <n v="2400470701"/>
    <n v="1"/>
    <x v="10"/>
    <x v="3"/>
    <n v="564.22"/>
    <n v="1127.79"/>
    <x v="3"/>
    <n v="5"/>
    <s v="Mid-age"/>
  </r>
  <r>
    <n v="24004956"/>
    <n v="2400495601"/>
    <n v="1"/>
    <x v="15"/>
    <x v="0"/>
    <n v="384.98"/>
    <n v="1705.66"/>
    <x v="0"/>
    <n v="26"/>
    <s v="Very Old"/>
  </r>
  <r>
    <n v="24005254"/>
    <n v="2400525401"/>
    <n v="1"/>
    <x v="1"/>
    <x v="0"/>
    <n v="781.93"/>
    <n v="1736.12"/>
    <x v="0"/>
    <n v="3"/>
    <s v="Newer"/>
  </r>
  <r>
    <n v="24005300"/>
    <n v="2400530001"/>
    <n v="1"/>
    <x v="0"/>
    <x v="0"/>
    <n v="1517.25"/>
    <n v="3571.42"/>
    <x v="0"/>
    <n v="13"/>
    <s v="Older"/>
  </r>
  <r>
    <n v="24005346"/>
    <n v="2400534601"/>
    <n v="1"/>
    <x v="16"/>
    <x v="0"/>
    <n v="169.47"/>
    <n v="358.37"/>
    <x v="0"/>
    <n v="14"/>
    <s v="Older"/>
  </r>
  <r>
    <n v="24005381"/>
    <n v="2400538101"/>
    <n v="1"/>
    <x v="17"/>
    <x v="0"/>
    <n v="750.69"/>
    <n v="1137.21"/>
    <x v="0"/>
    <n v="16"/>
    <s v="Older"/>
  </r>
  <r>
    <n v="24005455"/>
    <n v="2400545501"/>
    <n v="1"/>
    <x v="2"/>
    <x v="0"/>
    <n v="206.99"/>
    <n v="369.52"/>
    <x v="0"/>
    <n v="12"/>
    <s v="Older"/>
  </r>
  <r>
    <n v="24005576"/>
    <n v="2400557601"/>
    <n v="1"/>
    <x v="6"/>
    <x v="0"/>
    <n v="149.58000000000001"/>
    <n v="221.42"/>
    <x v="0"/>
    <n v="7"/>
    <s v="Mid-age"/>
  </r>
  <r>
    <n v="24005606"/>
    <n v="2400560601"/>
    <n v="1"/>
    <x v="18"/>
    <x v="0"/>
    <n v="101.14"/>
    <n v="208.79"/>
    <x v="0"/>
    <n v="11"/>
    <s v="Older"/>
  </r>
  <r>
    <n v="24005642"/>
    <n v="2400564201"/>
    <n v="1"/>
    <x v="12"/>
    <x v="0"/>
    <n v="205.14"/>
    <n v="730.08"/>
    <x v="0"/>
    <n v="19"/>
    <s v="Older"/>
  </r>
  <r>
    <n v="24005920"/>
    <n v="2400592001"/>
    <n v="1"/>
    <x v="18"/>
    <x v="0"/>
    <n v="233.18"/>
    <n v="1219.7"/>
    <x v="0"/>
    <n v="11"/>
    <s v="Older"/>
  </r>
  <r>
    <n v="24005977"/>
    <n v="2400597701"/>
    <n v="1"/>
    <x v="6"/>
    <x v="0"/>
    <n v="112.58"/>
    <n v="219.83"/>
    <x v="0"/>
    <n v="7"/>
    <s v="Mid-age"/>
  </r>
  <r>
    <n v="24006095"/>
    <n v="2400609501"/>
    <n v="1"/>
    <x v="9"/>
    <x v="0"/>
    <n v="93.86"/>
    <n v="131.69"/>
    <x v="0"/>
    <n v="2"/>
    <s v="Newer"/>
  </r>
  <r>
    <n v="24006137"/>
    <n v="2400613701"/>
    <n v="1"/>
    <x v="19"/>
    <x v="0"/>
    <n v="416.23"/>
    <n v="861.71"/>
    <x v="0"/>
    <n v="17"/>
    <s v="Older"/>
  </r>
  <r>
    <n v="24006317"/>
    <n v="2400631701"/>
    <n v="1"/>
    <x v="11"/>
    <x v="0"/>
    <n v="192.75"/>
    <n v="425.9"/>
    <x v="0"/>
    <n v="8"/>
    <s v="Mid-age"/>
  </r>
  <r>
    <n v="24006881"/>
    <n v="2400688101"/>
    <n v="1"/>
    <x v="17"/>
    <x v="0"/>
    <n v="915"/>
    <n v="1279.99"/>
    <x v="0"/>
    <n v="16"/>
    <s v="Older"/>
  </r>
  <r>
    <n v="24006949"/>
    <n v="2400694901"/>
    <n v="1"/>
    <x v="1"/>
    <x v="0"/>
    <n v="1730.37"/>
    <n v="2885.17"/>
    <x v="0"/>
    <n v="3"/>
    <s v="Newer"/>
  </r>
  <r>
    <n v="24007173"/>
    <n v="2400717301"/>
    <n v="1"/>
    <x v="4"/>
    <x v="0"/>
    <n v="590.79"/>
    <n v="1504.34"/>
    <x v="0"/>
    <n v="21"/>
    <s v="Very Old"/>
  </r>
  <r>
    <n v="24007194"/>
    <n v="2400719401"/>
    <n v="1"/>
    <x v="20"/>
    <x v="0"/>
    <n v="342.07"/>
    <n v="1155.08"/>
    <x v="0"/>
    <n v="22"/>
    <s v="Very Old"/>
  </r>
  <r>
    <n v="24007216"/>
    <n v="2400721601"/>
    <n v="1"/>
    <x v="1"/>
    <x v="0"/>
    <n v="1546"/>
    <n v="1532.91"/>
    <x v="0"/>
    <n v="3"/>
    <s v="Newer"/>
  </r>
  <r>
    <n v="24007288"/>
    <n v="2400728801"/>
    <n v="1"/>
    <x v="10"/>
    <x v="0"/>
    <n v="165.32"/>
    <n v="1606.76"/>
    <x v="0"/>
    <n v="5"/>
    <s v="Mid-age"/>
  </r>
  <r>
    <n v="24007461"/>
    <n v="2400746101"/>
    <n v="1"/>
    <x v="1"/>
    <x v="0"/>
    <n v="1022.13"/>
    <n v="519.03"/>
    <x v="0"/>
    <n v="3"/>
    <s v="Newer"/>
  </r>
  <r>
    <n v="24007595"/>
    <n v="2400759501"/>
    <n v="1"/>
    <x v="2"/>
    <x v="0"/>
    <n v="98.47"/>
    <n v="172.94"/>
    <x v="0"/>
    <n v="12"/>
    <s v="Older"/>
  </r>
  <r>
    <n v="24007657"/>
    <n v="2400765701"/>
    <n v="1"/>
    <x v="16"/>
    <x v="0"/>
    <n v="579.73"/>
    <n v="554.36"/>
    <x v="0"/>
    <n v="14"/>
    <s v="Older"/>
  </r>
  <r>
    <n v="24007829"/>
    <n v="2400782901"/>
    <n v="1"/>
    <x v="8"/>
    <x v="0"/>
    <n v="662.43"/>
    <n v="2328.2399999999998"/>
    <x v="0"/>
    <n v="9"/>
    <s v="Mid-age"/>
  </r>
  <r>
    <n v="24007844"/>
    <n v="2400784401"/>
    <n v="1"/>
    <x v="1"/>
    <x v="2"/>
    <n v="2476.27"/>
    <n v="2386.9899999999998"/>
    <x v="2"/>
    <n v="3"/>
    <s v="Newer"/>
  </r>
  <r>
    <n v="24007918"/>
    <n v="2400791801"/>
    <n v="1"/>
    <x v="5"/>
    <x v="2"/>
    <n v="474.64"/>
    <n v="181.98"/>
    <x v="2"/>
    <n v="6"/>
    <s v="Mid-age"/>
  </r>
  <r>
    <n v="24007987"/>
    <n v="2400798701"/>
    <n v="1"/>
    <x v="8"/>
    <x v="0"/>
    <n v="47.41"/>
    <n v="248.51"/>
    <x v="0"/>
    <n v="9"/>
    <s v="Mid-age"/>
  </r>
  <r>
    <n v="24008046"/>
    <n v="2400804601"/>
    <n v="1"/>
    <x v="0"/>
    <x v="0"/>
    <n v="2459.79"/>
    <n v="2387.66"/>
    <x v="0"/>
    <n v="13"/>
    <s v="Older"/>
  </r>
  <r>
    <n v="24008308"/>
    <n v="2400830801"/>
    <n v="1"/>
    <x v="21"/>
    <x v="0"/>
    <n v="36.9"/>
    <n v="152.56"/>
    <x v="0"/>
    <n v="24"/>
    <s v="Very Old"/>
  </r>
  <r>
    <n v="24008361"/>
    <n v="2400836101"/>
    <n v="1"/>
    <x v="14"/>
    <x v="0"/>
    <n v="834.55"/>
    <n v="279.39999999999998"/>
    <x v="0"/>
    <n v="10"/>
    <s v="Older"/>
  </r>
  <r>
    <n v="24008410"/>
    <n v="2400841001"/>
    <n v="1"/>
    <x v="1"/>
    <x v="1"/>
    <n v="181.37"/>
    <n v="106.5"/>
    <x v="1"/>
    <n v="3"/>
    <s v="Newer"/>
  </r>
  <r>
    <n v="24008634"/>
    <n v="2400863401"/>
    <n v="1"/>
    <x v="0"/>
    <x v="0"/>
    <n v="313.20999999999998"/>
    <n v="380.25"/>
    <x v="0"/>
    <n v="13"/>
    <s v="Older"/>
  </r>
  <r>
    <n v="24008640"/>
    <n v="2400864001"/>
    <n v="1"/>
    <x v="14"/>
    <x v="0"/>
    <n v="259.86"/>
    <n v="484.79"/>
    <x v="0"/>
    <n v="10"/>
    <s v="Older"/>
  </r>
  <r>
    <n v="24008674"/>
    <n v="2400867401"/>
    <n v="1"/>
    <x v="3"/>
    <x v="0"/>
    <n v="1445.67"/>
    <n v="2021.44"/>
    <x v="0"/>
    <n v="4"/>
    <s v="Mid-age"/>
  </r>
  <r>
    <n v="24008775"/>
    <n v="2400877501"/>
    <n v="1"/>
    <x v="14"/>
    <x v="0"/>
    <n v="162.55000000000001"/>
    <n v="411.76"/>
    <x v="0"/>
    <n v="10"/>
    <s v="Older"/>
  </r>
  <r>
    <n v="24008797"/>
    <n v="2400879701"/>
    <n v="1"/>
    <x v="14"/>
    <x v="0"/>
    <n v="72.739999999999995"/>
    <n v="155.08000000000001"/>
    <x v="0"/>
    <n v="10"/>
    <s v="Older"/>
  </r>
  <r>
    <n v="24008837"/>
    <n v="2400883701"/>
    <n v="1"/>
    <x v="21"/>
    <x v="0"/>
    <n v="634.39"/>
    <n v="715.32"/>
    <x v="0"/>
    <n v="24"/>
    <s v="Very Old"/>
  </r>
  <r>
    <n v="24008906"/>
    <n v="2400890601"/>
    <n v="1"/>
    <x v="9"/>
    <x v="0"/>
    <n v="479.39"/>
    <n v="945.18"/>
    <x v="0"/>
    <n v="2"/>
    <s v="Newer"/>
  </r>
  <r>
    <n v="24008951"/>
    <n v="2400895101"/>
    <n v="1"/>
    <x v="6"/>
    <x v="0"/>
    <n v="294.62"/>
    <n v="175.31"/>
    <x v="0"/>
    <n v="7"/>
    <s v="Mid-age"/>
  </r>
  <r>
    <n v="24009261"/>
    <n v="2400926101"/>
    <n v="1"/>
    <x v="3"/>
    <x v="0"/>
    <n v="426.76"/>
    <n v="919.62"/>
    <x v="0"/>
    <n v="4"/>
    <s v="Mid-age"/>
  </r>
  <r>
    <n v="24009407"/>
    <n v="2400940701"/>
    <n v="1"/>
    <x v="11"/>
    <x v="0"/>
    <n v="126.22"/>
    <n v="494.52"/>
    <x v="0"/>
    <n v="8"/>
    <s v="Mid-age"/>
  </r>
  <r>
    <n v="24009434"/>
    <n v="2400943401"/>
    <n v="1"/>
    <x v="14"/>
    <x v="0"/>
    <n v="691.06"/>
    <n v="1936.45"/>
    <x v="0"/>
    <n v="10"/>
    <s v="Older"/>
  </r>
  <r>
    <n v="24009620"/>
    <n v="2400962001"/>
    <n v="1"/>
    <x v="2"/>
    <x v="0"/>
    <n v="196.3"/>
    <n v="170.69"/>
    <x v="0"/>
    <n v="12"/>
    <s v="Older"/>
  </r>
  <r>
    <n v="24009711"/>
    <n v="2400971101"/>
    <n v="1"/>
    <x v="8"/>
    <x v="0"/>
    <n v="373.33"/>
    <n v="328.75"/>
    <x v="0"/>
    <n v="9"/>
    <s v="Mid-age"/>
  </r>
  <r>
    <n v="24009778"/>
    <n v="2400977801"/>
    <n v="1"/>
    <x v="11"/>
    <x v="2"/>
    <n v="202"/>
    <n v="271.24"/>
    <x v="2"/>
    <n v="8"/>
    <s v="Mid-age"/>
  </r>
  <r>
    <n v="24009912"/>
    <n v="2400991201"/>
    <n v="1"/>
    <x v="1"/>
    <x v="0"/>
    <n v="2420"/>
    <n v="2594.75"/>
    <x v="0"/>
    <n v="3"/>
    <s v="Newer"/>
  </r>
  <r>
    <n v="24010038"/>
    <n v="2401003801"/>
    <n v="1"/>
    <x v="1"/>
    <x v="0"/>
    <n v="460.95"/>
    <n v="297.19"/>
    <x v="0"/>
    <n v="3"/>
    <s v="Newer"/>
  </r>
  <r>
    <n v="24010075"/>
    <n v="2401007501"/>
    <n v="1"/>
    <x v="3"/>
    <x v="1"/>
    <n v="546.34"/>
    <n v="778.38"/>
    <x v="1"/>
    <n v="4"/>
    <s v="Mid-age"/>
  </r>
  <r>
    <n v="24010240"/>
    <n v="2401024001"/>
    <n v="1"/>
    <x v="16"/>
    <x v="0"/>
    <n v="1682.82"/>
    <n v="631.16"/>
    <x v="0"/>
    <n v="14"/>
    <s v="Older"/>
  </r>
  <r>
    <n v="24010372"/>
    <n v="2401037201"/>
    <n v="1"/>
    <x v="12"/>
    <x v="0"/>
    <n v="14.89"/>
    <n v="138.15"/>
    <x v="0"/>
    <n v="19"/>
    <s v="Older"/>
  </r>
  <r>
    <n v="24010420"/>
    <n v="2401042001"/>
    <n v="1"/>
    <x v="3"/>
    <x v="0"/>
    <n v="851.46"/>
    <n v="742.46"/>
    <x v="0"/>
    <n v="4"/>
    <s v="Mid-age"/>
  </r>
  <r>
    <n v="24010497"/>
    <n v="2401049701"/>
    <n v="1"/>
    <x v="9"/>
    <x v="0"/>
    <n v="2156.56"/>
    <n v="7035.45"/>
    <x v="0"/>
    <n v="2"/>
    <s v="Newer"/>
  </r>
  <r>
    <n v="24010694"/>
    <n v="2401069401"/>
    <n v="1"/>
    <x v="0"/>
    <x v="0"/>
    <n v="143.9"/>
    <n v="414.68"/>
    <x v="0"/>
    <n v="13"/>
    <s v="Older"/>
  </r>
  <r>
    <n v="24010796"/>
    <n v="2401079601"/>
    <n v="1"/>
    <x v="22"/>
    <x v="0"/>
    <n v="450.91"/>
    <n v="1072.81"/>
    <x v="0"/>
    <n v="18"/>
    <s v="Older"/>
  </r>
  <r>
    <n v="24010975"/>
    <n v="2401097501"/>
    <n v="1"/>
    <x v="8"/>
    <x v="0"/>
    <n v="952.89"/>
    <n v="974.1"/>
    <x v="0"/>
    <n v="9"/>
    <s v="Mid-age"/>
  </r>
  <r>
    <n v="24011097"/>
    <n v="2401109701"/>
    <n v="1"/>
    <x v="10"/>
    <x v="0"/>
    <n v="1209.27"/>
    <n v="3581.68"/>
    <x v="0"/>
    <n v="5"/>
    <s v="Mid-age"/>
  </r>
  <r>
    <n v="24011261"/>
    <n v="2401126101"/>
    <n v="1"/>
    <x v="3"/>
    <x v="0"/>
    <n v="750.69"/>
    <n v="1137.21"/>
    <x v="0"/>
    <n v="4"/>
    <s v="Mid-age"/>
  </r>
  <r>
    <n v="24011460"/>
    <n v="2401146001"/>
    <n v="1"/>
    <x v="3"/>
    <x v="0"/>
    <n v="186.23"/>
    <n v="300.58"/>
    <x v="0"/>
    <n v="4"/>
    <s v="Mid-age"/>
  </r>
  <r>
    <n v="24011616"/>
    <n v="2401161601"/>
    <n v="1"/>
    <x v="23"/>
    <x v="0"/>
    <n v="108.72"/>
    <n v="539.82000000000005"/>
    <x v="0"/>
    <n v="46"/>
    <s v="Very Old"/>
  </r>
  <r>
    <n v="24011633"/>
    <n v="2401163301"/>
    <n v="1"/>
    <x v="1"/>
    <x v="0"/>
    <n v="376.51"/>
    <n v="1142.49"/>
    <x v="0"/>
    <n v="3"/>
    <s v="Newer"/>
  </r>
  <r>
    <n v="24011956"/>
    <n v="2401195601"/>
    <n v="1"/>
    <x v="3"/>
    <x v="0"/>
    <n v="2883.13"/>
    <n v="7135.98"/>
    <x v="0"/>
    <n v="4"/>
    <s v="Mid-age"/>
  </r>
  <r>
    <n v="24012053"/>
    <n v="2401205301"/>
    <n v="1"/>
    <x v="9"/>
    <x v="2"/>
    <n v="307.55"/>
    <n v="1423.72"/>
    <x v="2"/>
    <n v="2"/>
    <s v="Newer"/>
  </r>
  <r>
    <n v="24012193"/>
    <n v="2401219301"/>
    <n v="1"/>
    <x v="18"/>
    <x v="0"/>
    <n v="320.74"/>
    <n v="424.42"/>
    <x v="0"/>
    <n v="11"/>
    <s v="Older"/>
  </r>
  <r>
    <n v="24012237"/>
    <n v="2401223701"/>
    <n v="1"/>
    <x v="8"/>
    <x v="0"/>
    <n v="178.25"/>
    <n v="555.32000000000005"/>
    <x v="0"/>
    <n v="9"/>
    <s v="Mid-age"/>
  </r>
  <r>
    <n v="24012288"/>
    <n v="2401228801"/>
    <n v="1"/>
    <x v="6"/>
    <x v="0"/>
    <n v="62.34"/>
    <n v="184.58"/>
    <x v="0"/>
    <n v="7"/>
    <s v="Mid-age"/>
  </r>
  <r>
    <n v="24012463"/>
    <n v="2401246301"/>
    <n v="1"/>
    <x v="12"/>
    <x v="0"/>
    <n v="101.81"/>
    <n v="228.67"/>
    <x v="0"/>
    <n v="19"/>
    <s v="Older"/>
  </r>
  <r>
    <n v="24012649"/>
    <n v="2401264901"/>
    <n v="1"/>
    <x v="24"/>
    <x v="0"/>
    <n v="351.95"/>
    <n v="742.55"/>
    <x v="0"/>
    <n v="15"/>
    <s v="Older"/>
  </r>
  <r>
    <n v="24013008"/>
    <n v="2401300801"/>
    <n v="1"/>
    <x v="16"/>
    <x v="0"/>
    <n v="80.790000000000006"/>
    <n v="181.7"/>
    <x v="0"/>
    <n v="14"/>
    <s v="Older"/>
  </r>
  <r>
    <n v="24013023"/>
    <n v="2401302301"/>
    <n v="1"/>
    <x v="9"/>
    <x v="0"/>
    <n v="551.15"/>
    <n v="314.81"/>
    <x v="0"/>
    <n v="2"/>
    <s v="Newer"/>
  </r>
  <r>
    <n v="24013268"/>
    <n v="2401326801"/>
    <n v="1"/>
    <x v="10"/>
    <x v="0"/>
    <n v="389.01"/>
    <n v="482.14"/>
    <x v="0"/>
    <n v="5"/>
    <s v="Mid-age"/>
  </r>
  <r>
    <n v="24013288"/>
    <n v="2401328801"/>
    <n v="1"/>
    <x v="1"/>
    <x v="1"/>
    <n v="1762.93"/>
    <n v="6347.21"/>
    <x v="1"/>
    <n v="3"/>
    <s v="Newer"/>
  </r>
  <r>
    <n v="24013354"/>
    <n v="2401335401"/>
    <n v="1"/>
    <x v="11"/>
    <x v="0"/>
    <n v="39.61"/>
    <n v="149.59"/>
    <x v="0"/>
    <n v="8"/>
    <s v="Mid-age"/>
  </r>
  <r>
    <n v="24013464"/>
    <n v="2401346401"/>
    <n v="1"/>
    <x v="22"/>
    <x v="0"/>
    <n v="6716.98"/>
    <n v="7102.55"/>
    <x v="0"/>
    <n v="18"/>
    <s v="Older"/>
  </r>
  <r>
    <n v="24013523"/>
    <n v="2401352301"/>
    <n v="1"/>
    <x v="0"/>
    <x v="0"/>
    <n v="202"/>
    <n v="271.24"/>
    <x v="0"/>
    <n v="13"/>
    <s v="Older"/>
  </r>
  <r>
    <n v="24013543"/>
    <n v="2401354301"/>
    <n v="1"/>
    <x v="3"/>
    <x v="0"/>
    <n v="1330.06"/>
    <n v="719.35"/>
    <x v="0"/>
    <n v="4"/>
    <s v="Mid-age"/>
  </r>
  <r>
    <n v="24013590"/>
    <n v="2401359001"/>
    <n v="1"/>
    <x v="14"/>
    <x v="0"/>
    <n v="135.46"/>
    <n v="313.98"/>
    <x v="0"/>
    <n v="10"/>
    <s v="Older"/>
  </r>
  <r>
    <n v="24013709"/>
    <n v="2401370901"/>
    <n v="1"/>
    <x v="14"/>
    <x v="0"/>
    <n v="2716.95"/>
    <n v="2388.1799999999998"/>
    <x v="0"/>
    <n v="10"/>
    <s v="Older"/>
  </r>
  <r>
    <n v="24013859"/>
    <n v="2401385901"/>
    <n v="1"/>
    <x v="1"/>
    <x v="1"/>
    <n v="220.21"/>
    <n v="116.22"/>
    <x v="1"/>
    <n v="3"/>
    <s v="Newer"/>
  </r>
  <r>
    <n v="24013882"/>
    <n v="2401388201"/>
    <n v="1"/>
    <x v="7"/>
    <x v="0"/>
    <n v="214.45"/>
    <n v="359.88"/>
    <x v="0"/>
    <n v="23"/>
    <s v="Very Old"/>
  </r>
  <r>
    <n v="24014086"/>
    <n v="2401408601"/>
    <n v="1"/>
    <x v="10"/>
    <x v="2"/>
    <n v="156.71"/>
    <n v="467.27"/>
    <x v="2"/>
    <n v="5"/>
    <s v="Mid-age"/>
  </r>
  <r>
    <n v="24014118"/>
    <n v="2401411801"/>
    <n v="1"/>
    <x v="10"/>
    <x v="1"/>
    <n v="640.79"/>
    <n v="414.6"/>
    <x v="1"/>
    <n v="5"/>
    <s v="Mid-age"/>
  </r>
  <r>
    <n v="24014194"/>
    <n v="2401419401"/>
    <n v="1"/>
    <x v="5"/>
    <x v="0"/>
    <n v="7947.68"/>
    <n v="7143.14"/>
    <x v="0"/>
    <n v="6"/>
    <s v="Mid-age"/>
  </r>
  <r>
    <n v="24014217"/>
    <n v="2401421701"/>
    <n v="1"/>
    <x v="16"/>
    <x v="0"/>
    <n v="254.4"/>
    <n v="1286.8"/>
    <x v="0"/>
    <n v="14"/>
    <s v="Older"/>
  </r>
  <r>
    <n v="24014230"/>
    <n v="2401423001"/>
    <n v="1"/>
    <x v="25"/>
    <x v="0"/>
    <n v="925.93"/>
    <n v="2343.79"/>
    <x v="0"/>
    <n v="27"/>
    <s v="Very Old"/>
  </r>
  <r>
    <n v="24014259"/>
    <n v="2401425901"/>
    <n v="1"/>
    <x v="3"/>
    <x v="0"/>
    <n v="77.66"/>
    <n v="216.11"/>
    <x v="0"/>
    <n v="4"/>
    <s v="Mid-age"/>
  </r>
  <r>
    <n v="24014300"/>
    <n v="2401430001"/>
    <n v="1"/>
    <x v="9"/>
    <x v="0"/>
    <n v="293.14"/>
    <n v="412.7"/>
    <x v="0"/>
    <n v="2"/>
    <s v="Newer"/>
  </r>
  <r>
    <n v="24014686"/>
    <n v="2401468601"/>
    <n v="1"/>
    <x v="3"/>
    <x v="0"/>
    <n v="98.47"/>
    <n v="172.94"/>
    <x v="0"/>
    <n v="4"/>
    <s v="Mid-age"/>
  </r>
  <r>
    <n v="24014771"/>
    <n v="2401477101"/>
    <n v="1"/>
    <x v="10"/>
    <x v="0"/>
    <n v="254.22"/>
    <n v="497.14"/>
    <x v="0"/>
    <n v="5"/>
    <s v="Mid-age"/>
  </r>
  <r>
    <n v="24014865"/>
    <n v="2401486501"/>
    <n v="1"/>
    <x v="19"/>
    <x v="0"/>
    <n v="59.4"/>
    <n v="257.63"/>
    <x v="0"/>
    <n v="17"/>
    <s v="Older"/>
  </r>
  <r>
    <n v="24015273"/>
    <n v="2401527301"/>
    <n v="1"/>
    <x v="10"/>
    <x v="0"/>
    <n v="1099.06"/>
    <n v="2387.4699999999998"/>
    <x v="0"/>
    <n v="5"/>
    <s v="Mid-age"/>
  </r>
  <r>
    <n v="24015673"/>
    <n v="2401567301"/>
    <n v="1"/>
    <x v="9"/>
    <x v="0"/>
    <n v="97.27"/>
    <n v="165.85"/>
    <x v="0"/>
    <n v="2"/>
    <s v="Newer"/>
  </r>
  <r>
    <n v="24015814"/>
    <n v="2401581401"/>
    <n v="1"/>
    <x v="8"/>
    <x v="0"/>
    <n v="848.04"/>
    <n v="883"/>
    <x v="0"/>
    <n v="9"/>
    <s v="Mid-age"/>
  </r>
  <r>
    <n v="24016381"/>
    <n v="2401638101"/>
    <n v="1"/>
    <x v="26"/>
    <x v="0"/>
    <n v="584.64"/>
    <n v="1027.06"/>
    <x v="0"/>
    <n v="1"/>
    <s v="Newer"/>
  </r>
  <r>
    <n v="24016538"/>
    <n v="2401653801"/>
    <n v="1"/>
    <x v="17"/>
    <x v="0"/>
    <n v="1335.57"/>
    <n v="1544.74"/>
    <x v="0"/>
    <n v="16"/>
    <s v="Older"/>
  </r>
  <r>
    <n v="24017626"/>
    <n v="2401762601"/>
    <n v="1"/>
    <x v="14"/>
    <x v="0"/>
    <n v="3670.51"/>
    <n v="3249.8"/>
    <x v="0"/>
    <n v="10"/>
    <s v="Older"/>
  </r>
  <r>
    <n v="24017772"/>
    <n v="2401777201"/>
    <n v="1"/>
    <x v="6"/>
    <x v="0"/>
    <n v="2212.6"/>
    <n v="1955.99"/>
    <x v="0"/>
    <n v="7"/>
    <s v="Mid-age"/>
  </r>
  <r>
    <n v="24017844"/>
    <n v="2401784401"/>
    <n v="1"/>
    <x v="3"/>
    <x v="0"/>
    <n v="1094.26"/>
    <n v="2252.79"/>
    <x v="0"/>
    <n v="4"/>
    <s v="Mid-age"/>
  </r>
  <r>
    <n v="24018056"/>
    <n v="2401805601"/>
    <n v="1"/>
    <x v="8"/>
    <x v="0"/>
    <n v="118.36"/>
    <n v="208.31"/>
    <x v="0"/>
    <n v="9"/>
    <s v="Mid-age"/>
  </r>
  <r>
    <n v="24019168"/>
    <n v="2401916801"/>
    <n v="1"/>
    <x v="9"/>
    <x v="0"/>
    <n v="1511.71"/>
    <n v="3543.74"/>
    <x v="0"/>
    <n v="2"/>
    <s v="Newer"/>
  </r>
  <r>
    <n v="24019787"/>
    <n v="2401978701"/>
    <n v="1"/>
    <x v="10"/>
    <x v="0"/>
    <n v="2445.9"/>
    <n v="1478.2"/>
    <x v="0"/>
    <n v="5"/>
    <s v="Mid-age"/>
  </r>
  <r>
    <n v="24019931"/>
    <n v="2401993101"/>
    <n v="1"/>
    <x v="21"/>
    <x v="0"/>
    <n v="321.76"/>
    <n v="1679.2"/>
    <x v="0"/>
    <n v="24"/>
    <s v="Very Old"/>
  </r>
  <r>
    <n v="24020654"/>
    <n v="2402065401"/>
    <n v="1"/>
    <x v="14"/>
    <x v="0"/>
    <n v="7731.99"/>
    <n v="2717.17"/>
    <x v="0"/>
    <n v="10"/>
    <s v="Older"/>
  </r>
  <r>
    <n v="24021179"/>
    <n v="2402117901"/>
    <n v="1"/>
    <x v="11"/>
    <x v="0"/>
    <n v="340.95"/>
    <n v="1637.01"/>
    <x v="0"/>
    <n v="8"/>
    <s v="Mid-age"/>
  </r>
  <r>
    <n v="24021424"/>
    <n v="2402142401"/>
    <n v="1"/>
    <x v="1"/>
    <x v="0"/>
    <n v="202.55"/>
    <n v="1433.94"/>
    <x v="0"/>
    <n v="3"/>
    <s v="Newer"/>
  </r>
  <r>
    <n v="24021564"/>
    <n v="2402156401"/>
    <n v="1"/>
    <x v="17"/>
    <x v="0"/>
    <n v="2445.9"/>
    <n v="1478.2"/>
    <x v="0"/>
    <n v="16"/>
    <s v="Older"/>
  </r>
  <r>
    <n v="24021702"/>
    <n v="2402170201"/>
    <n v="1"/>
    <x v="27"/>
    <x v="0"/>
    <n v="3265.2"/>
    <n v="1158.6099999999999"/>
    <x v="0"/>
    <n v="20"/>
    <s v="Very Old"/>
  </r>
  <r>
    <n v="24021892"/>
    <n v="2402189201"/>
    <n v="1"/>
    <x v="5"/>
    <x v="0"/>
    <n v="499.22"/>
    <n v="349.01"/>
    <x v="0"/>
    <n v="6"/>
    <s v="Mid-age"/>
  </r>
  <r>
    <n v="24022001"/>
    <n v="2402200101"/>
    <n v="1"/>
    <x v="8"/>
    <x v="0"/>
    <n v="58.96"/>
    <n v="1066.67"/>
    <x v="0"/>
    <n v="9"/>
    <s v="Mid-age"/>
  </r>
  <r>
    <n v="24022154"/>
    <n v="2402215401"/>
    <n v="1"/>
    <x v="21"/>
    <x v="0"/>
    <n v="3531.24"/>
    <n v="3061.47"/>
    <x v="0"/>
    <n v="24"/>
    <s v="Very Old"/>
  </r>
  <r>
    <n v="24022522"/>
    <n v="2402252201"/>
    <n v="1"/>
    <x v="1"/>
    <x v="0"/>
    <n v="1931.5"/>
    <n v="1676.63"/>
    <x v="0"/>
    <n v="3"/>
    <s v="Newer"/>
  </r>
  <r>
    <n v="24022557"/>
    <n v="2402255701"/>
    <n v="1"/>
    <x v="17"/>
    <x v="0"/>
    <n v="206.02"/>
    <n v="1039.29"/>
    <x v="0"/>
    <n v="16"/>
    <s v="Older"/>
  </r>
  <r>
    <n v="24023274"/>
    <n v="2402327401"/>
    <n v="1"/>
    <x v="5"/>
    <x v="0"/>
    <n v="2620.0300000000002"/>
    <n v="1210.31"/>
    <x v="0"/>
    <n v="6"/>
    <s v="Mid-age"/>
  </r>
  <r>
    <n v="24023342"/>
    <n v="2402334201"/>
    <n v="1"/>
    <x v="4"/>
    <x v="0"/>
    <n v="150.84"/>
    <n v="327.19"/>
    <x v="0"/>
    <n v="21"/>
    <s v="Very Old"/>
  </r>
  <r>
    <n v="24023512"/>
    <n v="2402351201"/>
    <n v="1"/>
    <x v="2"/>
    <x v="0"/>
    <n v="274.42"/>
    <n v="728.13"/>
    <x v="0"/>
    <n v="12"/>
    <s v="Older"/>
  </r>
  <r>
    <n v="24023646"/>
    <n v="2402364601"/>
    <n v="1"/>
    <x v="19"/>
    <x v="0"/>
    <n v="2580.48"/>
    <n v="2236.11"/>
    <x v="0"/>
    <n v="17"/>
    <s v="Older"/>
  </r>
  <r>
    <n v="24023713"/>
    <n v="2402371301"/>
    <n v="1"/>
    <x v="1"/>
    <x v="0"/>
    <n v="72.77"/>
    <n v="289.55"/>
    <x v="0"/>
    <n v="3"/>
    <s v="Newer"/>
  </r>
  <r>
    <n v="24023746"/>
    <n v="2402374601"/>
    <n v="1"/>
    <x v="20"/>
    <x v="0"/>
    <n v="1256.6500000000001"/>
    <n v="1131.79"/>
    <x v="0"/>
    <n v="22"/>
    <s v="Very Old"/>
  </r>
  <r>
    <n v="24023814"/>
    <n v="2402381401"/>
    <n v="1"/>
    <x v="2"/>
    <x v="0"/>
    <n v="155.31"/>
    <n v="790.87"/>
    <x v="0"/>
    <n v="12"/>
    <s v="Older"/>
  </r>
  <r>
    <n v="24023980"/>
    <n v="2402398001"/>
    <n v="1"/>
    <x v="3"/>
    <x v="0"/>
    <n v="200.68"/>
    <n v="1299.71"/>
    <x v="0"/>
    <n v="4"/>
    <s v="Mid-age"/>
  </r>
  <r>
    <n v="24024080"/>
    <n v="2402408001"/>
    <n v="1"/>
    <x v="16"/>
    <x v="0"/>
    <n v="1.9"/>
    <n v="78.680000000000007"/>
    <x v="0"/>
    <n v="14"/>
    <s v="Older"/>
  </r>
  <r>
    <n v="24025055"/>
    <n v="2402505501"/>
    <n v="1"/>
    <x v="6"/>
    <x v="0"/>
    <n v="192.15"/>
    <n v="1031.25"/>
    <x v="0"/>
    <n v="7"/>
    <s v="Mid-age"/>
  </r>
  <r>
    <n v="24025349"/>
    <n v="2402534901"/>
    <n v="1"/>
    <x v="16"/>
    <x v="0"/>
    <n v="2.61"/>
    <n v="67.45"/>
    <x v="0"/>
    <n v="14"/>
    <s v="Older"/>
  </r>
  <r>
    <n v="24026435"/>
    <n v="2402643501"/>
    <n v="1"/>
    <x v="5"/>
    <x v="1"/>
    <n v="578.83000000000004"/>
    <n v="159.54"/>
    <x v="1"/>
    <n v="6"/>
    <s v="Mid-age"/>
  </r>
  <r>
    <n v="24026489"/>
    <n v="2402648901"/>
    <n v="1"/>
    <x v="8"/>
    <x v="0"/>
    <n v="37.22"/>
    <n v="147.83000000000001"/>
    <x v="0"/>
    <n v="9"/>
    <s v="Mid-age"/>
  </r>
  <r>
    <n v="24026567"/>
    <n v="2402656701"/>
    <n v="1"/>
    <x v="9"/>
    <x v="0"/>
    <n v="3866.28"/>
    <n v="3304.4"/>
    <x v="0"/>
    <n v="2"/>
    <s v="Newer"/>
  </r>
  <r>
    <n v="24026786"/>
    <n v="2402678601"/>
    <n v="1"/>
    <x v="17"/>
    <x v="0"/>
    <n v="50.93"/>
    <n v="157.86000000000001"/>
    <x v="0"/>
    <n v="16"/>
    <s v="Older"/>
  </r>
  <r>
    <n v="24027546"/>
    <n v="2402754601"/>
    <n v="1"/>
    <x v="11"/>
    <x v="0"/>
    <n v="1421.65"/>
    <n v="1705.96"/>
    <x v="0"/>
    <n v="8"/>
    <s v="Mid-age"/>
  </r>
  <r>
    <n v="24027715"/>
    <n v="2402771501"/>
    <n v="1"/>
    <x v="22"/>
    <x v="0"/>
    <n v="36.159999999999997"/>
    <n v="243.43"/>
    <x v="0"/>
    <n v="18"/>
    <s v="Older"/>
  </r>
  <r>
    <n v="24027788"/>
    <n v="2402778801"/>
    <n v="1"/>
    <x v="23"/>
    <x v="1"/>
    <n v="4.32"/>
    <n v="123.29"/>
    <x v="1"/>
    <n v="46"/>
    <s v="Very Old"/>
  </r>
  <r>
    <n v="24028592"/>
    <n v="2402859201"/>
    <n v="1"/>
    <x v="1"/>
    <x v="0"/>
    <n v="20.04"/>
    <n v="403.66"/>
    <x v="0"/>
    <n v="3"/>
    <s v="Newer"/>
  </r>
  <r>
    <n v="24028981"/>
    <n v="2402898101"/>
    <n v="1"/>
    <x v="11"/>
    <x v="0"/>
    <n v="208.46"/>
    <n v="980.82"/>
    <x v="0"/>
    <n v="8"/>
    <s v="Mid-age"/>
  </r>
  <r>
    <n v="24029052"/>
    <n v="2402905201"/>
    <n v="1"/>
    <x v="9"/>
    <x v="2"/>
    <n v="1410.81"/>
    <n v="1225.96"/>
    <x v="2"/>
    <n v="2"/>
    <s v="Newer"/>
  </r>
  <r>
    <n v="24030102"/>
    <n v="2403010201"/>
    <n v="1"/>
    <x v="16"/>
    <x v="0"/>
    <n v="2576.9499999999998"/>
    <n v="2237.58"/>
    <x v="0"/>
    <n v="14"/>
    <s v="Older"/>
  </r>
  <r>
    <n v="24030251"/>
    <n v="2403025101"/>
    <n v="1"/>
    <x v="14"/>
    <x v="0"/>
    <n v="49.7"/>
    <n v="109.06"/>
    <x v="0"/>
    <n v="10"/>
    <s v="Older"/>
  </r>
  <r>
    <n v="24031955"/>
    <n v="2403195501"/>
    <n v="1"/>
    <x v="28"/>
    <x v="0"/>
    <n v="113.85"/>
    <n v="653.59"/>
    <x v="0"/>
    <n v="29"/>
    <s v="Very Old"/>
  </r>
  <r>
    <n v="24031990"/>
    <n v="2403199001"/>
    <n v="1"/>
    <x v="18"/>
    <x v="0"/>
    <n v="18.55"/>
    <n v="177.31"/>
    <x v="0"/>
    <n v="11"/>
    <s v="Older"/>
  </r>
  <r>
    <n v="24033107"/>
    <n v="2403310701"/>
    <n v="1"/>
    <x v="6"/>
    <x v="0"/>
    <n v="116.25"/>
    <n v="445.99"/>
    <x v="0"/>
    <n v="7"/>
    <s v="Mid-age"/>
  </r>
  <r>
    <n v="24033536"/>
    <n v="2403353601"/>
    <n v="1"/>
    <x v="18"/>
    <x v="0"/>
    <n v="515.80999999999995"/>
    <n v="2980.76"/>
    <x v="0"/>
    <n v="11"/>
    <s v="Older"/>
  </r>
  <r>
    <n v="24033640"/>
    <n v="2403364001"/>
    <n v="1"/>
    <x v="8"/>
    <x v="0"/>
    <n v="3537.33"/>
    <n v="3062.17"/>
    <x v="0"/>
    <n v="9"/>
    <s v="Mid-age"/>
  </r>
  <r>
    <n v="24033925"/>
    <n v="2403392501"/>
    <n v="1"/>
    <x v="18"/>
    <x v="0"/>
    <n v="13.64"/>
    <n v="112.32"/>
    <x v="0"/>
    <n v="11"/>
    <s v="Older"/>
  </r>
  <r>
    <n v="24034702"/>
    <n v="2403470201"/>
    <n v="1"/>
    <x v="5"/>
    <x v="0"/>
    <n v="30.72"/>
    <n v="333.95"/>
    <x v="0"/>
    <n v="6"/>
    <s v="Mid-age"/>
  </r>
  <r>
    <n v="24034722"/>
    <n v="2403472201"/>
    <n v="1"/>
    <x v="11"/>
    <x v="0"/>
    <n v="1456.21"/>
    <n v="1301.1300000000001"/>
    <x v="0"/>
    <n v="8"/>
    <s v="Mid-age"/>
  </r>
  <r>
    <n v="24034725"/>
    <n v="2403472501"/>
    <n v="1"/>
    <x v="6"/>
    <x v="0"/>
    <n v="12.01"/>
    <n v="281.08999999999997"/>
    <x v="0"/>
    <n v="7"/>
    <s v="Mid-age"/>
  </r>
  <r>
    <n v="24034769"/>
    <n v="2403476901"/>
    <n v="1"/>
    <x v="2"/>
    <x v="0"/>
    <n v="35.9"/>
    <n v="435.06"/>
    <x v="0"/>
    <n v="12"/>
    <s v="Older"/>
  </r>
  <r>
    <n v="24034812"/>
    <n v="2403481201"/>
    <n v="1"/>
    <x v="1"/>
    <x v="0"/>
    <n v="7066.93"/>
    <n v="6092.4"/>
    <x v="0"/>
    <n v="3"/>
    <s v="Newer"/>
  </r>
  <r>
    <n v="24035549"/>
    <n v="2403554901"/>
    <n v="1"/>
    <x v="18"/>
    <x v="0"/>
    <n v="962.65"/>
    <n v="839.89"/>
    <x v="0"/>
    <n v="11"/>
    <s v="Older"/>
  </r>
  <r>
    <n v="24035555"/>
    <n v="2403555501"/>
    <n v="1"/>
    <x v="16"/>
    <x v="0"/>
    <n v="140.27000000000001"/>
    <n v="589.15"/>
    <x v="0"/>
    <n v="14"/>
    <s v="Older"/>
  </r>
  <r>
    <n v="24035725"/>
    <n v="2403572501"/>
    <n v="1"/>
    <x v="11"/>
    <x v="0"/>
    <n v="625.87"/>
    <n v="690.42"/>
    <x v="0"/>
    <n v="8"/>
    <s v="Mid-age"/>
  </r>
  <r>
    <n v="24035764"/>
    <n v="2403576401"/>
    <n v="1"/>
    <x v="3"/>
    <x v="0"/>
    <n v="468.06"/>
    <n v="1246.95"/>
    <x v="0"/>
    <n v="4"/>
    <s v="Mid-age"/>
  </r>
  <r>
    <n v="24035800"/>
    <n v="2403580001"/>
    <n v="1"/>
    <x v="0"/>
    <x v="0"/>
    <n v="105.03"/>
    <n v="218.62"/>
    <x v="0"/>
    <n v="13"/>
    <s v="Older"/>
  </r>
  <r>
    <n v="24036349"/>
    <n v="2403634901"/>
    <n v="1"/>
    <x v="1"/>
    <x v="0"/>
    <n v="2355.73"/>
    <n v="1836.9"/>
    <x v="0"/>
    <n v="3"/>
    <s v="Newer"/>
  </r>
  <r>
    <n v="24037636"/>
    <n v="2403763601"/>
    <n v="1"/>
    <x v="16"/>
    <x v="0"/>
    <n v="39.880000000000003"/>
    <n v="361.63"/>
    <x v="0"/>
    <n v="14"/>
    <s v="Older"/>
  </r>
  <r>
    <n v="24037845"/>
    <n v="2403784501"/>
    <n v="1"/>
    <x v="5"/>
    <x v="0"/>
    <n v="8.4600000000000009"/>
    <n v="270.5"/>
    <x v="0"/>
    <n v="6"/>
    <s v="Mid-age"/>
  </r>
  <r>
    <n v="24037972"/>
    <n v="2403797201"/>
    <n v="1"/>
    <x v="16"/>
    <x v="0"/>
    <n v="144.02000000000001"/>
    <n v="557.77"/>
    <x v="0"/>
    <n v="14"/>
    <s v="Older"/>
  </r>
  <r>
    <n v="24038118"/>
    <n v="2403811801"/>
    <n v="1"/>
    <x v="2"/>
    <x v="0"/>
    <n v="2755.98"/>
    <n v="1617.56"/>
    <x v="0"/>
    <n v="12"/>
    <s v="Older"/>
  </r>
  <r>
    <n v="24038183"/>
    <n v="2403818301"/>
    <n v="1"/>
    <x v="8"/>
    <x v="0"/>
    <n v="4.88"/>
    <n v="37.22"/>
    <x v="0"/>
    <n v="9"/>
    <s v="Mid-age"/>
  </r>
  <r>
    <n v="24038234"/>
    <n v="2403823401"/>
    <n v="1"/>
    <x v="22"/>
    <x v="0"/>
    <n v="51.75"/>
    <n v="1042.17"/>
    <x v="0"/>
    <n v="18"/>
    <s v="Older"/>
  </r>
  <r>
    <n v="24038899"/>
    <n v="2403889901"/>
    <n v="1"/>
    <x v="5"/>
    <x v="0"/>
    <n v="197.82"/>
    <n v="166.28"/>
    <x v="0"/>
    <n v="6"/>
    <s v="Mid-age"/>
  </r>
  <r>
    <n v="24039189"/>
    <n v="2403918901"/>
    <n v="1"/>
    <x v="5"/>
    <x v="0"/>
    <n v="446.39"/>
    <n v="711.35"/>
    <x v="0"/>
    <n v="6"/>
    <s v="Mid-age"/>
  </r>
  <r>
    <n v="24039451"/>
    <n v="2403945101"/>
    <n v="1"/>
    <x v="24"/>
    <x v="0"/>
    <n v="1342.53"/>
    <n v="1270.69"/>
    <x v="0"/>
    <n v="15"/>
    <s v="Older"/>
  </r>
  <r>
    <n v="24039487"/>
    <n v="2403948701"/>
    <n v="1"/>
    <x v="14"/>
    <x v="0"/>
    <n v="5.6"/>
    <n v="45.59"/>
    <x v="0"/>
    <n v="10"/>
    <s v="Older"/>
  </r>
  <r>
    <n v="24039570"/>
    <n v="2403957001"/>
    <n v="1"/>
    <x v="0"/>
    <x v="0"/>
    <n v="29.18"/>
    <n v="311.19"/>
    <x v="0"/>
    <n v="13"/>
    <s v="Older"/>
  </r>
  <r>
    <n v="24039581"/>
    <n v="2403958101"/>
    <n v="1"/>
    <x v="22"/>
    <x v="0"/>
    <n v="1433.06"/>
    <n v="713.69"/>
    <x v="0"/>
    <n v="18"/>
    <s v="Older"/>
  </r>
  <r>
    <n v="24039631"/>
    <n v="2403963101"/>
    <n v="1"/>
    <x v="0"/>
    <x v="0"/>
    <n v="32.909999999999997"/>
    <n v="321.99"/>
    <x v="0"/>
    <n v="13"/>
    <s v="Older"/>
  </r>
  <r>
    <n v="24040333"/>
    <n v="2404033301"/>
    <n v="1"/>
    <x v="12"/>
    <x v="0"/>
    <n v="288.79000000000002"/>
    <n v="572.58000000000004"/>
    <x v="0"/>
    <n v="19"/>
    <s v="Older"/>
  </r>
  <r>
    <n v="24040617"/>
    <n v="2404061701"/>
    <n v="1"/>
    <x v="4"/>
    <x v="0"/>
    <n v="2.48"/>
    <n v="79.56"/>
    <x v="0"/>
    <n v="21"/>
    <s v="Very Old"/>
  </r>
  <r>
    <n v="24041222"/>
    <n v="2404122201"/>
    <n v="1"/>
    <x v="12"/>
    <x v="0"/>
    <n v="6.64"/>
    <n v="152.57"/>
    <x v="0"/>
    <n v="19"/>
    <s v="Older"/>
  </r>
  <r>
    <n v="24041310"/>
    <n v="2404131001"/>
    <n v="1"/>
    <x v="8"/>
    <x v="0"/>
    <n v="16.63"/>
    <n v="223.45"/>
    <x v="0"/>
    <n v="9"/>
    <s v="Mid-age"/>
  </r>
  <r>
    <n v="24041364"/>
    <n v="2404136401"/>
    <n v="1"/>
    <x v="2"/>
    <x v="0"/>
    <n v="159.87"/>
    <n v="646.66999999999996"/>
    <x v="0"/>
    <n v="12"/>
    <s v="Older"/>
  </r>
  <r>
    <n v="24042009"/>
    <n v="2404200901"/>
    <n v="1"/>
    <x v="14"/>
    <x v="0"/>
    <n v="5.32"/>
    <n v="177.81"/>
    <x v="0"/>
    <n v="10"/>
    <s v="Older"/>
  </r>
  <r>
    <n v="24042072"/>
    <n v="2404207201"/>
    <n v="1"/>
    <x v="11"/>
    <x v="0"/>
    <n v="1642.49"/>
    <n v="1838.08"/>
    <x v="0"/>
    <n v="8"/>
    <s v="Mid-age"/>
  </r>
  <r>
    <n v="24042119"/>
    <n v="2404211901"/>
    <n v="1"/>
    <x v="11"/>
    <x v="0"/>
    <n v="2.1800000000000002"/>
    <n v="195.69"/>
    <x v="0"/>
    <n v="8"/>
    <s v="Mid-age"/>
  </r>
  <r>
    <n v="24042401"/>
    <n v="2404240101"/>
    <n v="1"/>
    <x v="18"/>
    <x v="0"/>
    <n v="13.22"/>
    <n v="841.81"/>
    <x v="0"/>
    <n v="11"/>
    <s v="Older"/>
  </r>
  <r>
    <n v="24042887"/>
    <n v="2404288701"/>
    <n v="1"/>
    <x v="19"/>
    <x v="0"/>
    <n v="5.36"/>
    <n v="175.59"/>
    <x v="0"/>
    <n v="17"/>
    <s v="Older"/>
  </r>
  <r>
    <n v="24043426"/>
    <n v="2404342601"/>
    <n v="1"/>
    <x v="6"/>
    <x v="0"/>
    <n v="773.44"/>
    <n v="397.21"/>
    <x v="0"/>
    <n v="7"/>
    <s v="Mid-age"/>
  </r>
  <r>
    <n v="24044595"/>
    <n v="2404459501"/>
    <n v="1"/>
    <x v="14"/>
    <x v="0"/>
    <n v="6974.13"/>
    <n v="4840.67"/>
    <x v="0"/>
    <n v="10"/>
    <s v="Older"/>
  </r>
  <r>
    <n v="24044900"/>
    <n v="2404490001"/>
    <n v="1"/>
    <x v="24"/>
    <x v="0"/>
    <n v="283.42"/>
    <n v="292.16000000000003"/>
    <x v="0"/>
    <n v="15"/>
    <s v="Older"/>
  </r>
  <r>
    <n v="24044944"/>
    <n v="2404494401"/>
    <n v="1"/>
    <x v="9"/>
    <x v="4"/>
    <n v="7286.61"/>
    <n v="4952.67"/>
    <x v="4"/>
    <n v="2"/>
    <s v="Newer"/>
  </r>
  <r>
    <n v="24045129"/>
    <n v="2404512901"/>
    <n v="1"/>
    <x v="10"/>
    <x v="2"/>
    <n v="166.28"/>
    <n v="597.82000000000005"/>
    <x v="2"/>
    <n v="5"/>
    <s v="Mid-age"/>
  </r>
  <r>
    <n v="24045504"/>
    <n v="2404550401"/>
    <n v="1"/>
    <x v="2"/>
    <x v="2"/>
    <n v="1719.57"/>
    <n v="2931.91"/>
    <x v="2"/>
    <n v="12"/>
    <s v="Older"/>
  </r>
  <r>
    <n v="24045555"/>
    <n v="2404555501"/>
    <n v="1"/>
    <x v="17"/>
    <x v="0"/>
    <n v="418.74"/>
    <n v="274.92"/>
    <x v="0"/>
    <n v="16"/>
    <s v="Older"/>
  </r>
  <r>
    <n v="24045636"/>
    <n v="2404563601"/>
    <n v="1"/>
    <x v="8"/>
    <x v="0"/>
    <n v="200.58"/>
    <n v="597.12"/>
    <x v="0"/>
    <n v="9"/>
    <s v="Mid-age"/>
  </r>
  <r>
    <n v="24045742"/>
    <n v="2404574201"/>
    <n v="1"/>
    <x v="3"/>
    <x v="0"/>
    <n v="4803.47"/>
    <n v="1696.94"/>
    <x v="0"/>
    <n v="4"/>
    <s v="Mid-age"/>
  </r>
  <r>
    <n v="24046052"/>
    <n v="2404605201"/>
    <n v="1"/>
    <x v="17"/>
    <x v="2"/>
    <n v="852.12"/>
    <n v="2168.7199999999998"/>
    <x v="2"/>
    <n v="16"/>
    <s v="Older"/>
  </r>
  <r>
    <n v="24046129"/>
    <n v="2404612901"/>
    <n v="1"/>
    <x v="11"/>
    <x v="0"/>
    <n v="2371.12"/>
    <n v="1984.23"/>
    <x v="0"/>
    <n v="8"/>
    <s v="Mid-age"/>
  </r>
  <r>
    <n v="24046276"/>
    <n v="2404627601"/>
    <n v="1"/>
    <x v="18"/>
    <x v="0"/>
    <n v="365.57"/>
    <n v="347.21"/>
    <x v="0"/>
    <n v="11"/>
    <s v="Older"/>
  </r>
  <r>
    <n v="24046484"/>
    <n v="2404648401"/>
    <n v="1"/>
    <x v="16"/>
    <x v="2"/>
    <n v="889.16"/>
    <n v="992.35"/>
    <x v="2"/>
    <n v="14"/>
    <s v="Older"/>
  </r>
  <r>
    <n v="24046492"/>
    <n v="2404649201"/>
    <n v="1"/>
    <x v="11"/>
    <x v="0"/>
    <n v="286.37"/>
    <n v="405.29"/>
    <x v="0"/>
    <n v="8"/>
    <s v="Mid-age"/>
  </r>
  <r>
    <n v="24046691"/>
    <n v="2404669101"/>
    <n v="1"/>
    <x v="3"/>
    <x v="1"/>
    <n v="81.47"/>
    <n v="636.94000000000005"/>
    <x v="1"/>
    <n v="4"/>
    <s v="Mid-age"/>
  </r>
  <r>
    <n v="24046795"/>
    <n v="2404679501"/>
    <n v="1"/>
    <x v="5"/>
    <x v="0"/>
    <n v="883.21"/>
    <n v="674.86"/>
    <x v="0"/>
    <n v="6"/>
    <s v="Mid-age"/>
  </r>
  <r>
    <n v="24046802"/>
    <n v="2404680201"/>
    <n v="1"/>
    <x v="0"/>
    <x v="0"/>
    <n v="2749.71"/>
    <n v="4529.93"/>
    <x v="0"/>
    <n v="13"/>
    <s v="Older"/>
  </r>
  <r>
    <n v="24046845"/>
    <n v="2404684501"/>
    <n v="1"/>
    <x v="2"/>
    <x v="0"/>
    <n v="3462.5"/>
    <n v="2402.13"/>
    <x v="0"/>
    <n v="12"/>
    <s v="Older"/>
  </r>
  <r>
    <n v="24046970"/>
    <n v="2404697001"/>
    <n v="1"/>
    <x v="18"/>
    <x v="0"/>
    <n v="99.59"/>
    <n v="291.66000000000003"/>
    <x v="0"/>
    <n v="11"/>
    <s v="Older"/>
  </r>
  <r>
    <n v="24047003"/>
    <n v="2404700301"/>
    <n v="1"/>
    <x v="18"/>
    <x v="0"/>
    <n v="1955.75"/>
    <n v="799.78"/>
    <x v="0"/>
    <n v="11"/>
    <s v="Older"/>
  </r>
  <r>
    <n v="24047307"/>
    <n v="2404730701"/>
    <n v="1"/>
    <x v="1"/>
    <x v="0"/>
    <n v="440.08"/>
    <n v="463.45"/>
    <x v="0"/>
    <n v="3"/>
    <s v="Newer"/>
  </r>
  <r>
    <n v="24047354"/>
    <n v="2404735401"/>
    <n v="1"/>
    <x v="2"/>
    <x v="2"/>
    <n v="736.29"/>
    <n v="710.86"/>
    <x v="2"/>
    <n v="12"/>
    <s v="Older"/>
  </r>
  <r>
    <n v="24047491"/>
    <n v="2404749101"/>
    <n v="1"/>
    <x v="3"/>
    <x v="0"/>
    <n v="570.85"/>
    <n v="598.15"/>
    <x v="0"/>
    <n v="4"/>
    <s v="Mid-age"/>
  </r>
  <r>
    <n v="24047784"/>
    <n v="2404778401"/>
    <n v="1"/>
    <x v="5"/>
    <x v="0"/>
    <n v="145.87"/>
    <n v="151.79"/>
    <x v="0"/>
    <n v="6"/>
    <s v="Mid-age"/>
  </r>
  <r>
    <n v="24047809"/>
    <n v="2404780901"/>
    <n v="1"/>
    <x v="5"/>
    <x v="0"/>
    <n v="697.94"/>
    <n v="866.79"/>
    <x v="0"/>
    <n v="6"/>
    <s v="Mid-age"/>
  </r>
  <r>
    <n v="24047815"/>
    <n v="2404781501"/>
    <n v="1"/>
    <x v="9"/>
    <x v="0"/>
    <n v="258.72000000000003"/>
    <n v="709.63"/>
    <x v="0"/>
    <n v="2"/>
    <s v="Newer"/>
  </r>
  <r>
    <n v="24048056"/>
    <n v="2404805601"/>
    <n v="1"/>
    <x v="1"/>
    <x v="0"/>
    <n v="154.80000000000001"/>
    <n v="779.64"/>
    <x v="0"/>
    <n v="3"/>
    <s v="Newer"/>
  </r>
  <r>
    <n v="24048214"/>
    <n v="2404821401"/>
    <n v="1"/>
    <x v="18"/>
    <x v="0"/>
    <n v="570.85"/>
    <n v="598.15"/>
    <x v="0"/>
    <n v="11"/>
    <s v="Older"/>
  </r>
  <r>
    <n v="24048270"/>
    <n v="2404827001"/>
    <n v="1"/>
    <x v="1"/>
    <x v="4"/>
    <n v="576.78"/>
    <n v="829.76"/>
    <x v="4"/>
    <n v="3"/>
    <s v="Newer"/>
  </r>
  <r>
    <n v="24048284"/>
    <n v="2404828401"/>
    <n v="1"/>
    <x v="9"/>
    <x v="0"/>
    <n v="1181.8"/>
    <n v="1722.2"/>
    <x v="0"/>
    <n v="2"/>
    <s v="Newer"/>
  </r>
  <r>
    <n v="24048331"/>
    <n v="2404833101"/>
    <n v="1"/>
    <x v="16"/>
    <x v="0"/>
    <n v="240.38"/>
    <n v="807.23"/>
    <x v="0"/>
    <n v="14"/>
    <s v="Older"/>
  </r>
  <r>
    <n v="24048600"/>
    <n v="2404860001"/>
    <n v="1"/>
    <x v="1"/>
    <x v="2"/>
    <n v="586.76"/>
    <n v="841.19"/>
    <x v="2"/>
    <n v="3"/>
    <s v="Newer"/>
  </r>
  <r>
    <n v="24048650"/>
    <n v="2404865001"/>
    <n v="1"/>
    <x v="4"/>
    <x v="0"/>
    <n v="440.08"/>
    <n v="463.45"/>
    <x v="0"/>
    <n v="21"/>
    <s v="Very Old"/>
  </r>
  <r>
    <n v="24048670"/>
    <n v="2404867001"/>
    <n v="1"/>
    <x v="5"/>
    <x v="1"/>
    <n v="335.3"/>
    <n v="470.92"/>
    <x v="1"/>
    <n v="6"/>
    <s v="Mid-age"/>
  </r>
  <r>
    <n v="24048890"/>
    <n v="2404889001"/>
    <n v="1"/>
    <x v="18"/>
    <x v="0"/>
    <n v="756.81"/>
    <n v="999.7"/>
    <x v="0"/>
    <n v="11"/>
    <s v="Older"/>
  </r>
  <r>
    <n v="24048940"/>
    <n v="2404894001"/>
    <n v="1"/>
    <x v="5"/>
    <x v="2"/>
    <n v="258.72000000000003"/>
    <n v="709.63"/>
    <x v="2"/>
    <n v="6"/>
    <s v="Mid-age"/>
  </r>
  <r>
    <n v="24049041"/>
    <n v="2404904101"/>
    <n v="1"/>
    <x v="8"/>
    <x v="1"/>
    <n v="200.58"/>
    <n v="597.12"/>
    <x v="1"/>
    <n v="9"/>
    <s v="Mid-age"/>
  </r>
  <r>
    <n v="24049235"/>
    <n v="2404923501"/>
    <n v="1"/>
    <x v="4"/>
    <x v="0"/>
    <n v="282.85000000000002"/>
    <n v="390.43"/>
    <x v="0"/>
    <n v="21"/>
    <s v="Very Old"/>
  </r>
  <r>
    <n v="24049265"/>
    <n v="2404926501"/>
    <n v="1"/>
    <x v="2"/>
    <x v="0"/>
    <n v="6736.44"/>
    <n v="1875.51"/>
    <x v="0"/>
    <n v="12"/>
    <s v="Older"/>
  </r>
  <r>
    <n v="24049428"/>
    <n v="2404942801"/>
    <n v="1"/>
    <x v="5"/>
    <x v="0"/>
    <n v="222.02"/>
    <n v="341.03"/>
    <x v="0"/>
    <n v="6"/>
    <s v="Mid-age"/>
  </r>
  <r>
    <n v="24049681"/>
    <n v="2404968101"/>
    <n v="1"/>
    <x v="5"/>
    <x v="0"/>
    <n v="1778.88"/>
    <n v="1381.67"/>
    <x v="0"/>
    <n v="6"/>
    <s v="Mid-age"/>
  </r>
  <r>
    <n v="24049894"/>
    <n v="2404989401"/>
    <n v="1"/>
    <x v="15"/>
    <x v="0"/>
    <n v="3593.36"/>
    <n v="3154.37"/>
    <x v="0"/>
    <n v="26"/>
    <s v="Very Old"/>
  </r>
  <r>
    <n v="24050027"/>
    <n v="2405002701"/>
    <n v="1"/>
    <x v="9"/>
    <x v="0"/>
    <n v="1778.88"/>
    <n v="1381.67"/>
    <x v="0"/>
    <n v="2"/>
    <s v="Newer"/>
  </r>
  <r>
    <n v="24050028"/>
    <n v="2405002801"/>
    <n v="1"/>
    <x v="3"/>
    <x v="0"/>
    <n v="7199.86"/>
    <n v="4960.79"/>
    <x v="0"/>
    <n v="4"/>
    <s v="Mid-age"/>
  </r>
  <r>
    <n v="24050125"/>
    <n v="2405012501"/>
    <n v="1"/>
    <x v="5"/>
    <x v="0"/>
    <n v="6706.34"/>
    <n v="4538.1099999999997"/>
    <x v="0"/>
    <n v="6"/>
    <s v="Mid-age"/>
  </r>
  <r>
    <n v="24050221"/>
    <n v="2405022101"/>
    <n v="1"/>
    <x v="8"/>
    <x v="0"/>
    <n v="1252.44"/>
    <n v="464.25"/>
    <x v="0"/>
    <n v="9"/>
    <s v="Mid-age"/>
  </r>
  <r>
    <n v="24050234"/>
    <n v="2405023401"/>
    <n v="1"/>
    <x v="22"/>
    <x v="0"/>
    <n v="4187.1899999999996"/>
    <n v="1942.42"/>
    <x v="0"/>
    <n v="18"/>
    <s v="Older"/>
  </r>
  <r>
    <n v="24050264"/>
    <n v="2405026401"/>
    <n v="1"/>
    <x v="9"/>
    <x v="0"/>
    <n v="1605.74"/>
    <n v="768.92"/>
    <x v="0"/>
    <n v="2"/>
    <s v="Newer"/>
  </r>
  <r>
    <n v="24050389"/>
    <n v="2405038901"/>
    <n v="1"/>
    <x v="5"/>
    <x v="1"/>
    <n v="115.12"/>
    <n v="311.64"/>
    <x v="1"/>
    <n v="6"/>
    <s v="Mid-age"/>
  </r>
  <r>
    <n v="24050391"/>
    <n v="2405039101"/>
    <n v="1"/>
    <x v="10"/>
    <x v="1"/>
    <n v="200.58"/>
    <n v="597.12"/>
    <x v="1"/>
    <n v="5"/>
    <s v="Mid-age"/>
  </r>
  <r>
    <n v="24050980"/>
    <n v="2405098001"/>
    <n v="1"/>
    <x v="1"/>
    <x v="0"/>
    <n v="1072.5899999999999"/>
    <n v="991.19"/>
    <x v="0"/>
    <n v="3"/>
    <s v="Newer"/>
  </r>
  <r>
    <n v="24051360"/>
    <n v="2405136001"/>
    <n v="1"/>
    <x v="0"/>
    <x v="0"/>
    <n v="365.57"/>
    <n v="347.21"/>
    <x v="0"/>
    <n v="13"/>
    <s v="Older"/>
  </r>
  <r>
    <n v="24051391"/>
    <n v="2405139101"/>
    <n v="1"/>
    <x v="22"/>
    <x v="0"/>
    <n v="2176.7199999999998"/>
    <n v="2736.45"/>
    <x v="0"/>
    <n v="18"/>
    <s v="Older"/>
  </r>
  <r>
    <n v="24051431"/>
    <n v="2405143101"/>
    <n v="1"/>
    <x v="7"/>
    <x v="0"/>
    <n v="90.97"/>
    <n v="283.44"/>
    <x v="0"/>
    <n v="23"/>
    <s v="Very Old"/>
  </r>
  <r>
    <n v="24051448"/>
    <n v="2405144801"/>
    <n v="1"/>
    <x v="11"/>
    <x v="0"/>
    <n v="351.21"/>
    <n v="253.59"/>
    <x v="0"/>
    <n v="8"/>
    <s v="Mid-age"/>
  </r>
  <r>
    <n v="24051645"/>
    <n v="2405164501"/>
    <n v="1"/>
    <x v="4"/>
    <x v="0"/>
    <n v="103.58"/>
    <n v="263.10000000000002"/>
    <x v="0"/>
    <n v="21"/>
    <s v="Very Old"/>
  </r>
  <r>
    <n v="24051750"/>
    <n v="2405175001"/>
    <n v="1"/>
    <x v="12"/>
    <x v="2"/>
    <n v="258.72000000000003"/>
    <n v="709.63"/>
    <x v="2"/>
    <n v="19"/>
    <s v="Older"/>
  </r>
  <r>
    <n v="24051894"/>
    <n v="2405189401"/>
    <n v="1"/>
    <x v="1"/>
    <x v="0"/>
    <n v="864.87"/>
    <n v="752.36"/>
    <x v="0"/>
    <n v="3"/>
    <s v="Newer"/>
  </r>
  <r>
    <n v="24051991"/>
    <n v="2405199101"/>
    <n v="1"/>
    <x v="16"/>
    <x v="0"/>
    <n v="618.64"/>
    <n v="1237.99"/>
    <x v="0"/>
    <n v="14"/>
    <s v="Older"/>
  </r>
  <r>
    <n v="24052055"/>
    <n v="2405205501"/>
    <n v="1"/>
    <x v="17"/>
    <x v="0"/>
    <n v="570.85"/>
    <n v="598.15"/>
    <x v="0"/>
    <n v="16"/>
    <s v="Older"/>
  </r>
  <r>
    <n v="24052178"/>
    <n v="2405217801"/>
    <n v="1"/>
    <x v="14"/>
    <x v="0"/>
    <n v="1778.88"/>
    <n v="1381.67"/>
    <x v="0"/>
    <n v="10"/>
    <s v="Older"/>
  </r>
  <r>
    <n v="24052397"/>
    <n v="2405239701"/>
    <n v="1"/>
    <x v="17"/>
    <x v="0"/>
    <n v="2821.26"/>
    <n v="2346.5700000000002"/>
    <x v="0"/>
    <n v="16"/>
    <s v="Older"/>
  </r>
  <r>
    <n v="24052428"/>
    <n v="2405242801"/>
    <n v="1"/>
    <x v="24"/>
    <x v="0"/>
    <n v="231.39"/>
    <n v="852.65"/>
    <x v="0"/>
    <n v="15"/>
    <s v="Older"/>
  </r>
  <r>
    <n v="24052485"/>
    <n v="2405248501"/>
    <n v="1"/>
    <x v="8"/>
    <x v="0"/>
    <n v="214.47"/>
    <n v="710.47"/>
    <x v="0"/>
    <n v="9"/>
    <s v="Mid-age"/>
  </r>
  <r>
    <n v="24052880"/>
    <n v="2405288001"/>
    <n v="1"/>
    <x v="12"/>
    <x v="0"/>
    <n v="736.29"/>
    <n v="710.86"/>
    <x v="0"/>
    <n v="19"/>
    <s v="Older"/>
  </r>
  <r>
    <n v="24053031"/>
    <n v="2405303101"/>
    <n v="1"/>
    <x v="5"/>
    <x v="0"/>
    <n v="3715.1"/>
    <n v="4377.3100000000004"/>
    <x v="0"/>
    <n v="6"/>
    <s v="Mid-age"/>
  </r>
  <r>
    <n v="24053033"/>
    <n v="2405303301"/>
    <n v="1"/>
    <x v="6"/>
    <x v="0"/>
    <n v="539.01"/>
    <n v="436.61"/>
    <x v="0"/>
    <n v="7"/>
    <s v="Mid-age"/>
  </r>
  <r>
    <n v="24053082"/>
    <n v="2405308201"/>
    <n v="1"/>
    <x v="9"/>
    <x v="0"/>
    <n v="7785.57"/>
    <n v="2263.2199999999998"/>
    <x v="0"/>
    <n v="2"/>
    <s v="Newer"/>
  </r>
  <r>
    <n v="24053409"/>
    <n v="2405340901"/>
    <n v="1"/>
    <x v="20"/>
    <x v="0"/>
    <n v="569.69000000000005"/>
    <n v="799.34"/>
    <x v="0"/>
    <n v="22"/>
    <s v="Very Old"/>
  </r>
  <r>
    <n v="24053615"/>
    <n v="2405361501"/>
    <n v="1"/>
    <x v="2"/>
    <x v="0"/>
    <n v="760.65"/>
    <n v="455.99"/>
    <x v="0"/>
    <n v="12"/>
    <s v="Older"/>
  </r>
  <r>
    <n v="24053701"/>
    <n v="2405370101"/>
    <n v="1"/>
    <x v="3"/>
    <x v="2"/>
    <n v="286.37"/>
    <n v="405.29"/>
    <x v="2"/>
    <n v="4"/>
    <s v="Mid-age"/>
  </r>
  <r>
    <n v="24053776"/>
    <n v="2405377601"/>
    <n v="1"/>
    <x v="29"/>
    <x v="0"/>
    <n v="477.24"/>
    <n v="885.66"/>
    <x v="0"/>
    <n v="28"/>
    <s v="Very Old"/>
  </r>
  <r>
    <n v="24053784"/>
    <n v="2405378401"/>
    <n v="1"/>
    <x v="6"/>
    <x v="0"/>
    <n v="570.85"/>
    <n v="598.15"/>
    <x v="0"/>
    <n v="7"/>
    <s v="Mid-age"/>
  </r>
  <r>
    <n v="24053792"/>
    <n v="2405379201"/>
    <n v="1"/>
    <x v="4"/>
    <x v="0"/>
    <n v="138.58000000000001"/>
    <n v="415.98"/>
    <x v="0"/>
    <n v="21"/>
    <s v="Very Old"/>
  </r>
  <r>
    <n v="24053828"/>
    <n v="2405382801"/>
    <n v="1"/>
    <x v="14"/>
    <x v="0"/>
    <n v="570.85"/>
    <n v="598.15"/>
    <x v="0"/>
    <n v="10"/>
    <s v="Older"/>
  </r>
  <r>
    <n v="24053883"/>
    <n v="2405388301"/>
    <n v="1"/>
    <x v="19"/>
    <x v="0"/>
    <n v="67.540000000000006"/>
    <n v="637.69000000000005"/>
    <x v="0"/>
    <n v="17"/>
    <s v="Older"/>
  </r>
  <r>
    <n v="24053960"/>
    <n v="2405396001"/>
    <n v="1"/>
    <x v="18"/>
    <x v="0"/>
    <n v="256.19"/>
    <n v="460.31"/>
    <x v="0"/>
    <n v="11"/>
    <s v="Older"/>
  </r>
  <r>
    <n v="24054154"/>
    <n v="2405415401"/>
    <n v="1"/>
    <x v="5"/>
    <x v="0"/>
    <n v="123.41"/>
    <n v="253.15"/>
    <x v="0"/>
    <n v="6"/>
    <s v="Mid-age"/>
  </r>
  <r>
    <n v="24054186"/>
    <n v="2405418601"/>
    <n v="1"/>
    <x v="2"/>
    <x v="0"/>
    <n v="728.9"/>
    <n v="329.98"/>
    <x v="0"/>
    <n v="12"/>
    <s v="Older"/>
  </r>
  <r>
    <n v="24054290"/>
    <n v="2405429001"/>
    <n v="1"/>
    <x v="10"/>
    <x v="0"/>
    <n v="200.58"/>
    <n v="597.12"/>
    <x v="0"/>
    <n v="5"/>
    <s v="Mid-age"/>
  </r>
  <r>
    <n v="24054312"/>
    <n v="2405431201"/>
    <n v="1"/>
    <x v="0"/>
    <x v="0"/>
    <n v="1715.66"/>
    <n v="4987.71"/>
    <x v="0"/>
    <n v="13"/>
    <s v="Older"/>
  </r>
  <r>
    <n v="24054349"/>
    <n v="2405434901"/>
    <n v="1"/>
    <x v="16"/>
    <x v="0"/>
    <n v="569.69000000000005"/>
    <n v="799.34"/>
    <x v="0"/>
    <n v="14"/>
    <s v="Older"/>
  </r>
  <r>
    <n v="24054419"/>
    <n v="2405441901"/>
    <n v="1"/>
    <x v="5"/>
    <x v="0"/>
    <n v="1172.93"/>
    <n v="1454.91"/>
    <x v="0"/>
    <n v="6"/>
    <s v="Mid-age"/>
  </r>
  <r>
    <n v="24054491"/>
    <n v="2405449101"/>
    <n v="1"/>
    <x v="17"/>
    <x v="0"/>
    <n v="1626.55"/>
    <n v="766.03"/>
    <x v="0"/>
    <n v="16"/>
    <s v="Older"/>
  </r>
  <r>
    <n v="24054633"/>
    <n v="2405463301"/>
    <n v="1"/>
    <x v="8"/>
    <x v="2"/>
    <n v="102.3"/>
    <n v="253.45"/>
    <x v="2"/>
    <n v="9"/>
    <s v="Mid-age"/>
  </r>
  <r>
    <n v="24054780"/>
    <n v="2405478001"/>
    <n v="1"/>
    <x v="11"/>
    <x v="2"/>
    <n v="1955.75"/>
    <n v="799.78"/>
    <x v="2"/>
    <n v="8"/>
    <s v="Mid-age"/>
  </r>
  <r>
    <n v="24054843"/>
    <n v="2405484301"/>
    <n v="1"/>
    <x v="2"/>
    <x v="0"/>
    <n v="770.83"/>
    <n v="414.33"/>
    <x v="0"/>
    <n v="12"/>
    <s v="Older"/>
  </r>
  <r>
    <n v="24054862"/>
    <n v="2405486201"/>
    <n v="1"/>
    <x v="19"/>
    <x v="0"/>
    <n v="793.97"/>
    <n v="1630.54"/>
    <x v="0"/>
    <n v="17"/>
    <s v="Older"/>
  </r>
  <r>
    <n v="24055171"/>
    <n v="2405517101"/>
    <n v="1"/>
    <x v="20"/>
    <x v="0"/>
    <n v="231.86"/>
    <n v="638.04"/>
    <x v="0"/>
    <n v="22"/>
    <s v="Very Old"/>
  </r>
  <r>
    <n v="24055277"/>
    <n v="2405527701"/>
    <n v="1"/>
    <x v="18"/>
    <x v="0"/>
    <n v="3913.56"/>
    <n v="588.26"/>
    <x v="0"/>
    <n v="11"/>
    <s v="Older"/>
  </r>
  <r>
    <n v="24055462"/>
    <n v="2405546201"/>
    <n v="1"/>
    <x v="6"/>
    <x v="0"/>
    <n v="30.08"/>
    <n v="280.92"/>
    <x v="0"/>
    <n v="7"/>
    <s v="Mid-age"/>
  </r>
  <r>
    <n v="24055591"/>
    <n v="2405559101"/>
    <n v="1"/>
    <x v="8"/>
    <x v="0"/>
    <n v="2709.81"/>
    <n v="1998.48"/>
    <x v="0"/>
    <n v="9"/>
    <s v="Mid-age"/>
  </r>
  <r>
    <n v="24056397"/>
    <n v="2405639701"/>
    <n v="1"/>
    <x v="5"/>
    <x v="0"/>
    <n v="3276.86"/>
    <n v="2899.52"/>
    <x v="0"/>
    <n v="6"/>
    <s v="Mid-age"/>
  </r>
  <r>
    <n v="24056489"/>
    <n v="2405648901"/>
    <n v="1"/>
    <x v="6"/>
    <x v="0"/>
    <n v="278.64"/>
    <n v="829.48"/>
    <x v="0"/>
    <n v="7"/>
    <s v="Mid-age"/>
  </r>
  <r>
    <n v="24056507"/>
    <n v="2405650701"/>
    <n v="1"/>
    <x v="15"/>
    <x v="0"/>
    <n v="2027.04"/>
    <n v="1476.95"/>
    <x v="0"/>
    <n v="26"/>
    <s v="Very Old"/>
  </r>
  <r>
    <n v="24056568"/>
    <n v="2405656801"/>
    <n v="1"/>
    <x v="8"/>
    <x v="0"/>
    <n v="954.68"/>
    <n v="181.17"/>
    <x v="0"/>
    <n v="9"/>
    <s v="Mid-age"/>
  </r>
  <r>
    <n v="24056702"/>
    <n v="2405670201"/>
    <n v="1"/>
    <x v="27"/>
    <x v="0"/>
    <n v="2380.98"/>
    <n v="1884.38"/>
    <x v="0"/>
    <n v="20"/>
    <s v="Very Old"/>
  </r>
  <r>
    <n v="24056977"/>
    <n v="2405697701"/>
    <n v="1"/>
    <x v="0"/>
    <x v="3"/>
    <n v="1056.01"/>
    <n v="1469.97"/>
    <x v="3"/>
    <n v="13"/>
    <s v="Older"/>
  </r>
  <r>
    <n v="24057334"/>
    <n v="2405733401"/>
    <n v="1"/>
    <x v="11"/>
    <x v="0"/>
    <n v="3401.15"/>
    <n v="840.13"/>
    <x v="0"/>
    <n v="8"/>
    <s v="Mid-age"/>
  </r>
  <r>
    <n v="24057452"/>
    <n v="2405745201"/>
    <n v="1"/>
    <x v="6"/>
    <x v="0"/>
    <n v="2263.15"/>
    <n v="1170.03"/>
    <x v="0"/>
    <n v="7"/>
    <s v="Mid-age"/>
  </r>
  <r>
    <n v="24057540"/>
    <n v="2405754001"/>
    <n v="1"/>
    <x v="8"/>
    <x v="0"/>
    <n v="52.8"/>
    <n v="202"/>
    <x v="0"/>
    <n v="9"/>
    <s v="Mid-age"/>
  </r>
  <r>
    <n v="24058022"/>
    <n v="2405802201"/>
    <n v="1"/>
    <x v="1"/>
    <x v="1"/>
    <n v="141.37"/>
    <n v="420.99"/>
    <x v="1"/>
    <n v="3"/>
    <s v="Newer"/>
  </r>
  <r>
    <n v="24058063"/>
    <n v="2405806301"/>
    <n v="1"/>
    <x v="9"/>
    <x v="0"/>
    <n v="3.95"/>
    <n v="400.3"/>
    <x v="0"/>
    <n v="2"/>
    <s v="Newer"/>
  </r>
  <r>
    <n v="24058123"/>
    <n v="2405812301"/>
    <n v="1"/>
    <x v="8"/>
    <x v="0"/>
    <n v="2.5299999999999998"/>
    <n v="197.78"/>
    <x v="0"/>
    <n v="9"/>
    <s v="Mid-age"/>
  </r>
  <r>
    <n v="24058231"/>
    <n v="2405823101"/>
    <n v="1"/>
    <x v="11"/>
    <x v="0"/>
    <n v="2515.96"/>
    <n v="3064.51"/>
    <x v="0"/>
    <n v="8"/>
    <s v="Mid-age"/>
  </r>
  <r>
    <n v="24058323"/>
    <n v="2405832301"/>
    <n v="1"/>
    <x v="0"/>
    <x v="0"/>
    <n v="91.05"/>
    <n v="899.53"/>
    <x v="0"/>
    <n v="13"/>
    <s v="Older"/>
  </r>
  <r>
    <n v="24058408"/>
    <n v="2405840801"/>
    <n v="1"/>
    <x v="17"/>
    <x v="0"/>
    <n v="14972.44"/>
    <n v="7556.42"/>
    <x v="0"/>
    <n v="16"/>
    <s v="Older"/>
  </r>
  <r>
    <n v="24058590"/>
    <n v="2405859001"/>
    <n v="1"/>
    <x v="1"/>
    <x v="0"/>
    <n v="910.75"/>
    <n v="238.27"/>
    <x v="0"/>
    <n v="3"/>
    <s v="Newer"/>
  </r>
  <r>
    <n v="24058845"/>
    <n v="2405884501"/>
    <n v="1"/>
    <x v="24"/>
    <x v="0"/>
    <n v="254.14"/>
    <n v="971.15"/>
    <x v="0"/>
    <n v="15"/>
    <s v="Older"/>
  </r>
  <r>
    <n v="24059066"/>
    <n v="2405906601"/>
    <n v="1"/>
    <x v="6"/>
    <x v="0"/>
    <n v="2027.36"/>
    <n v="1382.71"/>
    <x v="0"/>
    <n v="7"/>
    <s v="Mid-age"/>
  </r>
  <r>
    <n v="24059115"/>
    <n v="2405911501"/>
    <n v="1"/>
    <x v="6"/>
    <x v="0"/>
    <n v="569.62"/>
    <n v="544.94000000000005"/>
    <x v="0"/>
    <n v="7"/>
    <s v="Mid-age"/>
  </r>
  <r>
    <n v="24059128"/>
    <n v="2405912801"/>
    <n v="1"/>
    <x v="12"/>
    <x v="0"/>
    <n v="4992.9399999999996"/>
    <n v="3175.91"/>
    <x v="0"/>
    <n v="19"/>
    <s v="Older"/>
  </r>
  <r>
    <n v="24059141"/>
    <n v="2405914101"/>
    <n v="1"/>
    <x v="16"/>
    <x v="0"/>
    <n v="7482.35"/>
    <n v="4309.71"/>
    <x v="0"/>
    <n v="14"/>
    <s v="Older"/>
  </r>
  <r>
    <n v="24059369"/>
    <n v="2405936901"/>
    <n v="1"/>
    <x v="9"/>
    <x v="0"/>
    <n v="7014.38"/>
    <n v="4760.8999999999996"/>
    <x v="0"/>
    <n v="2"/>
    <s v="Newer"/>
  </r>
  <r>
    <n v="24059423"/>
    <n v="2405942301"/>
    <n v="1"/>
    <x v="1"/>
    <x v="0"/>
    <n v="305.20999999999998"/>
    <n v="1496.83"/>
    <x v="0"/>
    <n v="3"/>
    <s v="Newer"/>
  </r>
  <r>
    <n v="24059489"/>
    <n v="2405948901"/>
    <n v="1"/>
    <x v="14"/>
    <x v="0"/>
    <n v="562.95000000000005"/>
    <n v="1007.87"/>
    <x v="0"/>
    <n v="10"/>
    <s v="Older"/>
  </r>
  <r>
    <n v="24059569"/>
    <n v="2405956901"/>
    <n v="1"/>
    <x v="18"/>
    <x v="0"/>
    <n v="38.549999999999997"/>
    <n v="489.51"/>
    <x v="0"/>
    <n v="11"/>
    <s v="Older"/>
  </r>
  <r>
    <n v="24059594"/>
    <n v="2405959401"/>
    <n v="1"/>
    <x v="3"/>
    <x v="0"/>
    <n v="1690.37"/>
    <n v="2561.5500000000002"/>
    <x v="0"/>
    <n v="4"/>
    <s v="Mid-age"/>
  </r>
  <r>
    <n v="24059599"/>
    <n v="2405959901"/>
    <n v="1"/>
    <x v="3"/>
    <x v="2"/>
    <n v="10.43"/>
    <n v="418.05"/>
    <x v="2"/>
    <n v="4"/>
    <s v="Mid-age"/>
  </r>
  <r>
    <n v="24059645"/>
    <n v="2405964501"/>
    <n v="1"/>
    <x v="6"/>
    <x v="0"/>
    <n v="71.83"/>
    <n v="698.78"/>
    <x v="0"/>
    <n v="7"/>
    <s v="Mid-age"/>
  </r>
  <r>
    <n v="24059806"/>
    <n v="2405980601"/>
    <n v="1"/>
    <x v="1"/>
    <x v="0"/>
    <n v="3229.86"/>
    <n v="1074.17"/>
    <x v="0"/>
    <n v="3"/>
    <s v="Newer"/>
  </r>
  <r>
    <n v="24060130"/>
    <n v="2406013001"/>
    <n v="1"/>
    <x v="10"/>
    <x v="0"/>
    <n v="17.84"/>
    <n v="288.51"/>
    <x v="0"/>
    <n v="5"/>
    <s v="Mid-age"/>
  </r>
  <r>
    <n v="24060433"/>
    <n v="2406043301"/>
    <n v="1"/>
    <x v="14"/>
    <x v="0"/>
    <n v="1.98"/>
    <n v="174.53"/>
    <x v="0"/>
    <n v="10"/>
    <s v="Older"/>
  </r>
  <r>
    <n v="24060461"/>
    <n v="2406046101"/>
    <n v="1"/>
    <x v="2"/>
    <x v="0"/>
    <n v="2174.75"/>
    <n v="1297.1400000000001"/>
    <x v="0"/>
    <n v="12"/>
    <s v="Older"/>
  </r>
  <r>
    <n v="24060517"/>
    <n v="2406051701"/>
    <n v="1"/>
    <x v="12"/>
    <x v="0"/>
    <n v="540.97"/>
    <n v="603.41"/>
    <x v="0"/>
    <n v="19"/>
    <s v="Older"/>
  </r>
  <r>
    <n v="24060549"/>
    <n v="2406054901"/>
    <n v="1"/>
    <x v="1"/>
    <x v="2"/>
    <n v="2328.9899999999998"/>
    <n v="793.08"/>
    <x v="2"/>
    <n v="3"/>
    <s v="Newer"/>
  </r>
  <r>
    <n v="24060568"/>
    <n v="2406056801"/>
    <n v="1"/>
    <x v="11"/>
    <x v="0"/>
    <n v="125.59"/>
    <n v="1003.62"/>
    <x v="0"/>
    <n v="8"/>
    <s v="Mid-age"/>
  </r>
  <r>
    <n v="24060849"/>
    <n v="2406084901"/>
    <n v="1"/>
    <x v="9"/>
    <x v="0"/>
    <n v="71.05"/>
    <n v="690.7"/>
    <x v="0"/>
    <n v="2"/>
    <s v="Newer"/>
  </r>
  <r>
    <n v="24060944"/>
    <n v="2406094401"/>
    <n v="1"/>
    <x v="11"/>
    <x v="0"/>
    <n v="27.51"/>
    <n v="563.30999999999995"/>
    <x v="0"/>
    <n v="8"/>
    <s v="Mid-age"/>
  </r>
  <r>
    <n v="24060989"/>
    <n v="2406098901"/>
    <n v="1"/>
    <x v="12"/>
    <x v="0"/>
    <n v="792.62"/>
    <n v="1614.05"/>
    <x v="0"/>
    <n v="19"/>
    <s v="Older"/>
  </r>
  <r>
    <n v="24061354"/>
    <n v="2406135401"/>
    <n v="1"/>
    <x v="10"/>
    <x v="2"/>
    <n v="188.65"/>
    <n v="1595.78"/>
    <x v="2"/>
    <n v="5"/>
    <s v="Mid-age"/>
  </r>
  <r>
    <n v="24061403"/>
    <n v="2406140301"/>
    <n v="1"/>
    <x v="3"/>
    <x v="0"/>
    <n v="2140.54"/>
    <n v="1346.81"/>
    <x v="0"/>
    <n v="4"/>
    <s v="Mid-age"/>
  </r>
  <r>
    <n v="24061588"/>
    <n v="2406158801"/>
    <n v="1"/>
    <x v="22"/>
    <x v="0"/>
    <n v="5383.02"/>
    <n v="4987.67"/>
    <x v="0"/>
    <n v="18"/>
    <s v="Older"/>
  </r>
  <r>
    <n v="24061933"/>
    <n v="2406193301"/>
    <n v="1"/>
    <x v="16"/>
    <x v="0"/>
    <n v="14456.87"/>
    <n v="3923.59"/>
    <x v="0"/>
    <n v="14"/>
    <s v="Older"/>
  </r>
  <r>
    <n v="24062273"/>
    <n v="2406227301"/>
    <n v="1"/>
    <x v="9"/>
    <x v="0"/>
    <n v="3873.12"/>
    <n v="1173.44"/>
    <x v="0"/>
    <n v="2"/>
    <s v="Newer"/>
  </r>
  <r>
    <n v="24062304"/>
    <n v="2406230401"/>
    <n v="1"/>
    <x v="19"/>
    <x v="0"/>
    <n v="2227.66"/>
    <n v="1624.8"/>
    <x v="0"/>
    <n v="17"/>
    <s v="Older"/>
  </r>
  <r>
    <n v="24062462"/>
    <n v="2406246201"/>
    <n v="1"/>
    <x v="14"/>
    <x v="0"/>
    <n v="2484.5300000000002"/>
    <n v="2145.92"/>
    <x v="0"/>
    <n v="10"/>
    <s v="Older"/>
  </r>
  <r>
    <n v="24062485"/>
    <n v="2406248501"/>
    <n v="1"/>
    <x v="10"/>
    <x v="0"/>
    <n v="14967.82"/>
    <n v="6358.33"/>
    <x v="0"/>
    <n v="5"/>
    <s v="Mid-age"/>
  </r>
  <r>
    <n v="24062540"/>
    <n v="2406254001"/>
    <n v="1"/>
    <x v="8"/>
    <x v="0"/>
    <n v="4991.46"/>
    <n v="3330.14"/>
    <x v="0"/>
    <n v="9"/>
    <s v="Mid-age"/>
  </r>
  <r>
    <n v="24062785"/>
    <n v="2406278501"/>
    <n v="1"/>
    <x v="1"/>
    <x v="0"/>
    <n v="3043.58"/>
    <n v="1342.34"/>
    <x v="0"/>
    <n v="3"/>
    <s v="Newer"/>
  </r>
  <r>
    <n v="24062804"/>
    <n v="2406280401"/>
    <n v="1"/>
    <x v="6"/>
    <x v="0"/>
    <n v="134.4"/>
    <n v="1052.48"/>
    <x v="0"/>
    <n v="7"/>
    <s v="Mid-age"/>
  </r>
  <r>
    <n v="24062893"/>
    <n v="2406289301"/>
    <n v="1"/>
    <x v="5"/>
    <x v="0"/>
    <n v="3056.2"/>
    <n v="961.14"/>
    <x v="0"/>
    <n v="6"/>
    <s v="Mid-age"/>
  </r>
  <r>
    <n v="24062898"/>
    <n v="2406289801"/>
    <n v="1"/>
    <x v="14"/>
    <x v="0"/>
    <n v="4993.0200000000004"/>
    <n v="3332.5"/>
    <x v="0"/>
    <n v="10"/>
    <s v="Older"/>
  </r>
  <r>
    <n v="24063146"/>
    <n v="2406314601"/>
    <n v="1"/>
    <x v="24"/>
    <x v="0"/>
    <n v="3.95"/>
    <n v="180.38"/>
    <x v="0"/>
    <n v="15"/>
    <s v="Older"/>
  </r>
  <r>
    <n v="24063161"/>
    <n v="2406316101"/>
    <n v="1"/>
    <x v="9"/>
    <x v="0"/>
    <n v="87.59"/>
    <n v="938.32"/>
    <x v="0"/>
    <n v="2"/>
    <s v="Newer"/>
  </r>
  <r>
    <n v="24063351"/>
    <n v="2406335101"/>
    <n v="1"/>
    <x v="18"/>
    <x v="0"/>
    <n v="178.71"/>
    <n v="935.94"/>
    <x v="0"/>
    <n v="11"/>
    <s v="Older"/>
  </r>
  <r>
    <n v="24063537"/>
    <n v="2406353701"/>
    <n v="1"/>
    <x v="1"/>
    <x v="0"/>
    <n v="2077.4299999999998"/>
    <n v="2955.54"/>
    <x v="0"/>
    <n v="3"/>
    <s v="Newer"/>
  </r>
  <r>
    <n v="24063715"/>
    <n v="2406371501"/>
    <n v="1"/>
    <x v="0"/>
    <x v="0"/>
    <n v="477.71"/>
    <n v="1271.9000000000001"/>
    <x v="0"/>
    <n v="13"/>
    <s v="Older"/>
  </r>
  <r>
    <n v="24063958"/>
    <n v="2406395801"/>
    <n v="1"/>
    <x v="18"/>
    <x v="0"/>
    <n v="7493.99"/>
    <n v="2960.94"/>
    <x v="0"/>
    <n v="11"/>
    <s v="Older"/>
  </r>
  <r>
    <n v="24064321"/>
    <n v="2406432101"/>
    <n v="1"/>
    <x v="8"/>
    <x v="0"/>
    <n v="7482.87"/>
    <n v="1697.1"/>
    <x v="0"/>
    <n v="9"/>
    <s v="Mid-age"/>
  </r>
  <r>
    <n v="24064403"/>
    <n v="2406440301"/>
    <n v="1"/>
    <x v="10"/>
    <x v="0"/>
    <n v="125.59"/>
    <n v="1003.62"/>
    <x v="0"/>
    <n v="5"/>
    <s v="Mid-age"/>
  </r>
  <r>
    <n v="24064502"/>
    <n v="2406450201"/>
    <n v="1"/>
    <x v="14"/>
    <x v="0"/>
    <n v="184.76"/>
    <n v="1129.1600000000001"/>
    <x v="0"/>
    <n v="10"/>
    <s v="Older"/>
  </r>
  <r>
    <n v="24064541"/>
    <n v="2406454101"/>
    <n v="1"/>
    <x v="16"/>
    <x v="0"/>
    <n v="144.52000000000001"/>
    <n v="844.29"/>
    <x v="0"/>
    <n v="14"/>
    <s v="Older"/>
  </r>
  <r>
    <n v="24064663"/>
    <n v="2406466301"/>
    <n v="1"/>
    <x v="6"/>
    <x v="0"/>
    <n v="22.92"/>
    <n v="440.13"/>
    <x v="0"/>
    <n v="7"/>
    <s v="Mid-age"/>
  </r>
  <r>
    <n v="24064903"/>
    <n v="2406490301"/>
    <n v="1"/>
    <x v="16"/>
    <x v="0"/>
    <n v="97.77"/>
    <n v="617.03"/>
    <x v="0"/>
    <n v="14"/>
    <s v="Older"/>
  </r>
  <r>
    <n v="24064907"/>
    <n v="2406490701"/>
    <n v="1"/>
    <x v="3"/>
    <x v="0"/>
    <n v="974.99"/>
    <n v="883.29"/>
    <x v="0"/>
    <n v="4"/>
    <s v="Mid-age"/>
  </r>
  <r>
    <n v="24064913"/>
    <n v="2406491301"/>
    <n v="1"/>
    <x v="18"/>
    <x v="0"/>
    <n v="846.78"/>
    <n v="575.54"/>
    <x v="0"/>
    <n v="11"/>
    <s v="Older"/>
  </r>
  <r>
    <n v="24064938"/>
    <n v="2406493801"/>
    <n v="1"/>
    <x v="11"/>
    <x v="2"/>
    <n v="210.19"/>
    <n v="844.75"/>
    <x v="2"/>
    <n v="8"/>
    <s v="Mid-age"/>
  </r>
  <r>
    <n v="24065334"/>
    <n v="2406533401"/>
    <n v="1"/>
    <x v="21"/>
    <x v="0"/>
    <n v="1817.36"/>
    <n v="866.28"/>
    <x v="0"/>
    <n v="24"/>
    <s v="Very Old"/>
  </r>
  <r>
    <n v="24065381"/>
    <n v="2406538101"/>
    <n v="1"/>
    <x v="11"/>
    <x v="0"/>
    <n v="133.01"/>
    <n v="1011.18"/>
    <x v="0"/>
    <n v="8"/>
    <s v="Mid-age"/>
  </r>
  <r>
    <n v="24065661"/>
    <n v="2406566101"/>
    <n v="1"/>
    <x v="1"/>
    <x v="0"/>
    <n v="87.48"/>
    <n v="457.75"/>
    <x v="0"/>
    <n v="3"/>
    <s v="Newer"/>
  </r>
  <r>
    <n v="24065971"/>
    <n v="2406597101"/>
    <n v="1"/>
    <x v="6"/>
    <x v="0"/>
    <n v="4994.7700000000004"/>
    <n v="3328.4"/>
    <x v="0"/>
    <n v="7"/>
    <s v="Mid-age"/>
  </r>
  <r>
    <n v="24066005"/>
    <n v="2406600501"/>
    <n v="1"/>
    <x v="16"/>
    <x v="0"/>
    <n v="141.22"/>
    <n v="706.11"/>
    <x v="0"/>
    <n v="14"/>
    <s v="Older"/>
  </r>
  <r>
    <n v="24066112"/>
    <n v="2406611201"/>
    <n v="1"/>
    <x v="14"/>
    <x v="0"/>
    <n v="1607.32"/>
    <n v="2699.97"/>
    <x v="0"/>
    <n v="10"/>
    <s v="Older"/>
  </r>
  <r>
    <n v="24066145"/>
    <n v="2406614501"/>
    <n v="1"/>
    <x v="3"/>
    <x v="0"/>
    <n v="467.45"/>
    <n v="1127.56"/>
    <x v="0"/>
    <n v="4"/>
    <s v="Mid-age"/>
  </r>
  <r>
    <n v="24066146"/>
    <n v="2406614601"/>
    <n v="1"/>
    <x v="22"/>
    <x v="0"/>
    <n v="711.59"/>
    <n v="754.31"/>
    <x v="0"/>
    <n v="18"/>
    <s v="Older"/>
  </r>
  <r>
    <n v="24066147"/>
    <n v="2406614701"/>
    <n v="1"/>
    <x v="2"/>
    <x v="0"/>
    <n v="3743.62"/>
    <n v="2393.09"/>
    <x v="0"/>
    <n v="12"/>
    <s v="Older"/>
  </r>
  <r>
    <n v="24066209"/>
    <n v="2406620901"/>
    <n v="1"/>
    <x v="10"/>
    <x v="0"/>
    <n v="6.36"/>
    <n v="160.07"/>
    <x v="0"/>
    <n v="5"/>
    <s v="Mid-age"/>
  </r>
  <r>
    <n v="24066249"/>
    <n v="2406624901"/>
    <n v="1"/>
    <x v="14"/>
    <x v="0"/>
    <n v="2734.3"/>
    <n v="4935.1499999999996"/>
    <x v="0"/>
    <n v="10"/>
    <s v="Older"/>
  </r>
  <r>
    <n v="24066390"/>
    <n v="2406639001"/>
    <n v="1"/>
    <x v="9"/>
    <x v="0"/>
    <n v="365.72"/>
    <n v="890.79"/>
    <x v="0"/>
    <n v="2"/>
    <s v="Newer"/>
  </r>
  <r>
    <n v="24066408"/>
    <n v="2406640801"/>
    <n v="1"/>
    <x v="3"/>
    <x v="0"/>
    <n v="3660.87"/>
    <n v="2962.53"/>
    <x v="0"/>
    <n v="4"/>
    <s v="Mid-age"/>
  </r>
  <r>
    <n v="24066498"/>
    <n v="2406649801"/>
    <n v="1"/>
    <x v="18"/>
    <x v="0"/>
    <n v="188.95"/>
    <n v="901.09"/>
    <x v="0"/>
    <n v="11"/>
    <s v="Older"/>
  </r>
  <r>
    <n v="24066662"/>
    <n v="2406666201"/>
    <n v="1"/>
    <x v="6"/>
    <x v="0"/>
    <n v="2172.16"/>
    <n v="1025.54"/>
    <x v="0"/>
    <n v="7"/>
    <s v="Mid-age"/>
  </r>
  <r>
    <n v="24066936"/>
    <n v="2406693601"/>
    <n v="1"/>
    <x v="22"/>
    <x v="0"/>
    <n v="116.57"/>
    <n v="749.55"/>
    <x v="0"/>
    <n v="18"/>
    <s v="Older"/>
  </r>
  <r>
    <n v="24067099"/>
    <n v="2406709901"/>
    <n v="1"/>
    <x v="2"/>
    <x v="0"/>
    <n v="123.42"/>
    <n v="407.55"/>
    <x v="0"/>
    <n v="12"/>
    <s v="Older"/>
  </r>
  <r>
    <n v="24067121"/>
    <n v="2406712101"/>
    <n v="1"/>
    <x v="30"/>
    <x v="0"/>
    <n v="25.8"/>
    <n v="196.84"/>
    <x v="0"/>
    <n v="25"/>
    <s v="Very Old"/>
  </r>
  <r>
    <n v="24067151"/>
    <n v="2406715101"/>
    <n v="1"/>
    <x v="2"/>
    <x v="0"/>
    <n v="1615.89"/>
    <n v="1378.06"/>
    <x v="0"/>
    <n v="12"/>
    <s v="Older"/>
  </r>
  <r>
    <n v="24067250"/>
    <n v="2406725001"/>
    <n v="1"/>
    <x v="20"/>
    <x v="0"/>
    <n v="3693.46"/>
    <n v="1440.43"/>
    <x v="0"/>
    <n v="22"/>
    <s v="Very Old"/>
  </r>
  <r>
    <n v="24067284"/>
    <n v="2406728401"/>
    <n v="1"/>
    <x v="11"/>
    <x v="0"/>
    <n v="67.39"/>
    <n v="1689.88"/>
    <x v="0"/>
    <n v="8"/>
    <s v="Mid-age"/>
  </r>
  <r>
    <n v="24067369"/>
    <n v="2406736901"/>
    <n v="1"/>
    <x v="24"/>
    <x v="0"/>
    <n v="2138.59"/>
    <n v="1289.5899999999999"/>
    <x v="0"/>
    <n v="15"/>
    <s v="Older"/>
  </r>
  <r>
    <n v="24067482"/>
    <n v="2406748201"/>
    <n v="1"/>
    <x v="8"/>
    <x v="0"/>
    <n v="50.98"/>
    <n v="587.48"/>
    <x v="0"/>
    <n v="9"/>
    <s v="Mid-age"/>
  </r>
  <r>
    <n v="24067558"/>
    <n v="2406755801"/>
    <n v="1"/>
    <x v="18"/>
    <x v="0"/>
    <n v="11.3"/>
    <n v="1472.52"/>
    <x v="0"/>
    <n v="11"/>
    <s v="Older"/>
  </r>
  <r>
    <n v="24067626"/>
    <n v="2406762601"/>
    <n v="1"/>
    <x v="19"/>
    <x v="0"/>
    <n v="2271.19"/>
    <n v="1478.59"/>
    <x v="0"/>
    <n v="17"/>
    <s v="Older"/>
  </r>
  <r>
    <n v="24067721"/>
    <n v="2406772101"/>
    <n v="1"/>
    <x v="5"/>
    <x v="0"/>
    <n v="1222.48"/>
    <n v="1546.99"/>
    <x v="0"/>
    <n v="6"/>
    <s v="Mid-age"/>
  </r>
  <r>
    <n v="24068074"/>
    <n v="2406807401"/>
    <n v="1"/>
    <x v="4"/>
    <x v="0"/>
    <n v="67.64"/>
    <n v="733.2"/>
    <x v="0"/>
    <n v="21"/>
    <s v="Very Old"/>
  </r>
  <r>
    <n v="24068537"/>
    <n v="2406853701"/>
    <n v="1"/>
    <x v="16"/>
    <x v="0"/>
    <n v="796.59"/>
    <n v="824.17"/>
    <x v="0"/>
    <n v="14"/>
    <s v="Older"/>
  </r>
  <r>
    <n v="24068666"/>
    <n v="2406866601"/>
    <n v="1"/>
    <x v="5"/>
    <x v="0"/>
    <n v="242.66"/>
    <n v="865.98"/>
    <x v="0"/>
    <n v="6"/>
    <s v="Mid-age"/>
  </r>
  <r>
    <n v="24068961"/>
    <n v="2406896101"/>
    <n v="1"/>
    <x v="11"/>
    <x v="0"/>
    <n v="151.13999999999999"/>
    <n v="530.20000000000005"/>
    <x v="0"/>
    <n v="8"/>
    <s v="Mid-age"/>
  </r>
  <r>
    <n v="24068988"/>
    <n v="2406898801"/>
    <n v="1"/>
    <x v="19"/>
    <x v="0"/>
    <n v="443.06"/>
    <n v="839.16"/>
    <x v="0"/>
    <n v="17"/>
    <s v="Older"/>
  </r>
  <r>
    <n v="24069013"/>
    <n v="2406901301"/>
    <n v="1"/>
    <x v="20"/>
    <x v="0"/>
    <n v="1118.73"/>
    <n v="739.16"/>
    <x v="0"/>
    <n v="22"/>
    <s v="Very Old"/>
  </r>
  <r>
    <n v="24069109"/>
    <n v="2406910901"/>
    <n v="1"/>
    <x v="22"/>
    <x v="0"/>
    <n v="153.72999999999999"/>
    <n v="488.94"/>
    <x v="0"/>
    <n v="18"/>
    <s v="Older"/>
  </r>
  <r>
    <n v="24069178"/>
    <n v="2406917801"/>
    <n v="1"/>
    <x v="1"/>
    <x v="0"/>
    <n v="3504.28"/>
    <n v="1614.46"/>
    <x v="0"/>
    <n v="3"/>
    <s v="Newer"/>
  </r>
  <r>
    <n v="24069280"/>
    <n v="2406928001"/>
    <n v="1"/>
    <x v="10"/>
    <x v="0"/>
    <n v="15.76"/>
    <n v="439.89"/>
    <x v="0"/>
    <n v="5"/>
    <s v="Mid-age"/>
  </r>
  <r>
    <n v="24069455"/>
    <n v="2406945501"/>
    <n v="1"/>
    <x v="30"/>
    <x v="2"/>
    <n v="1607.32"/>
    <n v="2699.97"/>
    <x v="2"/>
    <n v="25"/>
    <s v="Very Old"/>
  </r>
  <r>
    <n v="24069533"/>
    <n v="2406953301"/>
    <n v="1"/>
    <x v="19"/>
    <x v="0"/>
    <n v="3613.43"/>
    <n v="2147.1"/>
    <x v="0"/>
    <n v="17"/>
    <s v="Older"/>
  </r>
  <r>
    <n v="24069615"/>
    <n v="2406961501"/>
    <n v="1"/>
    <x v="2"/>
    <x v="0"/>
    <n v="617.97"/>
    <n v="3332.08"/>
    <x v="0"/>
    <n v="12"/>
    <s v="Older"/>
  </r>
  <r>
    <n v="24069750"/>
    <n v="2406975001"/>
    <n v="1"/>
    <x v="14"/>
    <x v="0"/>
    <n v="94.36"/>
    <n v="654.09"/>
    <x v="0"/>
    <n v="10"/>
    <s v="Older"/>
  </r>
  <r>
    <n v="24069795"/>
    <n v="2406979501"/>
    <n v="1"/>
    <x v="15"/>
    <x v="0"/>
    <n v="633.37"/>
    <n v="875.05"/>
    <x v="0"/>
    <n v="26"/>
    <s v="Very Old"/>
  </r>
  <r>
    <n v="24069847"/>
    <n v="2406984701"/>
    <n v="1"/>
    <x v="22"/>
    <x v="0"/>
    <n v="0.56999999999999995"/>
    <n v="135.4"/>
    <x v="0"/>
    <n v="18"/>
    <s v="Older"/>
  </r>
  <r>
    <n v="24070114"/>
    <n v="2407011401"/>
    <n v="1"/>
    <x v="19"/>
    <x v="0"/>
    <n v="30.28"/>
    <n v="461.98"/>
    <x v="0"/>
    <n v="17"/>
    <s v="Older"/>
  </r>
  <r>
    <n v="24070325"/>
    <n v="2407032501"/>
    <n v="1"/>
    <x v="8"/>
    <x v="0"/>
    <n v="6594.48"/>
    <n v="4991.6099999999997"/>
    <x v="0"/>
    <n v="9"/>
    <s v="Mid-age"/>
  </r>
  <r>
    <n v="24070341"/>
    <n v="2407034101"/>
    <n v="1"/>
    <x v="3"/>
    <x v="0"/>
    <n v="1028.6400000000001"/>
    <n v="2093.02"/>
    <x v="0"/>
    <n v="4"/>
    <s v="Mid-age"/>
  </r>
  <r>
    <n v="24070475"/>
    <n v="2407047501"/>
    <n v="1"/>
    <x v="3"/>
    <x v="0"/>
    <n v="7490.64"/>
    <n v="2975.97"/>
    <x v="0"/>
    <n v="4"/>
    <s v="Mid-age"/>
  </r>
  <r>
    <n v="24070482"/>
    <n v="2407048201"/>
    <n v="1"/>
    <x v="14"/>
    <x v="0"/>
    <n v="305.19"/>
    <n v="873.54"/>
    <x v="0"/>
    <n v="10"/>
    <s v="Older"/>
  </r>
  <r>
    <n v="24070730"/>
    <n v="2407073001"/>
    <n v="1"/>
    <x v="14"/>
    <x v="0"/>
    <n v="704.58"/>
    <n v="820.34"/>
    <x v="0"/>
    <n v="10"/>
    <s v="Older"/>
  </r>
  <r>
    <n v="24070739"/>
    <n v="2407073901"/>
    <n v="1"/>
    <x v="10"/>
    <x v="0"/>
    <n v="113.49"/>
    <n v="230.68"/>
    <x v="0"/>
    <n v="5"/>
    <s v="Mid-age"/>
  </r>
  <r>
    <n v="24070742"/>
    <n v="2407074201"/>
    <n v="1"/>
    <x v="9"/>
    <x v="0"/>
    <n v="2837.74"/>
    <n v="4085.82"/>
    <x v="0"/>
    <n v="2"/>
    <s v="Newer"/>
  </r>
  <r>
    <n v="24070793"/>
    <n v="2407079301"/>
    <n v="1"/>
    <x v="1"/>
    <x v="0"/>
    <n v="192.51"/>
    <n v="849.68"/>
    <x v="0"/>
    <n v="3"/>
    <s v="Newer"/>
  </r>
  <r>
    <n v="24070858"/>
    <n v="2407085801"/>
    <n v="1"/>
    <x v="18"/>
    <x v="0"/>
    <n v="1.44"/>
    <n v="204.5"/>
    <x v="0"/>
    <n v="11"/>
    <s v="Older"/>
  </r>
  <r>
    <n v="24071101"/>
    <n v="2407110101"/>
    <n v="1"/>
    <x v="7"/>
    <x v="0"/>
    <n v="2.67"/>
    <n v="166.35"/>
    <x v="0"/>
    <n v="23"/>
    <s v="Very Old"/>
  </r>
  <r>
    <n v="24071190"/>
    <n v="2407119001"/>
    <n v="1"/>
    <x v="6"/>
    <x v="0"/>
    <n v="577.73"/>
    <n v="655.09"/>
    <x v="0"/>
    <n v="7"/>
    <s v="Mid-age"/>
  </r>
  <r>
    <n v="24071289"/>
    <n v="2407128901"/>
    <n v="1"/>
    <x v="3"/>
    <x v="0"/>
    <n v="1313.91"/>
    <n v="1396.95"/>
    <x v="0"/>
    <n v="4"/>
    <s v="Mid-age"/>
  </r>
  <r>
    <n v="24071449"/>
    <n v="2407144901"/>
    <n v="1"/>
    <x v="9"/>
    <x v="0"/>
    <n v="7484.77"/>
    <n v="1679.94"/>
    <x v="0"/>
    <n v="2"/>
    <s v="Newer"/>
  </r>
  <r>
    <n v="24071512"/>
    <n v="2407151201"/>
    <n v="1"/>
    <x v="1"/>
    <x v="4"/>
    <n v="93.05"/>
    <n v="277.45999999999998"/>
    <x v="4"/>
    <n v="3"/>
    <s v="Newer"/>
  </r>
  <r>
    <n v="24071648"/>
    <n v="2407164801"/>
    <n v="1"/>
    <x v="10"/>
    <x v="0"/>
    <n v="413.7"/>
    <n v="395.78"/>
    <x v="0"/>
    <n v="5"/>
    <s v="Mid-age"/>
  </r>
  <r>
    <n v="24071665"/>
    <n v="2407166501"/>
    <n v="1"/>
    <x v="22"/>
    <x v="0"/>
    <n v="43.44"/>
    <n v="471.81"/>
    <x v="0"/>
    <n v="18"/>
    <s v="Older"/>
  </r>
  <r>
    <n v="24071819"/>
    <n v="2407181901"/>
    <n v="1"/>
    <x v="5"/>
    <x v="0"/>
    <n v="514.71"/>
    <n v="392.01"/>
    <x v="0"/>
    <n v="6"/>
    <s v="Mid-age"/>
  </r>
  <r>
    <n v="24071852"/>
    <n v="2407185201"/>
    <n v="1"/>
    <x v="2"/>
    <x v="0"/>
    <n v="435.5"/>
    <n v="874.57"/>
    <x v="0"/>
    <n v="12"/>
    <s v="Older"/>
  </r>
  <r>
    <n v="24071896"/>
    <n v="2407189601"/>
    <n v="1"/>
    <x v="10"/>
    <x v="0"/>
    <n v="1032.48"/>
    <n v="811.9"/>
    <x v="0"/>
    <n v="5"/>
    <s v="Mid-age"/>
  </r>
  <r>
    <n v="24071976"/>
    <n v="2407197601"/>
    <n v="1"/>
    <x v="5"/>
    <x v="0"/>
    <n v="259.77999999999997"/>
    <n v="490.78"/>
    <x v="0"/>
    <n v="6"/>
    <s v="Mid-age"/>
  </r>
  <r>
    <n v="24072011"/>
    <n v="2407201101"/>
    <n v="1"/>
    <x v="17"/>
    <x v="0"/>
    <n v="600.62"/>
    <n v="308.35000000000002"/>
    <x v="0"/>
    <n v="16"/>
    <s v="Older"/>
  </r>
  <r>
    <n v="24072036"/>
    <n v="2407203601"/>
    <n v="1"/>
    <x v="3"/>
    <x v="0"/>
    <n v="535.86"/>
    <n v="748.02"/>
    <x v="0"/>
    <n v="4"/>
    <s v="Mid-age"/>
  </r>
  <r>
    <n v="24072126"/>
    <n v="2407212601"/>
    <n v="1"/>
    <x v="15"/>
    <x v="0"/>
    <n v="58.01"/>
    <n v="1884.03"/>
    <x v="0"/>
    <n v="26"/>
    <s v="Very Old"/>
  </r>
  <r>
    <n v="24072267"/>
    <n v="2407226701"/>
    <n v="1"/>
    <x v="5"/>
    <x v="0"/>
    <n v="70.97"/>
    <n v="334.94"/>
    <x v="0"/>
    <n v="6"/>
    <s v="Mid-age"/>
  </r>
  <r>
    <n v="24072406"/>
    <n v="2407240601"/>
    <n v="1"/>
    <x v="24"/>
    <x v="0"/>
    <n v="4989.24"/>
    <n v="2293.5100000000002"/>
    <x v="0"/>
    <n v="15"/>
    <s v="Older"/>
  </r>
  <r>
    <n v="24072591"/>
    <n v="2407259101"/>
    <n v="1"/>
    <x v="16"/>
    <x v="0"/>
    <n v="176.93"/>
    <n v="666.43"/>
    <x v="0"/>
    <n v="14"/>
    <s v="Older"/>
  </r>
  <r>
    <n v="24072693"/>
    <n v="2407269301"/>
    <n v="1"/>
    <x v="9"/>
    <x v="4"/>
    <n v="18.27"/>
    <n v="310.32"/>
    <x v="4"/>
    <n v="2"/>
    <s v="Newer"/>
  </r>
  <r>
    <n v="24072775"/>
    <n v="2407277501"/>
    <n v="1"/>
    <x v="0"/>
    <x v="0"/>
    <n v="19.52"/>
    <n v="154.5"/>
    <x v="0"/>
    <n v="13"/>
    <s v="Older"/>
  </r>
  <r>
    <n v="24072873"/>
    <n v="2407287301"/>
    <n v="1"/>
    <x v="5"/>
    <x v="0"/>
    <n v="274.68"/>
    <n v="3099.47"/>
    <x v="0"/>
    <n v="6"/>
    <s v="Mid-age"/>
  </r>
  <r>
    <n v="24072998"/>
    <n v="2407299801"/>
    <n v="1"/>
    <x v="7"/>
    <x v="0"/>
    <n v="102.57"/>
    <n v="512.83000000000004"/>
    <x v="0"/>
    <n v="23"/>
    <s v="Very Old"/>
  </r>
  <r>
    <n v="24073057"/>
    <n v="2407305701"/>
    <n v="1"/>
    <x v="19"/>
    <x v="0"/>
    <n v="1165.53"/>
    <n v="1164.81"/>
    <x v="0"/>
    <n v="17"/>
    <s v="Older"/>
  </r>
  <r>
    <n v="24073062"/>
    <n v="2407306201"/>
    <n v="1"/>
    <x v="1"/>
    <x v="1"/>
    <n v="535.89"/>
    <n v="370.35"/>
    <x v="1"/>
    <n v="3"/>
    <s v="Newer"/>
  </r>
  <r>
    <n v="24073204"/>
    <n v="2407320401"/>
    <n v="1"/>
    <x v="3"/>
    <x v="0"/>
    <n v="6.3"/>
    <n v="1135.31"/>
    <x v="0"/>
    <n v="4"/>
    <s v="Mid-age"/>
  </r>
  <r>
    <n v="24073222"/>
    <n v="2407322201"/>
    <n v="1"/>
    <x v="13"/>
    <x v="0"/>
    <n v="252.4"/>
    <n v="789.56"/>
    <x v="0"/>
    <n v="34"/>
    <s v="Very Old"/>
  </r>
  <r>
    <n v="24073271"/>
    <n v="2407327101"/>
    <n v="1"/>
    <x v="10"/>
    <x v="0"/>
    <n v="2.87"/>
    <n v="349.8"/>
    <x v="0"/>
    <n v="5"/>
    <s v="Mid-age"/>
  </r>
  <r>
    <n v="24073316"/>
    <n v="2407331601"/>
    <n v="1"/>
    <x v="0"/>
    <x v="0"/>
    <n v="4991.8900000000003"/>
    <n v="2278.29"/>
    <x v="0"/>
    <n v="13"/>
    <s v="Older"/>
  </r>
  <r>
    <n v="24073508"/>
    <n v="2407350801"/>
    <n v="1"/>
    <x v="2"/>
    <x v="0"/>
    <n v="7490.75"/>
    <n v="4999.68"/>
    <x v="0"/>
    <n v="12"/>
    <s v="Older"/>
  </r>
  <r>
    <n v="24073553"/>
    <n v="2407355301"/>
    <n v="1"/>
    <x v="3"/>
    <x v="0"/>
    <n v="27.04"/>
    <n v="764.58"/>
    <x v="0"/>
    <n v="4"/>
    <s v="Mid-age"/>
  </r>
  <r>
    <n v="24073891"/>
    <n v="2407389101"/>
    <n v="1"/>
    <x v="6"/>
    <x v="0"/>
    <n v="3867.35"/>
    <n v="3361.67"/>
    <x v="0"/>
    <n v="7"/>
    <s v="Mid-age"/>
  </r>
  <r>
    <n v="24073930"/>
    <n v="2407393001"/>
    <n v="1"/>
    <x v="11"/>
    <x v="0"/>
    <n v="1.35"/>
    <n v="415.6"/>
    <x v="0"/>
    <n v="8"/>
    <s v="Mid-age"/>
  </r>
  <r>
    <n v="24074142"/>
    <n v="2407414201"/>
    <n v="1"/>
    <x v="5"/>
    <x v="0"/>
    <n v="1689.09"/>
    <n v="796.73"/>
    <x v="0"/>
    <n v="6"/>
    <s v="Mid-age"/>
  </r>
  <r>
    <n v="24074147"/>
    <n v="2407414701"/>
    <n v="1"/>
    <x v="11"/>
    <x v="0"/>
    <n v="0.68"/>
    <n v="170.69"/>
    <x v="0"/>
    <n v="8"/>
    <s v="Mid-age"/>
  </r>
  <r>
    <n v="24074161"/>
    <n v="2407416101"/>
    <n v="1"/>
    <x v="14"/>
    <x v="0"/>
    <n v="575.52"/>
    <n v="271.29000000000002"/>
    <x v="0"/>
    <n v="10"/>
    <s v="Older"/>
  </r>
  <r>
    <n v="24074200"/>
    <n v="2407420001"/>
    <n v="1"/>
    <x v="1"/>
    <x v="1"/>
    <n v="1"/>
    <n v="159.93"/>
    <x v="1"/>
    <n v="3"/>
    <s v="Newer"/>
  </r>
  <r>
    <n v="24074332"/>
    <n v="2407433201"/>
    <n v="1"/>
    <x v="14"/>
    <x v="0"/>
    <n v="1241.6300000000001"/>
    <n v="1244.3800000000001"/>
    <x v="0"/>
    <n v="10"/>
    <s v="Older"/>
  </r>
  <r>
    <n v="24074536"/>
    <n v="2407453601"/>
    <n v="1"/>
    <x v="14"/>
    <x v="0"/>
    <n v="0.68"/>
    <n v="349.45"/>
    <x v="0"/>
    <n v="10"/>
    <s v="Older"/>
  </r>
  <r>
    <n v="24074683"/>
    <n v="2407468301"/>
    <n v="1"/>
    <x v="18"/>
    <x v="0"/>
    <n v="1.35"/>
    <n v="267.86"/>
    <x v="0"/>
    <n v="11"/>
    <s v="Older"/>
  </r>
  <r>
    <n v="24074788"/>
    <n v="2407478801"/>
    <n v="1"/>
    <x v="11"/>
    <x v="0"/>
    <n v="2578.8200000000002"/>
    <n v="1015.75"/>
    <x v="0"/>
    <n v="8"/>
    <s v="Mid-age"/>
  </r>
  <r>
    <n v="24074819"/>
    <n v="2407481901"/>
    <n v="1"/>
    <x v="1"/>
    <x v="1"/>
    <n v="1.92"/>
    <n v="135.16999999999999"/>
    <x v="1"/>
    <n v="3"/>
    <s v="Newer"/>
  </r>
  <r>
    <n v="24074955"/>
    <n v="2407495501"/>
    <n v="1"/>
    <x v="3"/>
    <x v="0"/>
    <n v="2941.38"/>
    <n v="150.13"/>
    <x v="0"/>
    <n v="4"/>
    <s v="Mid-age"/>
  </r>
  <r>
    <n v="24075083"/>
    <n v="2407508301"/>
    <n v="1"/>
    <x v="8"/>
    <x v="0"/>
    <n v="1483.18"/>
    <n v="688.22"/>
    <x v="0"/>
    <n v="9"/>
    <s v="Mid-age"/>
  </r>
  <r>
    <n v="24075132"/>
    <n v="2407513201"/>
    <n v="1"/>
    <x v="0"/>
    <x v="0"/>
    <n v="313.32"/>
    <n v="1272.43"/>
    <x v="0"/>
    <n v="13"/>
    <s v="Older"/>
  </r>
  <r>
    <n v="24075212"/>
    <n v="2407521201"/>
    <n v="1"/>
    <x v="8"/>
    <x v="2"/>
    <n v="186.93"/>
    <n v="331.05"/>
    <x v="2"/>
    <n v="9"/>
    <s v="Mid-age"/>
  </r>
  <r>
    <n v="24075523"/>
    <n v="2407552301"/>
    <n v="1"/>
    <x v="17"/>
    <x v="0"/>
    <n v="33.39"/>
    <n v="495.07"/>
    <x v="0"/>
    <n v="16"/>
    <s v="Older"/>
  </r>
  <r>
    <n v="24075745"/>
    <n v="2407574501"/>
    <n v="1"/>
    <x v="10"/>
    <x v="0"/>
    <n v="3867.59"/>
    <n v="2704.67"/>
    <x v="0"/>
    <n v="5"/>
    <s v="Mid-age"/>
  </r>
  <r>
    <n v="24075825"/>
    <n v="2407582501"/>
    <n v="1"/>
    <x v="10"/>
    <x v="0"/>
    <n v="0.68"/>
    <n v="327.04000000000002"/>
    <x v="0"/>
    <n v="5"/>
    <s v="Mid-age"/>
  </r>
  <r>
    <n v="24075908"/>
    <n v="2407590801"/>
    <n v="1"/>
    <x v="10"/>
    <x v="0"/>
    <n v="0.68"/>
    <n v="217.81"/>
    <x v="0"/>
    <n v="5"/>
    <s v="Mid-age"/>
  </r>
  <r>
    <n v="24076121"/>
    <n v="2407612101"/>
    <n v="1"/>
    <x v="24"/>
    <x v="0"/>
    <n v="2014"/>
    <n v="792.5"/>
    <x v="0"/>
    <n v="15"/>
    <s v="Older"/>
  </r>
  <r>
    <n v="24076144"/>
    <n v="2407614401"/>
    <n v="1"/>
    <x v="1"/>
    <x v="0"/>
    <n v="2072.39"/>
    <n v="1886.64"/>
    <x v="0"/>
    <n v="3"/>
    <s v="Newer"/>
  </r>
  <r>
    <n v="24076152"/>
    <n v="2407615201"/>
    <n v="1"/>
    <x v="12"/>
    <x v="0"/>
    <n v="0.68"/>
    <n v="338.27"/>
    <x v="0"/>
    <n v="19"/>
    <s v="Older"/>
  </r>
  <r>
    <n v="24076250"/>
    <n v="2407625001"/>
    <n v="1"/>
    <x v="16"/>
    <x v="0"/>
    <n v="1.35"/>
    <n v="186.78"/>
    <x v="0"/>
    <n v="14"/>
    <s v="Older"/>
  </r>
  <r>
    <n v="24076302"/>
    <n v="2407630201"/>
    <n v="1"/>
    <x v="0"/>
    <x v="0"/>
    <n v="2568.98"/>
    <n v="628.99"/>
    <x v="0"/>
    <n v="13"/>
    <s v="Older"/>
  </r>
  <r>
    <n v="24076373"/>
    <n v="2407637301"/>
    <n v="1"/>
    <x v="2"/>
    <x v="0"/>
    <n v="119.06"/>
    <n v="194.73"/>
    <x v="0"/>
    <n v="12"/>
    <s v="Older"/>
  </r>
  <r>
    <n v="24076446"/>
    <n v="2407644601"/>
    <n v="1"/>
    <x v="4"/>
    <x v="0"/>
    <n v="511.35"/>
    <n v="567.03"/>
    <x v="0"/>
    <n v="21"/>
    <s v="Very Old"/>
  </r>
  <r>
    <n v="24076535"/>
    <n v="2407653501"/>
    <n v="1"/>
    <x v="0"/>
    <x v="0"/>
    <n v="573.79"/>
    <n v="460.72"/>
    <x v="0"/>
    <n v="13"/>
    <s v="Older"/>
  </r>
  <r>
    <n v="24076642"/>
    <n v="2407664201"/>
    <n v="1"/>
    <x v="3"/>
    <x v="0"/>
    <n v="0.45"/>
    <n v="121.88"/>
    <x v="0"/>
    <n v="4"/>
    <s v="Mid-age"/>
  </r>
  <r>
    <n v="24076688"/>
    <n v="2407668801"/>
    <n v="1"/>
    <x v="10"/>
    <x v="0"/>
    <n v="1862.32"/>
    <n v="1606.77"/>
    <x v="0"/>
    <n v="5"/>
    <s v="Mid-age"/>
  </r>
  <r>
    <n v="24076849"/>
    <n v="2407684901"/>
    <n v="1"/>
    <x v="2"/>
    <x v="0"/>
    <n v="4.63"/>
    <n v="261.61"/>
    <x v="0"/>
    <n v="12"/>
    <s v="Older"/>
  </r>
  <r>
    <n v="24076876"/>
    <n v="2407687601"/>
    <n v="1"/>
    <x v="7"/>
    <x v="0"/>
    <n v="4.63"/>
    <n v="261.61"/>
    <x v="0"/>
    <n v="23"/>
    <s v="Very Old"/>
  </r>
  <r>
    <n v="24076894"/>
    <n v="2407689401"/>
    <n v="1"/>
    <x v="9"/>
    <x v="0"/>
    <n v="427.12"/>
    <n v="807.8"/>
    <x v="0"/>
    <n v="2"/>
    <s v="Newer"/>
  </r>
  <r>
    <n v="24076928"/>
    <n v="2407692801"/>
    <n v="1"/>
    <x v="30"/>
    <x v="0"/>
    <n v="0.68"/>
    <n v="97.33"/>
    <x v="0"/>
    <n v="25"/>
    <s v="Very Old"/>
  </r>
  <r>
    <n v="24076937"/>
    <n v="2407693701"/>
    <n v="1"/>
    <x v="1"/>
    <x v="2"/>
    <n v="1.76"/>
    <n v="327.43"/>
    <x v="2"/>
    <n v="3"/>
    <s v="Newer"/>
  </r>
  <r>
    <n v="24076955"/>
    <n v="2407695501"/>
    <n v="1"/>
    <x v="3"/>
    <x v="1"/>
    <n v="0.68"/>
    <n v="389.34"/>
    <x v="1"/>
    <n v="4"/>
    <s v="Mid-age"/>
  </r>
  <r>
    <n v="24077283"/>
    <n v="2407728301"/>
    <n v="1"/>
    <x v="10"/>
    <x v="0"/>
    <n v="426.5"/>
    <n v="213.84"/>
    <x v="0"/>
    <n v="5"/>
    <s v="Mid-age"/>
  </r>
  <r>
    <n v="24077289"/>
    <n v="2407728901"/>
    <n v="1"/>
    <x v="11"/>
    <x v="0"/>
    <n v="0.68"/>
    <n v="369.62"/>
    <x v="0"/>
    <n v="8"/>
    <s v="Mid-age"/>
  </r>
  <r>
    <n v="24077422"/>
    <n v="2407742201"/>
    <n v="1"/>
    <x v="0"/>
    <x v="0"/>
    <n v="1.36"/>
    <n v="69.95"/>
    <x v="0"/>
    <n v="13"/>
    <s v="Older"/>
  </r>
  <r>
    <n v="24077653"/>
    <n v="2407765301"/>
    <n v="1"/>
    <x v="10"/>
    <x v="5"/>
    <n v="26.68"/>
    <n v="259.98"/>
    <x v="5"/>
    <n v="5"/>
    <s v="Mid-age"/>
  </r>
  <r>
    <n v="24077756"/>
    <n v="2407775601"/>
    <n v="1"/>
    <x v="10"/>
    <x v="0"/>
    <n v="111.9"/>
    <n v="745.56"/>
    <x v="0"/>
    <n v="5"/>
    <s v="Mid-age"/>
  </r>
  <r>
    <n v="24077763"/>
    <n v="2407776301"/>
    <n v="1"/>
    <x v="6"/>
    <x v="0"/>
    <n v="0.68"/>
    <n v="439.05"/>
    <x v="0"/>
    <n v="7"/>
    <s v="Mid-age"/>
  </r>
  <r>
    <n v="24077893"/>
    <n v="2407789301"/>
    <n v="1"/>
    <x v="6"/>
    <x v="0"/>
    <n v="1007.85"/>
    <n v="943.25"/>
    <x v="0"/>
    <n v="7"/>
    <s v="Mid-age"/>
  </r>
  <r>
    <n v="24077929"/>
    <n v="2407792901"/>
    <n v="1"/>
    <x v="10"/>
    <x v="0"/>
    <n v="50.66"/>
    <n v="447.84"/>
    <x v="0"/>
    <n v="5"/>
    <s v="Mid-age"/>
  </r>
  <r>
    <n v="24078017"/>
    <n v="2407801701"/>
    <n v="1"/>
    <x v="5"/>
    <x v="0"/>
    <n v="948.83"/>
    <n v="437.9"/>
    <x v="0"/>
    <n v="6"/>
    <s v="Mid-age"/>
  </r>
  <r>
    <n v="24078018"/>
    <n v="2407801801"/>
    <n v="1"/>
    <x v="0"/>
    <x v="0"/>
    <n v="928.96"/>
    <n v="416.35"/>
    <x v="0"/>
    <n v="13"/>
    <s v="Older"/>
  </r>
  <r>
    <n v="24078174"/>
    <n v="2407817401"/>
    <n v="1"/>
    <x v="11"/>
    <x v="0"/>
    <n v="0.68"/>
    <n v="389.34"/>
    <x v="0"/>
    <n v="8"/>
    <s v="Mid-age"/>
  </r>
  <r>
    <n v="24078214"/>
    <n v="2407821401"/>
    <n v="1"/>
    <x v="27"/>
    <x v="0"/>
    <n v="1.36"/>
    <n v="382.4"/>
    <x v="0"/>
    <n v="20"/>
    <s v="Very Old"/>
  </r>
  <r>
    <n v="24078261"/>
    <n v="2407826101"/>
    <n v="1"/>
    <x v="2"/>
    <x v="0"/>
    <n v="521.86"/>
    <n v="383.58"/>
    <x v="0"/>
    <n v="12"/>
    <s v="Older"/>
  </r>
  <r>
    <n v="24078486"/>
    <n v="2407848601"/>
    <n v="1"/>
    <x v="11"/>
    <x v="0"/>
    <n v="1.35"/>
    <n v="221.98"/>
    <x v="0"/>
    <n v="8"/>
    <s v="Mid-age"/>
  </r>
  <r>
    <n v="24078584"/>
    <n v="2407858401"/>
    <n v="1"/>
    <x v="11"/>
    <x v="0"/>
    <n v="1.62"/>
    <n v="181.41"/>
    <x v="0"/>
    <n v="8"/>
    <s v="Mid-age"/>
  </r>
  <r>
    <n v="24078596"/>
    <n v="2407859601"/>
    <n v="1"/>
    <x v="5"/>
    <x v="1"/>
    <n v="5.95"/>
    <n v="233.72"/>
    <x v="1"/>
    <n v="6"/>
    <s v="Mid-age"/>
  </r>
  <r>
    <n v="24078643"/>
    <n v="2407864301"/>
    <n v="1"/>
    <x v="8"/>
    <x v="0"/>
    <n v="10.85"/>
    <n v="536.53"/>
    <x v="0"/>
    <n v="9"/>
    <s v="Mid-age"/>
  </r>
  <r>
    <n v="24078741"/>
    <n v="2407874101"/>
    <n v="1"/>
    <x v="8"/>
    <x v="0"/>
    <n v="1.35"/>
    <n v="186.78"/>
    <x v="0"/>
    <n v="9"/>
    <s v="Mid-age"/>
  </r>
  <r>
    <n v="24078759"/>
    <n v="2407875901"/>
    <n v="1"/>
    <x v="3"/>
    <x v="2"/>
    <n v="634.75"/>
    <n v="536.64"/>
    <x v="2"/>
    <n v="4"/>
    <s v="Mid-age"/>
  </r>
  <r>
    <n v="24078925"/>
    <n v="2407892501"/>
    <n v="1"/>
    <x v="6"/>
    <x v="0"/>
    <n v="1.35"/>
    <n v="186.78"/>
    <x v="0"/>
    <n v="7"/>
    <s v="Mid-age"/>
  </r>
  <r>
    <n v="24079172"/>
    <n v="2407917201"/>
    <n v="1"/>
    <x v="1"/>
    <x v="0"/>
    <n v="0.45"/>
    <n v="177.83"/>
    <x v="0"/>
    <n v="3"/>
    <s v="Newer"/>
  </r>
  <r>
    <n v="24079316"/>
    <n v="2407931601"/>
    <n v="1"/>
    <x v="11"/>
    <x v="0"/>
    <n v="1259.6099999999999"/>
    <n v="1828.46"/>
    <x v="0"/>
    <n v="8"/>
    <s v="Mid-age"/>
  </r>
  <r>
    <n v="24079424"/>
    <n v="2407942401"/>
    <n v="1"/>
    <x v="5"/>
    <x v="0"/>
    <n v="928.96"/>
    <n v="416.35"/>
    <x v="0"/>
    <n v="6"/>
    <s v="Mid-age"/>
  </r>
  <r>
    <n v="24079521"/>
    <n v="2407952101"/>
    <n v="1"/>
    <x v="16"/>
    <x v="2"/>
    <n v="111.9"/>
    <n v="745.56"/>
    <x v="2"/>
    <n v="14"/>
    <s v="Older"/>
  </r>
  <r>
    <n v="24079568"/>
    <n v="2407956801"/>
    <n v="1"/>
    <x v="9"/>
    <x v="0"/>
    <n v="3868.41"/>
    <n v="922.42"/>
    <x v="0"/>
    <n v="2"/>
    <s v="Newer"/>
  </r>
  <r>
    <n v="24079598"/>
    <n v="2407959801"/>
    <n v="1"/>
    <x v="3"/>
    <x v="0"/>
    <n v="42"/>
    <n v="189.58"/>
    <x v="0"/>
    <n v="4"/>
    <s v="Mid-age"/>
  </r>
  <r>
    <n v="24079609"/>
    <n v="2407960901"/>
    <n v="1"/>
    <x v="2"/>
    <x v="0"/>
    <n v="3857.78"/>
    <n v="3311.15"/>
    <x v="0"/>
    <n v="12"/>
    <s v="Older"/>
  </r>
  <r>
    <n v="24079815"/>
    <n v="2407981501"/>
    <n v="1"/>
    <x v="2"/>
    <x v="0"/>
    <n v="1.35"/>
    <n v="246.68"/>
    <x v="0"/>
    <n v="12"/>
    <s v="Older"/>
  </r>
  <r>
    <n v="24079971"/>
    <n v="2407997101"/>
    <n v="1"/>
    <x v="17"/>
    <x v="0"/>
    <n v="1374.65"/>
    <n v="956.86"/>
    <x v="0"/>
    <n v="16"/>
    <s v="Older"/>
  </r>
  <r>
    <n v="24080394"/>
    <n v="2408039401"/>
    <n v="1"/>
    <x v="1"/>
    <x v="1"/>
    <n v="0.68"/>
    <n v="190.17"/>
    <x v="1"/>
    <n v="3"/>
    <s v="Newer"/>
  </r>
  <r>
    <n v="24080440"/>
    <n v="2408044001"/>
    <n v="1"/>
    <x v="16"/>
    <x v="0"/>
    <n v="1.35"/>
    <n v="184.49"/>
    <x v="0"/>
    <n v="14"/>
    <s v="Older"/>
  </r>
  <r>
    <n v="24080544"/>
    <n v="2408054401"/>
    <n v="1"/>
    <x v="14"/>
    <x v="0"/>
    <n v="0.45"/>
    <n v="68.239999999999995"/>
    <x v="0"/>
    <n v="10"/>
    <s v="Older"/>
  </r>
  <r>
    <n v="24080548"/>
    <n v="2408054801"/>
    <n v="1"/>
    <x v="10"/>
    <x v="0"/>
    <n v="1.35"/>
    <n v="121.25"/>
    <x v="0"/>
    <n v="5"/>
    <s v="Mid-age"/>
  </r>
  <r>
    <n v="24080649"/>
    <n v="2408064901"/>
    <n v="1"/>
    <x v="9"/>
    <x v="0"/>
    <n v="2077.83"/>
    <n v="1201.56"/>
    <x v="0"/>
    <n v="2"/>
    <s v="Newer"/>
  </r>
  <r>
    <n v="24080697"/>
    <n v="2408069701"/>
    <n v="1"/>
    <x v="2"/>
    <x v="0"/>
    <n v="0.68"/>
    <n v="112.34"/>
    <x v="0"/>
    <n v="12"/>
    <s v="Older"/>
  </r>
  <r>
    <n v="24080753"/>
    <n v="2408075301"/>
    <n v="1"/>
    <x v="1"/>
    <x v="0"/>
    <n v="0.68"/>
    <n v="348.85"/>
    <x v="0"/>
    <n v="3"/>
    <s v="Newer"/>
  </r>
  <r>
    <n v="24080843"/>
    <n v="2408084301"/>
    <n v="1"/>
    <x v="10"/>
    <x v="0"/>
    <n v="3854.14"/>
    <n v="875.67"/>
    <x v="0"/>
    <n v="5"/>
    <s v="Mid-age"/>
  </r>
  <r>
    <n v="24080920"/>
    <n v="2408092001"/>
    <n v="1"/>
    <x v="6"/>
    <x v="0"/>
    <n v="1.46"/>
    <n v="190.06"/>
    <x v="0"/>
    <n v="7"/>
    <s v="Mid-age"/>
  </r>
  <r>
    <n v="24081016"/>
    <n v="2408101601"/>
    <n v="1"/>
    <x v="6"/>
    <x v="0"/>
    <n v="1.92"/>
    <n v="135.16999999999999"/>
    <x v="0"/>
    <n v="7"/>
    <s v="Mid-age"/>
  </r>
  <r>
    <n v="24081309"/>
    <n v="2408130901"/>
    <n v="1"/>
    <x v="8"/>
    <x v="0"/>
    <n v="0.68"/>
    <n v="285.01"/>
    <x v="0"/>
    <n v="9"/>
    <s v="Mid-age"/>
  </r>
  <r>
    <n v="24081413"/>
    <n v="2408141301"/>
    <n v="1"/>
    <x v="1"/>
    <x v="0"/>
    <n v="18.54"/>
    <n v="438.04"/>
    <x v="0"/>
    <n v="3"/>
    <s v="Newer"/>
  </r>
  <r>
    <n v="24081456"/>
    <n v="2408145601"/>
    <n v="1"/>
    <x v="31"/>
    <x v="0"/>
    <n v="1.35"/>
    <n v="466.04"/>
    <x v="0"/>
    <n v="30"/>
    <s v="Very Old"/>
  </r>
  <r>
    <n v="24081492"/>
    <n v="2408149201"/>
    <n v="1"/>
    <x v="8"/>
    <x v="0"/>
    <n v="3065.49"/>
    <n v="305.62"/>
    <x v="0"/>
    <n v="9"/>
    <s v="Mid-age"/>
  </r>
  <r>
    <n v="24081517"/>
    <n v="2408151701"/>
    <n v="1"/>
    <x v="8"/>
    <x v="0"/>
    <n v="3.89"/>
    <n v="265.45"/>
    <x v="0"/>
    <n v="9"/>
    <s v="Mid-age"/>
  </r>
  <r>
    <n v="24081570"/>
    <n v="2408157001"/>
    <n v="1"/>
    <x v="24"/>
    <x v="0"/>
    <n v="1.35"/>
    <n v="240.1"/>
    <x v="0"/>
    <n v="15"/>
    <s v="Older"/>
  </r>
  <r>
    <n v="24081946"/>
    <n v="2408194601"/>
    <n v="1"/>
    <x v="8"/>
    <x v="0"/>
    <n v="242.86"/>
    <n v="653.04999999999995"/>
    <x v="0"/>
    <n v="9"/>
    <s v="Mid-age"/>
  </r>
  <r>
    <n v="24081990"/>
    <n v="2408199001"/>
    <n v="1"/>
    <x v="2"/>
    <x v="0"/>
    <n v="4544.67"/>
    <n v="3318.8"/>
    <x v="0"/>
    <n v="12"/>
    <s v="Older"/>
  </r>
  <r>
    <n v="24082038"/>
    <n v="2408203801"/>
    <n v="1"/>
    <x v="3"/>
    <x v="0"/>
    <n v="1.35"/>
    <n v="199.24"/>
    <x v="0"/>
    <n v="4"/>
    <s v="Mid-age"/>
  </r>
  <r>
    <n v="24082069"/>
    <n v="2408206901"/>
    <n v="1"/>
    <x v="18"/>
    <x v="2"/>
    <n v="1.59"/>
    <n v="169.83"/>
    <x v="2"/>
    <n v="11"/>
    <s v="Older"/>
  </r>
  <r>
    <n v="24082098"/>
    <n v="2408209801"/>
    <n v="1"/>
    <x v="30"/>
    <x v="0"/>
    <n v="403.13"/>
    <n v="209.32"/>
    <x v="0"/>
    <n v="25"/>
    <s v="Very Old"/>
  </r>
  <r>
    <n v="24082278"/>
    <n v="2408227801"/>
    <n v="1"/>
    <x v="10"/>
    <x v="0"/>
    <n v="0.81"/>
    <n v="233.03"/>
    <x v="0"/>
    <n v="5"/>
    <s v="Mid-age"/>
  </r>
  <r>
    <n v="24082364"/>
    <n v="2408236401"/>
    <n v="1"/>
    <x v="27"/>
    <x v="0"/>
    <n v="3854.09"/>
    <n v="3271.29"/>
    <x v="0"/>
    <n v="20"/>
    <s v="Very Old"/>
  </r>
  <r>
    <n v="24082421"/>
    <n v="2408242101"/>
    <n v="1"/>
    <x v="16"/>
    <x v="0"/>
    <n v="575.63"/>
    <n v="779.95"/>
    <x v="0"/>
    <n v="14"/>
    <s v="Older"/>
  </r>
  <r>
    <n v="24082452"/>
    <n v="2408245201"/>
    <n v="1"/>
    <x v="30"/>
    <x v="0"/>
    <n v="0.54"/>
    <n v="232.16"/>
    <x v="0"/>
    <n v="25"/>
    <s v="Very Old"/>
  </r>
  <r>
    <n v="24082470"/>
    <n v="2408247001"/>
    <n v="1"/>
    <x v="11"/>
    <x v="0"/>
    <n v="9232.27"/>
    <n v="5502.94"/>
    <x v="0"/>
    <n v="8"/>
    <s v="Mid-age"/>
  </r>
  <r>
    <n v="24082502"/>
    <n v="2408250201"/>
    <n v="1"/>
    <x v="6"/>
    <x v="0"/>
    <n v="0.81"/>
    <n v="102.08"/>
    <x v="0"/>
    <n v="7"/>
    <s v="Mid-age"/>
  </r>
  <r>
    <n v="24082618"/>
    <n v="2408261801"/>
    <n v="1"/>
    <x v="1"/>
    <x v="0"/>
    <n v="0.81"/>
    <n v="203.49"/>
    <x v="0"/>
    <n v="3"/>
    <s v="Newer"/>
  </r>
  <r>
    <n v="24082661"/>
    <n v="2408266101"/>
    <n v="1"/>
    <x v="5"/>
    <x v="0"/>
    <n v="1.62"/>
    <n v="144.80000000000001"/>
    <x v="0"/>
    <n v="6"/>
    <s v="Mid-age"/>
  </r>
  <r>
    <n v="24082801"/>
    <n v="2408280101"/>
    <n v="1"/>
    <x v="17"/>
    <x v="0"/>
    <n v="1150.8"/>
    <n v="938.55"/>
    <x v="0"/>
    <n v="16"/>
    <s v="Older"/>
  </r>
  <r>
    <n v="24082802"/>
    <n v="2408280201"/>
    <n v="1"/>
    <x v="9"/>
    <x v="4"/>
    <n v="2195.15"/>
    <n v="443.73"/>
    <x v="4"/>
    <n v="2"/>
    <s v="Newer"/>
  </r>
  <r>
    <n v="24082940"/>
    <n v="2408294001"/>
    <n v="1"/>
    <x v="2"/>
    <x v="0"/>
    <n v="1.62"/>
    <n v="119.15"/>
    <x v="0"/>
    <n v="12"/>
    <s v="Older"/>
  </r>
  <r>
    <n v="24082943"/>
    <n v="2408294301"/>
    <n v="1"/>
    <x v="6"/>
    <x v="0"/>
    <n v="6820.25"/>
    <n v="4843.28"/>
    <x v="0"/>
    <n v="7"/>
    <s v="Mid-age"/>
  </r>
  <r>
    <n v="24083000"/>
    <n v="2408300001"/>
    <n v="1"/>
    <x v="28"/>
    <x v="0"/>
    <n v="2212.4299999999998"/>
    <n v="1091.9100000000001"/>
    <x v="0"/>
    <n v="29"/>
    <s v="Very Old"/>
  </r>
  <r>
    <n v="24083393"/>
    <n v="2408339301"/>
    <n v="1"/>
    <x v="3"/>
    <x v="0"/>
    <n v="1.61"/>
    <n v="193.51"/>
    <x v="0"/>
    <n v="4"/>
    <s v="Mid-age"/>
  </r>
  <r>
    <n v="24083447"/>
    <n v="2408344701"/>
    <n v="1"/>
    <x v="2"/>
    <x v="0"/>
    <n v="1.61"/>
    <n v="702.43"/>
    <x v="0"/>
    <n v="12"/>
    <s v="Older"/>
  </r>
  <r>
    <n v="24083476"/>
    <n v="2408347601"/>
    <n v="1"/>
    <x v="10"/>
    <x v="0"/>
    <n v="568.78"/>
    <n v="736.51"/>
    <x v="0"/>
    <n v="5"/>
    <s v="Mid-age"/>
  </r>
  <r>
    <n v="24083543"/>
    <n v="2408354301"/>
    <n v="1"/>
    <x v="3"/>
    <x v="0"/>
    <n v="0.81"/>
    <n v="179.82"/>
    <x v="0"/>
    <n v="4"/>
    <s v="Mid-age"/>
  </r>
  <r>
    <n v="24083565"/>
    <n v="2408356501"/>
    <n v="1"/>
    <x v="18"/>
    <x v="0"/>
    <n v="2307.0500000000002"/>
    <n v="2005.17"/>
    <x v="0"/>
    <n v="11"/>
    <s v="Older"/>
  </r>
  <r>
    <n v="24083583"/>
    <n v="2408358301"/>
    <n v="1"/>
    <x v="20"/>
    <x v="0"/>
    <n v="0.81"/>
    <n v="203.84"/>
    <x v="0"/>
    <n v="22"/>
    <s v="Very Old"/>
  </r>
  <r>
    <n v="24083717"/>
    <n v="2408371701"/>
    <n v="1"/>
    <x v="22"/>
    <x v="0"/>
    <n v="68.61"/>
    <n v="742.83"/>
    <x v="0"/>
    <n v="18"/>
    <s v="Older"/>
  </r>
  <r>
    <n v="24083814"/>
    <n v="2408381401"/>
    <n v="1"/>
    <x v="24"/>
    <x v="0"/>
    <n v="54.39"/>
    <n v="428.33"/>
    <x v="0"/>
    <n v="15"/>
    <s v="Older"/>
  </r>
  <r>
    <n v="24083825"/>
    <n v="2408382501"/>
    <n v="1"/>
    <x v="3"/>
    <x v="0"/>
    <n v="0.54"/>
    <n v="241.59"/>
    <x v="0"/>
    <n v="4"/>
    <s v="Mid-age"/>
  </r>
  <r>
    <n v="24083990"/>
    <n v="2408399001"/>
    <n v="1"/>
    <x v="5"/>
    <x v="0"/>
    <n v="1972.55"/>
    <n v="2730.87"/>
    <x v="0"/>
    <n v="6"/>
    <s v="Mid-age"/>
  </r>
  <r>
    <n v="24084274"/>
    <n v="2408427401"/>
    <n v="1"/>
    <x v="3"/>
    <x v="0"/>
    <n v="0.81"/>
    <n v="391.24"/>
    <x v="0"/>
    <n v="4"/>
    <s v="Mid-age"/>
  </r>
  <r>
    <n v="24084387"/>
    <n v="2408438701"/>
    <n v="1"/>
    <x v="8"/>
    <x v="0"/>
    <n v="9227.81"/>
    <n v="2436.7800000000002"/>
    <x v="0"/>
    <n v="9"/>
    <s v="Mid-age"/>
  </r>
  <r>
    <n v="24084603"/>
    <n v="2408460301"/>
    <n v="1"/>
    <x v="20"/>
    <x v="0"/>
    <n v="252.22"/>
    <n v="574.51"/>
    <x v="0"/>
    <n v="22"/>
    <s v="Very Old"/>
  </r>
  <r>
    <n v="24084691"/>
    <n v="2408469101"/>
    <n v="1"/>
    <x v="0"/>
    <x v="0"/>
    <n v="4081.47"/>
    <n v="862.87"/>
    <x v="0"/>
    <n v="13"/>
    <s v="Older"/>
  </r>
  <r>
    <n v="24084972"/>
    <n v="2408497201"/>
    <n v="1"/>
    <x v="32"/>
    <x v="0"/>
    <n v="0.81"/>
    <n v="271.41000000000003"/>
    <x v="0"/>
    <n v="32"/>
    <s v="Very Old"/>
  </r>
  <r>
    <n v="24085010"/>
    <n v="2408501001"/>
    <n v="1"/>
    <x v="17"/>
    <x v="0"/>
    <n v="1930.99"/>
    <n v="205.62"/>
    <x v="0"/>
    <n v="16"/>
    <s v="Older"/>
  </r>
  <r>
    <n v="24085186"/>
    <n v="2408518601"/>
    <n v="1"/>
    <x v="16"/>
    <x v="0"/>
    <n v="0.81"/>
    <n v="122.3"/>
    <x v="0"/>
    <n v="14"/>
    <s v="Older"/>
  </r>
  <r>
    <n v="24085354"/>
    <n v="2408535401"/>
    <n v="1"/>
    <x v="3"/>
    <x v="0"/>
    <n v="1817.78"/>
    <n v="520.33000000000004"/>
    <x v="0"/>
    <n v="4"/>
    <s v="Mid-age"/>
  </r>
  <r>
    <n v="24085357"/>
    <n v="2408535701"/>
    <n v="1"/>
    <x v="3"/>
    <x v="0"/>
    <n v="196"/>
    <n v="222.01"/>
    <x v="0"/>
    <n v="4"/>
    <s v="Mid-age"/>
  </r>
  <r>
    <n v="24085361"/>
    <n v="2408536101"/>
    <n v="1"/>
    <x v="5"/>
    <x v="0"/>
    <n v="0.32"/>
    <n v="161.41"/>
    <x v="0"/>
    <n v="6"/>
    <s v="Mid-age"/>
  </r>
  <r>
    <n v="24085445"/>
    <n v="2408544501"/>
    <n v="1"/>
    <x v="20"/>
    <x v="0"/>
    <n v="18.79"/>
    <n v="2130.16"/>
    <x v="0"/>
    <n v="22"/>
    <s v="Very Old"/>
  </r>
  <r>
    <n v="24085447"/>
    <n v="2408544701"/>
    <n v="1"/>
    <x v="5"/>
    <x v="2"/>
    <n v="5006.29"/>
    <n v="489.9"/>
    <x v="2"/>
    <n v="6"/>
    <s v="Mid-age"/>
  </r>
  <r>
    <n v="24085606"/>
    <n v="2408560601"/>
    <n v="1"/>
    <x v="14"/>
    <x v="0"/>
    <n v="436.52"/>
    <n v="756.12"/>
    <x v="0"/>
    <n v="10"/>
    <s v="Older"/>
  </r>
  <r>
    <n v="24085870"/>
    <n v="2408587001"/>
    <n v="1"/>
    <x v="1"/>
    <x v="0"/>
    <n v="0.6"/>
    <n v="63.55"/>
    <x v="0"/>
    <n v="3"/>
    <s v="Newer"/>
  </r>
  <r>
    <n v="24086094"/>
    <n v="2408609401"/>
    <n v="1"/>
    <x v="17"/>
    <x v="0"/>
    <n v="5.95"/>
    <n v="519.63"/>
    <x v="0"/>
    <n v="16"/>
    <s v="Older"/>
  </r>
  <r>
    <n v="24086263"/>
    <n v="2408626301"/>
    <n v="1"/>
    <x v="2"/>
    <x v="0"/>
    <n v="0.6"/>
    <n v="116.75"/>
    <x v="0"/>
    <n v="12"/>
    <s v="Older"/>
  </r>
  <r>
    <n v="24086327"/>
    <n v="2408632701"/>
    <n v="1"/>
    <x v="19"/>
    <x v="0"/>
    <n v="0.6"/>
    <n v="92.69"/>
    <x v="0"/>
    <n v="17"/>
    <s v="Older"/>
  </r>
  <r>
    <n v="24086398"/>
    <n v="2408639801"/>
    <n v="1"/>
    <x v="14"/>
    <x v="0"/>
    <n v="6091.95"/>
    <n v="2665.02"/>
    <x v="0"/>
    <n v="10"/>
    <s v="Older"/>
  </r>
  <r>
    <n v="24086403"/>
    <n v="2408640301"/>
    <n v="1"/>
    <x v="22"/>
    <x v="0"/>
    <n v="3046.17"/>
    <n v="2143.4499999999998"/>
    <x v="0"/>
    <n v="18"/>
    <s v="Older"/>
  </r>
  <r>
    <n v="24086438"/>
    <n v="2408643801"/>
    <n v="1"/>
    <x v="14"/>
    <x v="0"/>
    <n v="1630.92"/>
    <n v="1036.26"/>
    <x v="0"/>
    <n v="10"/>
    <s v="Older"/>
  </r>
  <r>
    <n v="24086574"/>
    <n v="2408657401"/>
    <n v="1"/>
    <x v="2"/>
    <x v="0"/>
    <n v="0.4"/>
    <n v="194.29"/>
    <x v="0"/>
    <n v="12"/>
    <s v="Older"/>
  </r>
  <r>
    <n v="24086583"/>
    <n v="2408658301"/>
    <n v="1"/>
    <x v="5"/>
    <x v="0"/>
    <n v="3046.2"/>
    <n v="2999.18"/>
    <x v="0"/>
    <n v="6"/>
    <s v="Mid-age"/>
  </r>
  <r>
    <n v="24086739"/>
    <n v="2408673901"/>
    <n v="1"/>
    <x v="11"/>
    <x v="0"/>
    <n v="1.2"/>
    <n v="206.5"/>
    <x v="0"/>
    <n v="8"/>
    <s v="Mid-age"/>
  </r>
  <r>
    <n v="24086802"/>
    <n v="2408680201"/>
    <n v="1"/>
    <x v="19"/>
    <x v="0"/>
    <n v="0.6"/>
    <n v="347.42"/>
    <x v="0"/>
    <n v="17"/>
    <s v="Older"/>
  </r>
  <r>
    <n v="24086810"/>
    <n v="2408681001"/>
    <n v="1"/>
    <x v="6"/>
    <x v="0"/>
    <n v="0.6"/>
    <n v="147.29"/>
    <x v="0"/>
    <n v="7"/>
    <s v="Mid-age"/>
  </r>
  <r>
    <n v="24087033"/>
    <n v="2408703301"/>
    <n v="1"/>
    <x v="8"/>
    <x v="0"/>
    <n v="1.2"/>
    <n v="108.2"/>
    <x v="0"/>
    <n v="9"/>
    <s v="Mid-age"/>
  </r>
  <r>
    <n v="24087157"/>
    <n v="2408715701"/>
    <n v="1"/>
    <x v="6"/>
    <x v="0"/>
    <n v="2657.98"/>
    <n v="246.87"/>
    <x v="0"/>
    <n v="7"/>
    <s v="Mid-age"/>
  </r>
  <r>
    <n v="24087198"/>
    <n v="2408719801"/>
    <n v="1"/>
    <x v="10"/>
    <x v="0"/>
    <n v="2.74"/>
    <n v="776.58"/>
    <x v="0"/>
    <n v="5"/>
    <s v="Mid-age"/>
  </r>
  <r>
    <n v="24087672"/>
    <n v="2408767201"/>
    <n v="1"/>
    <x v="1"/>
    <x v="0"/>
    <n v="0.6"/>
    <n v="56.94"/>
    <x v="0"/>
    <n v="3"/>
    <s v="Newer"/>
  </r>
  <r>
    <n v="24087771"/>
    <n v="2408777101"/>
    <n v="1"/>
    <x v="5"/>
    <x v="0"/>
    <n v="0.52"/>
    <n v="276.25"/>
    <x v="0"/>
    <n v="6"/>
    <s v="Mid-age"/>
  </r>
  <r>
    <n v="24088167"/>
    <n v="2408816701"/>
    <n v="1"/>
    <x v="8"/>
    <x v="0"/>
    <n v="2.17"/>
    <n v="1134.3"/>
    <x v="0"/>
    <n v="9"/>
    <s v="Mid-age"/>
  </r>
  <r>
    <n v="24088218"/>
    <n v="2408821801"/>
    <n v="1"/>
    <x v="5"/>
    <x v="0"/>
    <n v="3045.52"/>
    <n v="2034.52"/>
    <x v="0"/>
    <n v="6"/>
    <s v="Mid-age"/>
  </r>
  <r>
    <n v="24088241"/>
    <n v="2408824101"/>
    <n v="1"/>
    <x v="1"/>
    <x v="0"/>
    <n v="5026.32"/>
    <n v="1362.53"/>
    <x v="0"/>
    <n v="3"/>
    <s v="Newer"/>
  </r>
  <r>
    <n v="24088246"/>
    <n v="2408824601"/>
    <n v="1"/>
    <x v="5"/>
    <x v="0"/>
    <n v="5251.08"/>
    <n v="608.57000000000005"/>
    <x v="0"/>
    <n v="6"/>
    <s v="Mid-age"/>
  </r>
  <r>
    <n v="24088272"/>
    <n v="2408827201"/>
    <n v="1"/>
    <x v="16"/>
    <x v="0"/>
    <n v="1.21"/>
    <n v="226.87"/>
    <x v="0"/>
    <n v="14"/>
    <s v="Older"/>
  </r>
  <r>
    <n v="24088349"/>
    <n v="2408834901"/>
    <n v="1"/>
    <x v="27"/>
    <x v="0"/>
    <n v="1.21"/>
    <n v="456.26"/>
    <x v="0"/>
    <n v="20"/>
    <s v="Very Old"/>
  </r>
  <r>
    <n v="24088383"/>
    <n v="2408838301"/>
    <n v="1"/>
    <x v="16"/>
    <x v="0"/>
    <n v="132.69"/>
    <n v="226.51"/>
    <x v="0"/>
    <n v="14"/>
    <s v="Older"/>
  </r>
  <r>
    <n v="24088414"/>
    <n v="2408841401"/>
    <n v="1"/>
    <x v="11"/>
    <x v="0"/>
    <n v="513.85"/>
    <n v="488.59"/>
    <x v="0"/>
    <n v="8"/>
    <s v="Mid-age"/>
  </r>
  <r>
    <n v="24088615"/>
    <n v="2408861501"/>
    <n v="1"/>
    <x v="5"/>
    <x v="0"/>
    <n v="1.2"/>
    <n v="161.09"/>
    <x v="0"/>
    <n v="6"/>
    <s v="Mid-age"/>
  </r>
  <r>
    <n v="24088827"/>
    <n v="2408882701"/>
    <n v="1"/>
    <x v="22"/>
    <x v="0"/>
    <n v="2029.2"/>
    <n v="908.28"/>
    <x v="0"/>
    <n v="18"/>
    <s v="Older"/>
  </r>
  <r>
    <n v="24089062"/>
    <n v="2408906201"/>
    <n v="1"/>
    <x v="18"/>
    <x v="0"/>
    <n v="0.6"/>
    <n v="126.52"/>
    <x v="0"/>
    <n v="11"/>
    <s v="Older"/>
  </r>
  <r>
    <n v="24089251"/>
    <n v="2408925101"/>
    <n v="1"/>
    <x v="1"/>
    <x v="0"/>
    <n v="4.38"/>
    <n v="311.66000000000003"/>
    <x v="0"/>
    <n v="3"/>
    <s v="Newer"/>
  </r>
  <r>
    <n v="24089318"/>
    <n v="2408931801"/>
    <n v="1"/>
    <x v="3"/>
    <x v="4"/>
    <n v="8.33"/>
    <n v="346.82"/>
    <x v="4"/>
    <n v="4"/>
    <s v="Mid-age"/>
  </r>
  <r>
    <n v="24089409"/>
    <n v="2408940901"/>
    <n v="1"/>
    <x v="8"/>
    <x v="0"/>
    <n v="607.61"/>
    <n v="479.69"/>
    <x v="0"/>
    <n v="9"/>
    <s v="Mid-age"/>
  </r>
  <r>
    <n v="24089574"/>
    <n v="2408957401"/>
    <n v="1"/>
    <x v="14"/>
    <x v="0"/>
    <n v="1.2"/>
    <n v="349.93"/>
    <x v="0"/>
    <n v="10"/>
    <s v="Older"/>
  </r>
  <r>
    <n v="24089631"/>
    <n v="2408963101"/>
    <n v="1"/>
    <x v="8"/>
    <x v="0"/>
    <n v="351.39"/>
    <n v="922.91"/>
    <x v="0"/>
    <n v="9"/>
    <s v="Mid-age"/>
  </r>
  <r>
    <n v="24089679"/>
    <n v="2408967901"/>
    <n v="1"/>
    <x v="8"/>
    <x v="0"/>
    <n v="3046.22"/>
    <n v="2509.4"/>
    <x v="0"/>
    <n v="9"/>
    <s v="Mid-age"/>
  </r>
  <r>
    <n v="24089893"/>
    <n v="2408989301"/>
    <n v="1"/>
    <x v="2"/>
    <x v="0"/>
    <n v="0.6"/>
    <n v="203.3"/>
    <x v="0"/>
    <n v="12"/>
    <s v="Older"/>
  </r>
  <r>
    <n v="24089938"/>
    <n v="2408993801"/>
    <n v="1"/>
    <x v="18"/>
    <x v="0"/>
    <n v="1509.63"/>
    <n v="341.39"/>
    <x v="0"/>
    <n v="11"/>
    <s v="Older"/>
  </r>
  <r>
    <n v="24090079"/>
    <n v="2409007901"/>
    <n v="1"/>
    <x v="10"/>
    <x v="2"/>
    <n v="0.6"/>
    <n v="319.77999999999997"/>
    <x v="2"/>
    <n v="5"/>
    <s v="Mid-age"/>
  </r>
  <r>
    <n v="24090132"/>
    <n v="2409013201"/>
    <n v="1"/>
    <x v="2"/>
    <x v="0"/>
    <n v="1.2"/>
    <n v="566.42999999999995"/>
    <x v="0"/>
    <n v="12"/>
    <s v="Older"/>
  </r>
  <r>
    <n v="24090273"/>
    <n v="2409027301"/>
    <n v="1"/>
    <x v="5"/>
    <x v="0"/>
    <n v="8.33"/>
    <n v="346.82"/>
    <x v="0"/>
    <n v="6"/>
    <s v="Mid-age"/>
  </r>
  <r>
    <n v="24090350"/>
    <n v="2409035001"/>
    <n v="1"/>
    <x v="11"/>
    <x v="0"/>
    <n v="0.45"/>
    <n v="366.64"/>
    <x v="0"/>
    <n v="8"/>
    <s v="Mid-age"/>
  </r>
  <r>
    <n v="24090421"/>
    <n v="2409042101"/>
    <n v="1"/>
    <x v="6"/>
    <x v="0"/>
    <n v="0.78"/>
    <n v="356.27"/>
    <x v="0"/>
    <n v="7"/>
    <s v="Mid-age"/>
  </r>
  <r>
    <n v="24090429"/>
    <n v="2409042901"/>
    <n v="1"/>
    <x v="24"/>
    <x v="0"/>
    <n v="2.64"/>
    <n v="665.29"/>
    <x v="0"/>
    <n v="15"/>
    <s v="Older"/>
  </r>
  <r>
    <n v="24090473"/>
    <n v="2409047301"/>
    <n v="1"/>
    <x v="11"/>
    <x v="0"/>
    <n v="0.6"/>
    <n v="117.6"/>
    <x v="0"/>
    <n v="8"/>
    <s v="Mid-age"/>
  </r>
  <r>
    <n v="24090482"/>
    <n v="2409048201"/>
    <n v="1"/>
    <x v="11"/>
    <x v="0"/>
    <n v="0.6"/>
    <n v="311.83"/>
    <x v="0"/>
    <n v="8"/>
    <s v="Mid-age"/>
  </r>
  <r>
    <n v="24090488"/>
    <n v="2409048801"/>
    <n v="1"/>
    <x v="0"/>
    <x v="0"/>
    <n v="0.6"/>
    <n v="100.25"/>
    <x v="0"/>
    <n v="13"/>
    <s v="Older"/>
  </r>
  <r>
    <n v="24090546"/>
    <n v="2409054601"/>
    <n v="1"/>
    <x v="18"/>
    <x v="0"/>
    <n v="0.47"/>
    <n v="194.94"/>
    <x v="0"/>
    <n v="11"/>
    <s v="Older"/>
  </r>
  <r>
    <n v="24090575"/>
    <n v="2409057501"/>
    <n v="1"/>
    <x v="12"/>
    <x v="0"/>
    <n v="1.2"/>
    <n v="275"/>
    <x v="0"/>
    <n v="19"/>
    <s v="Older"/>
  </r>
  <r>
    <n v="24090587"/>
    <n v="2409058701"/>
    <n v="1"/>
    <x v="1"/>
    <x v="0"/>
    <n v="0.6"/>
    <n v="640.15"/>
    <x v="0"/>
    <n v="3"/>
    <s v="Newer"/>
  </r>
  <r>
    <n v="24090696"/>
    <n v="2409069601"/>
    <n v="1"/>
    <x v="18"/>
    <x v="0"/>
    <n v="0.6"/>
    <n v="477.94"/>
    <x v="0"/>
    <n v="11"/>
    <s v="Older"/>
  </r>
  <r>
    <n v="24090704"/>
    <n v="2409070401"/>
    <n v="1"/>
    <x v="8"/>
    <x v="1"/>
    <n v="3046.1"/>
    <n v="329.83"/>
    <x v="1"/>
    <n v="9"/>
    <s v="Mid-age"/>
  </r>
  <r>
    <n v="24090952"/>
    <n v="2409095201"/>
    <n v="1"/>
    <x v="18"/>
    <x v="0"/>
    <n v="3044.12"/>
    <n v="1417.56"/>
    <x v="0"/>
    <n v="11"/>
    <s v="Older"/>
  </r>
  <r>
    <n v="24091111"/>
    <n v="2409111101"/>
    <n v="1"/>
    <x v="5"/>
    <x v="0"/>
    <n v="4229.26"/>
    <n v="2324.4899999999998"/>
    <x v="0"/>
    <n v="6"/>
    <s v="Mid-age"/>
  </r>
  <r>
    <n v="24091217"/>
    <n v="2409121701"/>
    <n v="1"/>
    <x v="18"/>
    <x v="0"/>
    <n v="726.58"/>
    <n v="403.24"/>
    <x v="0"/>
    <n v="11"/>
    <s v="Older"/>
  </r>
  <r>
    <n v="24091261"/>
    <n v="2409126101"/>
    <n v="1"/>
    <x v="17"/>
    <x v="0"/>
    <n v="94.8"/>
    <n v="312.51"/>
    <x v="0"/>
    <n v="16"/>
    <s v="Older"/>
  </r>
  <r>
    <n v="24091293"/>
    <n v="2409129301"/>
    <n v="1"/>
    <x v="3"/>
    <x v="0"/>
    <n v="0.6"/>
    <n v="190.92"/>
    <x v="0"/>
    <n v="4"/>
    <s v="Mid-age"/>
  </r>
  <r>
    <n v="24091343"/>
    <n v="2409134301"/>
    <n v="1"/>
    <x v="17"/>
    <x v="0"/>
    <n v="0.6"/>
    <n v="511.65"/>
    <x v="0"/>
    <n v="16"/>
    <s v="Older"/>
  </r>
  <r>
    <n v="24091360"/>
    <n v="2409136001"/>
    <n v="1"/>
    <x v="0"/>
    <x v="0"/>
    <n v="534.33000000000004"/>
    <n v="805.5"/>
    <x v="0"/>
    <n v="13"/>
    <s v="Older"/>
  </r>
  <r>
    <n v="24091740"/>
    <n v="2409174001"/>
    <n v="1"/>
    <x v="5"/>
    <x v="0"/>
    <n v="394.91"/>
    <n v="359.31"/>
    <x v="0"/>
    <n v="6"/>
    <s v="Mid-age"/>
  </r>
  <r>
    <n v="24091919"/>
    <n v="2409191901"/>
    <n v="1"/>
    <x v="22"/>
    <x v="0"/>
    <n v="0.6"/>
    <n v="179.12"/>
    <x v="0"/>
    <n v="18"/>
    <s v="Older"/>
  </r>
  <r>
    <n v="24091948"/>
    <n v="2409194801"/>
    <n v="1"/>
    <x v="1"/>
    <x v="0"/>
    <n v="0.6"/>
    <n v="109.66"/>
    <x v="0"/>
    <n v="3"/>
    <s v="Newer"/>
  </r>
  <r>
    <n v="24091984"/>
    <n v="2409198401"/>
    <n v="1"/>
    <x v="1"/>
    <x v="0"/>
    <n v="30.68"/>
    <n v="388.42"/>
    <x v="0"/>
    <n v="3"/>
    <s v="Newer"/>
  </r>
  <r>
    <n v="24092305"/>
    <n v="2409230501"/>
    <n v="1"/>
    <x v="11"/>
    <x v="0"/>
    <n v="0.6"/>
    <n v="358.07"/>
    <x v="0"/>
    <n v="8"/>
    <s v="Mid-age"/>
  </r>
  <r>
    <n v="24092435"/>
    <n v="2409243501"/>
    <n v="1"/>
    <x v="27"/>
    <x v="0"/>
    <n v="8.33"/>
    <n v="169.4"/>
    <x v="0"/>
    <n v="20"/>
    <s v="Very Old"/>
  </r>
  <r>
    <n v="24092571"/>
    <n v="2409257101"/>
    <n v="1"/>
    <x v="16"/>
    <x v="2"/>
    <n v="798.77"/>
    <n v="1058.8800000000001"/>
    <x v="2"/>
    <n v="14"/>
    <s v="Older"/>
  </r>
  <r>
    <n v="24092683"/>
    <n v="2409268301"/>
    <n v="1"/>
    <x v="6"/>
    <x v="0"/>
    <n v="1.2"/>
    <n v="198.08"/>
    <x v="0"/>
    <n v="7"/>
    <s v="Mid-age"/>
  </r>
  <r>
    <n v="24092798"/>
    <n v="2409279801"/>
    <n v="1"/>
    <x v="14"/>
    <x v="0"/>
    <n v="0.6"/>
    <n v="311.83"/>
    <x v="0"/>
    <n v="10"/>
    <s v="Older"/>
  </r>
  <r>
    <n v="24092805"/>
    <n v="2409280501"/>
    <n v="1"/>
    <x v="1"/>
    <x v="1"/>
    <n v="25.77"/>
    <n v="122.12"/>
    <x v="1"/>
    <n v="3"/>
    <s v="Newer"/>
  </r>
  <r>
    <n v="24092809"/>
    <n v="2409280901"/>
    <n v="1"/>
    <x v="8"/>
    <x v="0"/>
    <n v="1079.02"/>
    <n v="616.57000000000005"/>
    <x v="0"/>
    <n v="9"/>
    <s v="Mid-age"/>
  </r>
  <r>
    <n v="24092847"/>
    <n v="2409284701"/>
    <n v="1"/>
    <x v="16"/>
    <x v="0"/>
    <n v="0.6"/>
    <n v="86.58"/>
    <x v="0"/>
    <n v="14"/>
    <s v="Older"/>
  </r>
  <r>
    <n v="24092882"/>
    <n v="2409288201"/>
    <n v="1"/>
    <x v="17"/>
    <x v="0"/>
    <n v="0.4"/>
    <n v="118.64"/>
    <x v="0"/>
    <n v="16"/>
    <s v="Older"/>
  </r>
  <r>
    <n v="24092926"/>
    <n v="2409292601"/>
    <n v="1"/>
    <x v="5"/>
    <x v="0"/>
    <n v="1658.85"/>
    <n v="1714.89"/>
    <x v="0"/>
    <n v="6"/>
    <s v="Mid-age"/>
  </r>
  <r>
    <n v="24092927"/>
    <n v="2409292701"/>
    <n v="1"/>
    <x v="19"/>
    <x v="0"/>
    <n v="78.7"/>
    <n v="1206.6199999999999"/>
    <x v="0"/>
    <n v="17"/>
    <s v="Older"/>
  </r>
  <r>
    <n v="24093002"/>
    <n v="2409300201"/>
    <n v="1"/>
    <x v="17"/>
    <x v="0"/>
    <n v="7.44"/>
    <n v="260.64999999999998"/>
    <x v="0"/>
    <n v="16"/>
    <s v="Older"/>
  </r>
  <r>
    <n v="24093301"/>
    <n v="2409330101"/>
    <n v="1"/>
    <x v="5"/>
    <x v="0"/>
    <n v="5.95"/>
    <n v="519.63"/>
    <x v="0"/>
    <n v="6"/>
    <s v="Mid-age"/>
  </r>
  <r>
    <n v="24093311"/>
    <n v="2409331101"/>
    <n v="1"/>
    <x v="12"/>
    <x v="0"/>
    <n v="1.2"/>
    <n v="62.42"/>
    <x v="0"/>
    <n v="19"/>
    <s v="Older"/>
  </r>
  <r>
    <n v="24093399"/>
    <n v="2409339901"/>
    <n v="1"/>
    <x v="5"/>
    <x v="0"/>
    <n v="2030.13"/>
    <n v="1172.32"/>
    <x v="0"/>
    <n v="6"/>
    <s v="Mid-age"/>
  </r>
  <r>
    <n v="24093451"/>
    <n v="2409345101"/>
    <n v="1"/>
    <x v="18"/>
    <x v="0"/>
    <n v="1.2"/>
    <n v="535.44000000000005"/>
    <x v="0"/>
    <n v="11"/>
    <s v="Older"/>
  </r>
  <r>
    <n v="24093646"/>
    <n v="2409364601"/>
    <n v="1"/>
    <x v="19"/>
    <x v="0"/>
    <n v="513.85"/>
    <n v="488.59"/>
    <x v="0"/>
    <n v="17"/>
    <s v="Older"/>
  </r>
  <r>
    <n v="24093674"/>
    <n v="2409367401"/>
    <n v="1"/>
    <x v="6"/>
    <x v="0"/>
    <n v="0.6"/>
    <n v="292.33999999999997"/>
    <x v="0"/>
    <n v="7"/>
    <s v="Mid-age"/>
  </r>
  <r>
    <n v="24093682"/>
    <n v="2409368201"/>
    <n v="1"/>
    <x v="6"/>
    <x v="0"/>
    <n v="3045.86"/>
    <n v="951.29"/>
    <x v="0"/>
    <n v="7"/>
    <s v="Mid-age"/>
  </r>
  <r>
    <n v="24093701"/>
    <n v="2409370101"/>
    <n v="1"/>
    <x v="5"/>
    <x v="0"/>
    <n v="763.29"/>
    <n v="617.54"/>
    <x v="0"/>
    <n v="6"/>
    <s v="Mid-age"/>
  </r>
  <r>
    <n v="24093792"/>
    <n v="2409379201"/>
    <n v="1"/>
    <x v="10"/>
    <x v="0"/>
    <n v="1522.18"/>
    <n v="300.49"/>
    <x v="0"/>
    <n v="5"/>
    <s v="Mid-age"/>
  </r>
  <r>
    <n v="24093879"/>
    <n v="2409387901"/>
    <n v="1"/>
    <x v="24"/>
    <x v="0"/>
    <n v="0.6"/>
    <n v="347.42"/>
    <x v="0"/>
    <n v="15"/>
    <s v="Older"/>
  </r>
  <r>
    <n v="24093885"/>
    <n v="2409388501"/>
    <n v="1"/>
    <x v="12"/>
    <x v="0"/>
    <n v="200.18"/>
    <n v="853.84"/>
    <x v="0"/>
    <n v="19"/>
    <s v="Older"/>
  </r>
  <r>
    <n v="24093893"/>
    <n v="2409389301"/>
    <n v="1"/>
    <x v="6"/>
    <x v="0"/>
    <n v="563.41"/>
    <n v="390.66"/>
    <x v="0"/>
    <n v="7"/>
    <s v="Mid-age"/>
  </r>
  <r>
    <n v="24093898"/>
    <n v="2409389801"/>
    <n v="1"/>
    <x v="6"/>
    <x v="0"/>
    <n v="1.21"/>
    <n v="210.66"/>
    <x v="0"/>
    <n v="7"/>
    <s v="Mid-age"/>
  </r>
  <r>
    <n v="24094005"/>
    <n v="2409400501"/>
    <n v="1"/>
    <x v="1"/>
    <x v="0"/>
    <n v="2030.79"/>
    <n v="1997.85"/>
    <x v="0"/>
    <n v="3"/>
    <s v="Newer"/>
  </r>
  <r>
    <n v="24094118"/>
    <n v="2409411801"/>
    <n v="1"/>
    <x v="4"/>
    <x v="0"/>
    <n v="0.6"/>
    <n v="347.42"/>
    <x v="0"/>
    <n v="21"/>
    <s v="Very Old"/>
  </r>
  <r>
    <n v="24094180"/>
    <n v="2409418001"/>
    <n v="1"/>
    <x v="16"/>
    <x v="0"/>
    <n v="0.6"/>
    <n v="347.42"/>
    <x v="0"/>
    <n v="14"/>
    <s v="Older"/>
  </r>
  <r>
    <n v="24094290"/>
    <n v="2409429001"/>
    <n v="1"/>
    <x v="1"/>
    <x v="2"/>
    <n v="1.54"/>
    <n v="329.42"/>
    <x v="2"/>
    <n v="3"/>
    <s v="Newer"/>
  </r>
  <r>
    <n v="24094393"/>
    <n v="2409439301"/>
    <n v="1"/>
    <x v="11"/>
    <x v="0"/>
    <n v="1.21"/>
    <n v="226.87"/>
    <x v="0"/>
    <n v="8"/>
    <s v="Mid-age"/>
  </r>
  <r>
    <n v="24094422"/>
    <n v="2409442201"/>
    <n v="1"/>
    <x v="15"/>
    <x v="0"/>
    <n v="0.4"/>
    <n v="162.02000000000001"/>
    <x v="0"/>
    <n v="26"/>
    <s v="Very Old"/>
  </r>
  <r>
    <n v="24094498"/>
    <n v="2409449801"/>
    <n v="1"/>
    <x v="30"/>
    <x v="0"/>
    <n v="513.85"/>
    <n v="1000.3"/>
    <x v="0"/>
    <n v="25"/>
    <s v="Very Old"/>
  </r>
  <r>
    <n v="24094522"/>
    <n v="2409452201"/>
    <n v="1"/>
    <x v="5"/>
    <x v="0"/>
    <n v="2449.17"/>
    <n v="586.54"/>
    <x v="0"/>
    <n v="6"/>
    <s v="Mid-age"/>
  </r>
  <r>
    <n v="24094603"/>
    <n v="2409460301"/>
    <n v="1"/>
    <x v="10"/>
    <x v="0"/>
    <n v="1.2"/>
    <n v="83.46"/>
    <x v="0"/>
    <n v="5"/>
    <s v="Mid-age"/>
  </r>
  <r>
    <n v="24094609"/>
    <n v="2409460901"/>
    <n v="1"/>
    <x v="18"/>
    <x v="0"/>
    <n v="0.6"/>
    <n v="152.31"/>
    <x v="0"/>
    <n v="11"/>
    <s v="Older"/>
  </r>
  <r>
    <n v="24094754"/>
    <n v="2409475401"/>
    <n v="1"/>
    <x v="16"/>
    <x v="0"/>
    <n v="1.2"/>
    <n v="138.53"/>
    <x v="0"/>
    <n v="14"/>
    <s v="Older"/>
  </r>
  <r>
    <n v="24094755"/>
    <n v="2409475501"/>
    <n v="1"/>
    <x v="1"/>
    <x v="0"/>
    <n v="2019.31"/>
    <n v="789.36"/>
    <x v="0"/>
    <n v="3"/>
    <s v="Newer"/>
  </r>
  <r>
    <n v="24094887"/>
    <n v="2409488701"/>
    <n v="1"/>
    <x v="2"/>
    <x v="0"/>
    <n v="2029.98"/>
    <n v="631.01"/>
    <x v="0"/>
    <n v="12"/>
    <s v="Older"/>
  </r>
  <r>
    <n v="24094901"/>
    <n v="2409490101"/>
    <n v="1"/>
    <x v="1"/>
    <x v="0"/>
    <n v="0.6"/>
    <n v="142.79"/>
    <x v="0"/>
    <n v="3"/>
    <s v="Newer"/>
  </r>
  <r>
    <n v="24094909"/>
    <n v="2409490901"/>
    <n v="1"/>
    <x v="1"/>
    <x v="2"/>
    <n v="1015.36"/>
    <n v="243.56"/>
    <x v="2"/>
    <n v="3"/>
    <s v="Newer"/>
  </r>
  <r>
    <n v="24094926"/>
    <n v="2409492601"/>
    <n v="1"/>
    <x v="0"/>
    <x v="0"/>
    <n v="197.16"/>
    <n v="1149.83"/>
    <x v="0"/>
    <n v="13"/>
    <s v="Older"/>
  </r>
  <r>
    <n v="24095136"/>
    <n v="2409513601"/>
    <n v="1"/>
    <x v="8"/>
    <x v="0"/>
    <n v="0.6"/>
    <n v="311.83"/>
    <x v="0"/>
    <n v="9"/>
    <s v="Mid-age"/>
  </r>
  <r>
    <n v="24095151"/>
    <n v="2409515101"/>
    <n v="1"/>
    <x v="14"/>
    <x v="0"/>
    <n v="1218"/>
    <n v="408.37"/>
    <x v="0"/>
    <n v="10"/>
    <s v="Older"/>
  </r>
  <r>
    <n v="24095379"/>
    <n v="2409537901"/>
    <n v="1"/>
    <x v="3"/>
    <x v="0"/>
    <n v="894.08"/>
    <n v="753.79"/>
    <x v="0"/>
    <n v="4"/>
    <s v="Mid-age"/>
  </r>
  <r>
    <n v="24095560"/>
    <n v="2409556001"/>
    <n v="1"/>
    <x v="1"/>
    <x v="0"/>
    <n v="1.1000000000000001"/>
    <n v="349.85"/>
    <x v="0"/>
    <n v="3"/>
    <s v="Newer"/>
  </r>
  <r>
    <n v="24095561"/>
    <n v="2409556101"/>
    <n v="1"/>
    <x v="30"/>
    <x v="0"/>
    <n v="1.04"/>
    <n v="192.53"/>
    <x v="0"/>
    <n v="25"/>
    <s v="Very Old"/>
  </r>
  <r>
    <n v="24095595"/>
    <n v="2409559501"/>
    <n v="1"/>
    <x v="6"/>
    <x v="0"/>
    <n v="0.52"/>
    <n v="114.21"/>
    <x v="0"/>
    <n v="7"/>
    <s v="Mid-age"/>
  </r>
  <r>
    <n v="24095666"/>
    <n v="2409566601"/>
    <n v="1"/>
    <x v="11"/>
    <x v="0"/>
    <n v="2238.63"/>
    <n v="1922.19"/>
    <x v="0"/>
    <n v="8"/>
    <s v="Mid-age"/>
  </r>
  <r>
    <n v="24095750"/>
    <n v="2409575001"/>
    <n v="1"/>
    <x v="5"/>
    <x v="0"/>
    <n v="1.04"/>
    <n v="279.62"/>
    <x v="0"/>
    <n v="6"/>
    <s v="Mid-age"/>
  </r>
  <r>
    <n v="24095783"/>
    <n v="2409578301"/>
    <n v="1"/>
    <x v="25"/>
    <x v="0"/>
    <n v="179.25"/>
    <n v="861.02"/>
    <x v="0"/>
    <n v="27"/>
    <s v="Very Old"/>
  </r>
  <r>
    <n v="24095808"/>
    <n v="2409580801"/>
    <n v="1"/>
    <x v="14"/>
    <x v="0"/>
    <n v="447.49"/>
    <n v="1806.07"/>
    <x v="0"/>
    <n v="10"/>
    <s v="Older"/>
  </r>
  <r>
    <n v="24095998"/>
    <n v="2409599801"/>
    <n v="1"/>
    <x v="3"/>
    <x v="2"/>
    <n v="0.52"/>
    <n v="413.61"/>
    <x v="2"/>
    <n v="4"/>
    <s v="Mid-age"/>
  </r>
  <r>
    <n v="24096181"/>
    <n v="2409618101"/>
    <n v="1"/>
    <x v="18"/>
    <x v="0"/>
    <n v="95.79"/>
    <n v="306.99"/>
    <x v="0"/>
    <n v="11"/>
    <s v="Older"/>
  </r>
  <r>
    <n v="24096392"/>
    <n v="2409639201"/>
    <n v="1"/>
    <x v="5"/>
    <x v="0"/>
    <n v="1.04"/>
    <n v="131.31"/>
    <x v="0"/>
    <n v="6"/>
    <s v="Mid-age"/>
  </r>
  <r>
    <n v="24096409"/>
    <n v="2409640901"/>
    <n v="1"/>
    <x v="19"/>
    <x v="0"/>
    <n v="0.52"/>
    <n v="131.58000000000001"/>
    <x v="0"/>
    <n v="17"/>
    <s v="Older"/>
  </r>
  <r>
    <n v="24096453"/>
    <n v="2409645301"/>
    <n v="1"/>
    <x v="12"/>
    <x v="0"/>
    <n v="1754.22"/>
    <n v="765.81"/>
    <x v="0"/>
    <n v="19"/>
    <s v="Older"/>
  </r>
  <r>
    <n v="24096557"/>
    <n v="2409655701"/>
    <n v="1"/>
    <x v="8"/>
    <x v="0"/>
    <n v="3.78"/>
    <n v="269.24"/>
    <x v="0"/>
    <n v="9"/>
    <s v="Mid-age"/>
  </r>
  <r>
    <n v="24096641"/>
    <n v="2409664101"/>
    <n v="1"/>
    <x v="5"/>
    <x v="0"/>
    <n v="1.04"/>
    <n v="320.38"/>
    <x v="0"/>
    <n v="6"/>
    <s v="Mid-age"/>
  </r>
  <r>
    <n v="24096805"/>
    <n v="2409680501"/>
    <n v="1"/>
    <x v="8"/>
    <x v="0"/>
    <n v="1.04"/>
    <n v="171.12"/>
    <x v="0"/>
    <n v="9"/>
    <s v="Mid-age"/>
  </r>
  <r>
    <n v="24096817"/>
    <n v="2409681701"/>
    <n v="1"/>
    <x v="1"/>
    <x v="0"/>
    <n v="1752.9"/>
    <n v="355.47"/>
    <x v="0"/>
    <n v="3"/>
    <s v="Newer"/>
  </r>
  <r>
    <n v="24097260"/>
    <n v="2409726001"/>
    <n v="1"/>
    <x v="1"/>
    <x v="2"/>
    <n v="1.04"/>
    <n v="235.81"/>
    <x v="2"/>
    <n v="3"/>
    <s v="Newer"/>
  </r>
  <r>
    <n v="24097294"/>
    <n v="2409729401"/>
    <n v="1"/>
    <x v="8"/>
    <x v="0"/>
    <n v="1744.92"/>
    <n v="210.22"/>
    <x v="0"/>
    <n v="9"/>
    <s v="Mid-age"/>
  </r>
  <r>
    <n v="24097380"/>
    <n v="2409738001"/>
    <n v="1"/>
    <x v="3"/>
    <x v="0"/>
    <n v="1432.16"/>
    <n v="711.09"/>
    <x v="0"/>
    <n v="4"/>
    <s v="Mid-age"/>
  </r>
  <r>
    <n v="24097477"/>
    <n v="2409747701"/>
    <n v="1"/>
    <x v="6"/>
    <x v="0"/>
    <n v="1.04"/>
    <n v="163.02000000000001"/>
    <x v="0"/>
    <n v="7"/>
    <s v="Mid-age"/>
  </r>
  <r>
    <n v="24097581"/>
    <n v="2409758101"/>
    <n v="1"/>
    <x v="12"/>
    <x v="0"/>
    <n v="0.52"/>
    <n v="269.39"/>
    <x v="0"/>
    <n v="19"/>
    <s v="Older"/>
  </r>
  <r>
    <n v="24097693"/>
    <n v="2409769301"/>
    <n v="1"/>
    <x v="5"/>
    <x v="0"/>
    <n v="721.85"/>
    <n v="1725.69"/>
    <x v="0"/>
    <n v="6"/>
    <s v="Mid-age"/>
  </r>
  <r>
    <n v="24097770"/>
    <n v="2409777001"/>
    <n v="1"/>
    <x v="2"/>
    <x v="0"/>
    <n v="623.52"/>
    <n v="822.79"/>
    <x v="0"/>
    <n v="12"/>
    <s v="Older"/>
  </r>
  <r>
    <n v="24097902"/>
    <n v="2409790201"/>
    <n v="1"/>
    <x v="6"/>
    <x v="0"/>
    <n v="4987.3999999999996"/>
    <n v="4996.43"/>
    <x v="0"/>
    <n v="7"/>
    <s v="Mid-age"/>
  </r>
  <r>
    <n v="24097951"/>
    <n v="2409795101"/>
    <n v="1"/>
    <x v="8"/>
    <x v="0"/>
    <n v="260.58"/>
    <n v="470.33"/>
    <x v="0"/>
    <n v="9"/>
    <s v="Mid-age"/>
  </r>
  <r>
    <n v="24098171"/>
    <n v="2409817101"/>
    <n v="1"/>
    <x v="21"/>
    <x v="0"/>
    <n v="504.36"/>
    <n v="847.67"/>
    <x v="0"/>
    <n v="24"/>
    <s v="Very Old"/>
  </r>
  <r>
    <n v="24098393"/>
    <n v="2409839301"/>
    <n v="1"/>
    <x v="18"/>
    <x v="0"/>
    <n v="593.22"/>
    <n v="1746.64"/>
    <x v="0"/>
    <n v="11"/>
    <s v="Older"/>
  </r>
  <r>
    <n v="24098695"/>
    <n v="2409869501"/>
    <n v="1"/>
    <x v="1"/>
    <x v="1"/>
    <n v="154.19"/>
    <n v="469.52"/>
    <x v="1"/>
    <n v="3"/>
    <s v="Newer"/>
  </r>
  <r>
    <n v="24098738"/>
    <n v="2409873801"/>
    <n v="1"/>
    <x v="20"/>
    <x v="0"/>
    <n v="605.64"/>
    <n v="1400.78"/>
    <x v="0"/>
    <n v="22"/>
    <s v="Very Old"/>
  </r>
  <r>
    <n v="24098742"/>
    <n v="2409874201"/>
    <n v="1"/>
    <x v="10"/>
    <x v="0"/>
    <n v="74.260000000000005"/>
    <n v="434.76"/>
    <x v="0"/>
    <n v="5"/>
    <s v="Mid-age"/>
  </r>
  <r>
    <n v="24098747"/>
    <n v="2409874701"/>
    <n v="1"/>
    <x v="31"/>
    <x v="0"/>
    <n v="511.92"/>
    <n v="423.16"/>
    <x v="0"/>
    <n v="30"/>
    <s v="Very Old"/>
  </r>
  <r>
    <n v="24098756"/>
    <n v="2409875601"/>
    <n v="1"/>
    <x v="8"/>
    <x v="0"/>
    <n v="87.18"/>
    <n v="239.64"/>
    <x v="0"/>
    <n v="9"/>
    <s v="Mid-age"/>
  </r>
  <r>
    <n v="24098787"/>
    <n v="2409878701"/>
    <n v="1"/>
    <x v="5"/>
    <x v="0"/>
    <n v="605.64"/>
    <n v="1400.78"/>
    <x v="0"/>
    <n v="6"/>
    <s v="Mid-age"/>
  </r>
  <r>
    <n v="24098819"/>
    <n v="2409881901"/>
    <n v="1"/>
    <x v="24"/>
    <x v="0"/>
    <n v="97.01"/>
    <n v="457.45"/>
    <x v="0"/>
    <n v="15"/>
    <s v="Older"/>
  </r>
  <r>
    <n v="24098994"/>
    <n v="2409899401"/>
    <n v="1"/>
    <x v="14"/>
    <x v="0"/>
    <n v="124.91"/>
    <n v="410.59"/>
    <x v="0"/>
    <n v="10"/>
    <s v="Older"/>
  </r>
  <r>
    <n v="24099033"/>
    <n v="2409903301"/>
    <n v="1"/>
    <x v="14"/>
    <x v="0"/>
    <n v="860.43"/>
    <n v="1793.46"/>
    <x v="0"/>
    <n v="10"/>
    <s v="Older"/>
  </r>
  <r>
    <n v="24099080"/>
    <n v="2409908001"/>
    <n v="1"/>
    <x v="1"/>
    <x v="0"/>
    <n v="58.7"/>
    <n v="165.13"/>
    <x v="0"/>
    <n v="3"/>
    <s v="Newer"/>
  </r>
  <r>
    <n v="24099252"/>
    <n v="2409925201"/>
    <n v="1"/>
    <x v="1"/>
    <x v="2"/>
    <n v="140.88"/>
    <n v="391.9"/>
    <x v="2"/>
    <n v="3"/>
    <s v="Newer"/>
  </r>
  <r>
    <n v="24099288"/>
    <n v="2409928801"/>
    <n v="1"/>
    <x v="17"/>
    <x v="0"/>
    <n v="1565.59"/>
    <n v="1280.08"/>
    <x v="0"/>
    <n v="16"/>
    <s v="Older"/>
  </r>
  <r>
    <n v="24099342"/>
    <n v="2409934201"/>
    <n v="1"/>
    <x v="5"/>
    <x v="1"/>
    <n v="277.47000000000003"/>
    <n v="929.98"/>
    <x v="1"/>
    <n v="6"/>
    <s v="Mid-age"/>
  </r>
  <r>
    <n v="24099423"/>
    <n v="2409942301"/>
    <n v="1"/>
    <x v="8"/>
    <x v="0"/>
    <n v="75.069999999999993"/>
    <n v="278.56"/>
    <x v="0"/>
    <n v="9"/>
    <s v="Mid-age"/>
  </r>
  <r>
    <n v="24099462"/>
    <n v="2409946201"/>
    <n v="1"/>
    <x v="17"/>
    <x v="0"/>
    <n v="71.95"/>
    <n v="205.61"/>
    <x v="0"/>
    <n v="16"/>
    <s v="Older"/>
  </r>
  <r>
    <n v="24099496"/>
    <n v="2409949601"/>
    <n v="1"/>
    <x v="11"/>
    <x v="0"/>
    <n v="93.87"/>
    <n v="481.79"/>
    <x v="0"/>
    <n v="8"/>
    <s v="Mid-age"/>
  </r>
  <r>
    <n v="24099507"/>
    <n v="2409950701"/>
    <n v="1"/>
    <x v="3"/>
    <x v="1"/>
    <n v="261.69"/>
    <n v="599.04999999999995"/>
    <x v="1"/>
    <n v="4"/>
    <s v="Mid-age"/>
  </r>
  <r>
    <n v="24099608"/>
    <n v="2409960801"/>
    <n v="1"/>
    <x v="4"/>
    <x v="0"/>
    <n v="129.47"/>
    <n v="423.74"/>
    <x v="0"/>
    <n v="21"/>
    <s v="Very Old"/>
  </r>
  <r>
    <n v="24099745"/>
    <n v="2409974501"/>
    <n v="1"/>
    <x v="1"/>
    <x v="0"/>
    <n v="3395.23"/>
    <n v="2526.2600000000002"/>
    <x v="0"/>
    <n v="3"/>
    <s v="Newer"/>
  </r>
  <r>
    <n v="24099897"/>
    <n v="2409989701"/>
    <n v="1"/>
    <x v="2"/>
    <x v="0"/>
    <n v="978.52"/>
    <n v="1133.8599999999999"/>
    <x v="0"/>
    <n v="12"/>
    <s v="Older"/>
  </r>
  <r>
    <n v="24099957"/>
    <n v="2409995701"/>
    <n v="1"/>
    <x v="11"/>
    <x v="1"/>
    <n v="4341.84"/>
    <n v="3327.39"/>
    <x v="1"/>
    <n v="8"/>
    <s v="Mid-age"/>
  </r>
  <r>
    <n v="24100002"/>
    <n v="2410000201"/>
    <n v="1"/>
    <x v="10"/>
    <x v="0"/>
    <n v="201.26"/>
    <n v="801.91"/>
    <x v="0"/>
    <n v="5"/>
    <s v="Mid-age"/>
  </r>
  <r>
    <n v="24100127"/>
    <n v="2410012701"/>
    <n v="1"/>
    <x v="9"/>
    <x v="0"/>
    <n v="724.01"/>
    <n v="380.08"/>
    <x v="0"/>
    <n v="2"/>
    <s v="Newer"/>
  </r>
  <r>
    <n v="24100271"/>
    <n v="2410027101"/>
    <n v="1"/>
    <x v="5"/>
    <x v="0"/>
    <n v="667.96"/>
    <n v="1072.81"/>
    <x v="0"/>
    <n v="6"/>
    <s v="Mid-age"/>
  </r>
  <r>
    <n v="24100286"/>
    <n v="2410028601"/>
    <n v="1"/>
    <x v="5"/>
    <x v="0"/>
    <n v="140.88"/>
    <n v="391.9"/>
    <x v="0"/>
    <n v="6"/>
    <s v="Mid-age"/>
  </r>
  <r>
    <n v="24100349"/>
    <n v="2410034901"/>
    <n v="1"/>
    <x v="10"/>
    <x v="0"/>
    <n v="786.53"/>
    <n v="1128.3699999999999"/>
    <x v="0"/>
    <n v="5"/>
    <s v="Mid-age"/>
  </r>
  <r>
    <n v="24100434"/>
    <n v="2410043401"/>
    <n v="1"/>
    <x v="22"/>
    <x v="0"/>
    <n v="1866.8"/>
    <n v="2937.21"/>
    <x v="0"/>
    <n v="18"/>
    <s v="Older"/>
  </r>
  <r>
    <n v="24100501"/>
    <n v="2410050101"/>
    <n v="1"/>
    <x v="6"/>
    <x v="0"/>
    <n v="1185.7"/>
    <n v="2138.0500000000002"/>
    <x v="0"/>
    <n v="7"/>
    <s v="Mid-age"/>
  </r>
  <r>
    <n v="24100529"/>
    <n v="2410052901"/>
    <n v="1"/>
    <x v="3"/>
    <x v="0"/>
    <n v="673.82"/>
    <n v="1323.52"/>
    <x v="0"/>
    <n v="4"/>
    <s v="Mid-age"/>
  </r>
  <r>
    <n v="24100631"/>
    <n v="2410063101"/>
    <n v="1"/>
    <x v="11"/>
    <x v="0"/>
    <n v="629.66"/>
    <n v="801.11"/>
    <x v="0"/>
    <n v="8"/>
    <s v="Mid-age"/>
  </r>
  <r>
    <n v="24100643"/>
    <n v="2410064301"/>
    <n v="1"/>
    <x v="16"/>
    <x v="0"/>
    <n v="4992.79"/>
    <n v="3322.93"/>
    <x v="0"/>
    <n v="14"/>
    <s v="Older"/>
  </r>
  <r>
    <n v="24100654"/>
    <n v="2410065401"/>
    <n v="1"/>
    <x v="14"/>
    <x v="0"/>
    <n v="786.53"/>
    <n v="1128.3699999999999"/>
    <x v="0"/>
    <n v="10"/>
    <s v="Older"/>
  </r>
  <r>
    <n v="24100696"/>
    <n v="2410069601"/>
    <n v="1"/>
    <x v="11"/>
    <x v="0"/>
    <n v="644.98"/>
    <n v="1305.8"/>
    <x v="0"/>
    <n v="8"/>
    <s v="Mid-age"/>
  </r>
  <r>
    <n v="24100723"/>
    <n v="2410072301"/>
    <n v="1"/>
    <x v="18"/>
    <x v="0"/>
    <n v="1761.01"/>
    <n v="1871.47"/>
    <x v="0"/>
    <n v="11"/>
    <s v="Older"/>
  </r>
  <r>
    <n v="24100870"/>
    <n v="2410087001"/>
    <n v="1"/>
    <x v="1"/>
    <x v="1"/>
    <n v="690.98"/>
    <n v="1267.69"/>
    <x v="1"/>
    <n v="3"/>
    <s v="Newer"/>
  </r>
  <r>
    <n v="24100914"/>
    <n v="2410091401"/>
    <n v="1"/>
    <x v="3"/>
    <x v="0"/>
    <n v="1711.31"/>
    <n v="1017.07"/>
    <x v="0"/>
    <n v="4"/>
    <s v="Mid-age"/>
  </r>
  <r>
    <n v="24100949"/>
    <n v="2410094901"/>
    <n v="1"/>
    <x v="3"/>
    <x v="0"/>
    <n v="513.54"/>
    <n v="1118.76"/>
    <x v="0"/>
    <n v="4"/>
    <s v="Mid-age"/>
  </r>
  <r>
    <n v="24100977"/>
    <n v="2410097701"/>
    <n v="1"/>
    <x v="3"/>
    <x v="0"/>
    <n v="1188.3900000000001"/>
    <n v="642.03"/>
    <x v="0"/>
    <n v="4"/>
    <s v="Mid-age"/>
  </r>
  <r>
    <n v="24101064"/>
    <n v="2410106401"/>
    <n v="1"/>
    <x v="11"/>
    <x v="0"/>
    <n v="75.53"/>
    <n v="57.11"/>
    <x v="0"/>
    <n v="8"/>
    <s v="Mid-age"/>
  </r>
  <r>
    <n v="24101127"/>
    <n v="2410112701"/>
    <n v="1"/>
    <x v="5"/>
    <x v="0"/>
    <n v="41.27"/>
    <n v="120.25"/>
    <x v="0"/>
    <n v="6"/>
    <s v="Mid-age"/>
  </r>
  <r>
    <n v="24101209"/>
    <n v="2410120901"/>
    <n v="1"/>
    <x v="8"/>
    <x v="0"/>
    <n v="902.18"/>
    <n v="1970.8"/>
    <x v="0"/>
    <n v="9"/>
    <s v="Mid-age"/>
  </r>
  <r>
    <n v="24101211"/>
    <n v="2410121101"/>
    <n v="1"/>
    <x v="3"/>
    <x v="0"/>
    <n v="420.37"/>
    <n v="1139.3800000000001"/>
    <x v="0"/>
    <n v="4"/>
    <s v="Mid-age"/>
  </r>
  <r>
    <n v="24101256"/>
    <n v="2410125601"/>
    <n v="1"/>
    <x v="1"/>
    <x v="0"/>
    <n v="58.19"/>
    <n v="242.82"/>
    <x v="0"/>
    <n v="3"/>
    <s v="Newer"/>
  </r>
  <r>
    <n v="24101287"/>
    <n v="2410128701"/>
    <n v="1"/>
    <x v="0"/>
    <x v="0"/>
    <n v="4989.74"/>
    <n v="2652.62"/>
    <x v="0"/>
    <n v="13"/>
    <s v="Older"/>
  </r>
  <r>
    <n v="24101327"/>
    <n v="2410132701"/>
    <n v="1"/>
    <x v="24"/>
    <x v="0"/>
    <n v="2580.34"/>
    <n v="2341.23"/>
    <x v="0"/>
    <n v="15"/>
    <s v="Older"/>
  </r>
  <r>
    <n v="24101558"/>
    <n v="2410155801"/>
    <n v="1"/>
    <x v="27"/>
    <x v="0"/>
    <n v="1.21"/>
    <n v="177.79"/>
    <x v="0"/>
    <n v="20"/>
    <s v="Very Old"/>
  </r>
  <r>
    <n v="24101600"/>
    <n v="2410160001"/>
    <n v="1"/>
    <x v="19"/>
    <x v="0"/>
    <n v="117.6"/>
    <n v="266.69"/>
    <x v="0"/>
    <n v="17"/>
    <s v="Older"/>
  </r>
  <r>
    <n v="24101678"/>
    <n v="2410167801"/>
    <n v="1"/>
    <x v="10"/>
    <x v="2"/>
    <n v="7398.6"/>
    <n v="4930.46"/>
    <x v="2"/>
    <n v="5"/>
    <s v="Mid-age"/>
  </r>
  <r>
    <n v="24101680"/>
    <n v="2410168001"/>
    <n v="1"/>
    <x v="11"/>
    <x v="0"/>
    <n v="5141.3100000000004"/>
    <n v="3922.67"/>
    <x v="0"/>
    <n v="8"/>
    <s v="Mid-age"/>
  </r>
  <r>
    <n v="24101711"/>
    <n v="2410171101"/>
    <n v="1"/>
    <x v="14"/>
    <x v="0"/>
    <n v="1479.21"/>
    <n v="4910.55"/>
    <x v="0"/>
    <n v="10"/>
    <s v="Older"/>
  </r>
  <r>
    <n v="24101848"/>
    <n v="2410184801"/>
    <n v="1"/>
    <x v="9"/>
    <x v="0"/>
    <n v="1554.92"/>
    <n v="2196.96"/>
    <x v="0"/>
    <n v="2"/>
    <s v="Newer"/>
  </r>
  <r>
    <n v="24101881"/>
    <n v="2410188101"/>
    <n v="1"/>
    <x v="6"/>
    <x v="1"/>
    <n v="83.94"/>
    <n v="227.95"/>
    <x v="1"/>
    <n v="7"/>
    <s v="Mid-age"/>
  </r>
  <r>
    <n v="24101924"/>
    <n v="2410192401"/>
    <n v="1"/>
    <x v="18"/>
    <x v="0"/>
    <n v="1504.05"/>
    <n v="2491.09"/>
    <x v="0"/>
    <n v="11"/>
    <s v="Older"/>
  </r>
  <r>
    <n v="24101965"/>
    <n v="2410196501"/>
    <n v="1"/>
    <x v="7"/>
    <x v="0"/>
    <n v="667.96"/>
    <n v="1072.81"/>
    <x v="0"/>
    <n v="23"/>
    <s v="Very Old"/>
  </r>
  <r>
    <n v="24102280"/>
    <n v="2410228001"/>
    <n v="1"/>
    <x v="6"/>
    <x v="0"/>
    <n v="2002.08"/>
    <n v="1971.9"/>
    <x v="0"/>
    <n v="7"/>
    <s v="Mid-age"/>
  </r>
  <r>
    <n v="24102296"/>
    <n v="2410229601"/>
    <n v="1"/>
    <x v="3"/>
    <x v="0"/>
    <n v="1572.97"/>
    <n v="2177.25"/>
    <x v="0"/>
    <n v="4"/>
    <s v="Mid-age"/>
  </r>
  <r>
    <n v="24102348"/>
    <n v="2410234801"/>
    <n v="1"/>
    <x v="3"/>
    <x v="0"/>
    <n v="60.98"/>
    <n v="391.68"/>
    <x v="0"/>
    <n v="4"/>
    <s v="Mid-age"/>
  </r>
  <r>
    <n v="24102372"/>
    <n v="2410237201"/>
    <n v="1"/>
    <x v="10"/>
    <x v="0"/>
    <n v="3835.73"/>
    <n v="6506.17"/>
    <x v="0"/>
    <n v="5"/>
    <s v="Mid-age"/>
  </r>
  <r>
    <n v="24102377"/>
    <n v="2410237701"/>
    <n v="1"/>
    <x v="3"/>
    <x v="0"/>
    <n v="7242.35"/>
    <n v="4958.99"/>
    <x v="0"/>
    <n v="4"/>
    <s v="Mid-age"/>
  </r>
  <r>
    <n v="24102508"/>
    <n v="2410250801"/>
    <n v="1"/>
    <x v="6"/>
    <x v="0"/>
    <n v="4342.28"/>
    <n v="4018.88"/>
    <x v="0"/>
    <n v="7"/>
    <s v="Mid-age"/>
  </r>
  <r>
    <n v="24102665"/>
    <n v="2410266501"/>
    <n v="1"/>
    <x v="8"/>
    <x v="0"/>
    <n v="3999.15"/>
    <n v="3330.91"/>
    <x v="0"/>
    <n v="9"/>
    <s v="Mid-age"/>
  </r>
  <r>
    <n v="24102680"/>
    <n v="2410268001"/>
    <n v="1"/>
    <x v="3"/>
    <x v="4"/>
    <n v="221.1"/>
    <n v="540.05999999999995"/>
    <x v="4"/>
    <n v="4"/>
    <s v="Mid-age"/>
  </r>
  <r>
    <n v="24102747"/>
    <n v="2410274701"/>
    <n v="1"/>
    <x v="17"/>
    <x v="0"/>
    <n v="139.36000000000001"/>
    <n v="611.66"/>
    <x v="0"/>
    <n v="16"/>
    <s v="Older"/>
  </r>
  <r>
    <n v="24102903"/>
    <n v="2410290301"/>
    <n v="1"/>
    <x v="9"/>
    <x v="1"/>
    <n v="2984.94"/>
    <n v="1997.94"/>
    <x v="1"/>
    <n v="2"/>
    <s v="Newer"/>
  </r>
  <r>
    <n v="24102947"/>
    <n v="2410294701"/>
    <n v="1"/>
    <x v="9"/>
    <x v="1"/>
    <n v="459.96"/>
    <n v="1252.26"/>
    <x v="1"/>
    <n v="2"/>
    <s v="Newer"/>
  </r>
  <r>
    <n v="24102965"/>
    <n v="2410296501"/>
    <n v="1"/>
    <x v="16"/>
    <x v="0"/>
    <n v="446.83"/>
    <n v="740.5"/>
    <x v="0"/>
    <n v="14"/>
    <s v="Older"/>
  </r>
  <r>
    <n v="24103044"/>
    <n v="2410304401"/>
    <n v="1"/>
    <x v="3"/>
    <x v="0"/>
    <n v="112.79"/>
    <n v="470.07"/>
    <x v="0"/>
    <n v="4"/>
    <s v="Mid-age"/>
  </r>
  <r>
    <n v="24103323"/>
    <n v="2410332301"/>
    <n v="1"/>
    <x v="8"/>
    <x v="0"/>
    <n v="60.3"/>
    <n v="329.19"/>
    <x v="0"/>
    <n v="9"/>
    <s v="Mid-age"/>
  </r>
  <r>
    <n v="24103390"/>
    <n v="2410339001"/>
    <n v="1"/>
    <x v="9"/>
    <x v="0"/>
    <n v="2112.37"/>
    <n v="4985.2700000000004"/>
    <x v="0"/>
    <n v="2"/>
    <s v="Newer"/>
  </r>
  <r>
    <n v="24103460"/>
    <n v="2410346001"/>
    <n v="1"/>
    <x v="4"/>
    <x v="0"/>
    <n v="3586.93"/>
    <n v="2402.41"/>
    <x v="0"/>
    <n v="21"/>
    <s v="Very Old"/>
  </r>
  <r>
    <n v="24103551"/>
    <n v="2410355101"/>
    <n v="1"/>
    <x v="3"/>
    <x v="0"/>
    <n v="14620.41"/>
    <n v="9999.35"/>
    <x v="0"/>
    <n v="4"/>
    <s v="Mid-age"/>
  </r>
  <r>
    <n v="24103584"/>
    <n v="2410358401"/>
    <n v="1"/>
    <x v="0"/>
    <x v="0"/>
    <n v="1915.73"/>
    <n v="528.30999999999995"/>
    <x v="0"/>
    <n v="13"/>
    <s v="Older"/>
  </r>
  <r>
    <n v="24103638"/>
    <n v="2410363801"/>
    <n v="1"/>
    <x v="1"/>
    <x v="2"/>
    <n v="338.11"/>
    <n v="1065.3599999999999"/>
    <x v="2"/>
    <n v="3"/>
    <s v="Newer"/>
  </r>
  <r>
    <n v="24103644"/>
    <n v="2410364401"/>
    <n v="1"/>
    <x v="14"/>
    <x v="0"/>
    <n v="395.24"/>
    <n v="1070.96"/>
    <x v="0"/>
    <n v="10"/>
    <s v="Older"/>
  </r>
  <r>
    <n v="24103654"/>
    <n v="2410365401"/>
    <n v="1"/>
    <x v="16"/>
    <x v="0"/>
    <n v="310.57"/>
    <n v="808.14"/>
    <x v="0"/>
    <n v="14"/>
    <s v="Older"/>
  </r>
  <r>
    <n v="24103921"/>
    <n v="2410392101"/>
    <n v="1"/>
    <x v="6"/>
    <x v="0"/>
    <n v="1048.27"/>
    <n v="1478.4"/>
    <x v="0"/>
    <n v="7"/>
    <s v="Mid-age"/>
  </r>
  <r>
    <n v="24103976"/>
    <n v="2410397601"/>
    <n v="1"/>
    <x v="10"/>
    <x v="0"/>
    <n v="1249.52"/>
    <n v="1536.46"/>
    <x v="0"/>
    <n v="5"/>
    <s v="Mid-age"/>
  </r>
  <r>
    <n v="24103984"/>
    <n v="2410398401"/>
    <n v="1"/>
    <x v="1"/>
    <x v="0"/>
    <n v="541.61"/>
    <n v="1317.11"/>
    <x v="0"/>
    <n v="3"/>
    <s v="Newer"/>
  </r>
  <r>
    <n v="24104014"/>
    <n v="2410401401"/>
    <n v="1"/>
    <x v="9"/>
    <x v="0"/>
    <n v="181.4"/>
    <n v="351.75"/>
    <x v="0"/>
    <n v="2"/>
    <s v="Newer"/>
  </r>
  <r>
    <n v="24104027"/>
    <n v="2410402701"/>
    <n v="1"/>
    <x v="5"/>
    <x v="0"/>
    <n v="60.98"/>
    <n v="391.68"/>
    <x v="0"/>
    <n v="6"/>
    <s v="Mid-age"/>
  </r>
  <r>
    <n v="24104031"/>
    <n v="2410403101"/>
    <n v="1"/>
    <x v="14"/>
    <x v="0"/>
    <n v="49.55"/>
    <n v="253.4"/>
    <x v="0"/>
    <n v="10"/>
    <s v="Older"/>
  </r>
  <r>
    <n v="24104046"/>
    <n v="2410404601"/>
    <n v="1"/>
    <x v="10"/>
    <x v="0"/>
    <n v="158.26"/>
    <n v="340.16"/>
    <x v="0"/>
    <n v="5"/>
    <s v="Mid-age"/>
  </r>
  <r>
    <n v="24104200"/>
    <n v="2410420001"/>
    <n v="1"/>
    <x v="18"/>
    <x v="0"/>
    <n v="94.63"/>
    <n v="211.35"/>
    <x v="0"/>
    <n v="11"/>
    <s v="Older"/>
  </r>
  <r>
    <n v="24104227"/>
    <n v="2410422701"/>
    <n v="1"/>
    <x v="5"/>
    <x v="0"/>
    <n v="45.3"/>
    <n v="247.28"/>
    <x v="0"/>
    <n v="6"/>
    <s v="Mid-age"/>
  </r>
  <r>
    <n v="24104285"/>
    <n v="2410428501"/>
    <n v="1"/>
    <x v="10"/>
    <x v="0"/>
    <n v="485.82"/>
    <n v="1909.15"/>
    <x v="0"/>
    <n v="5"/>
    <s v="Mid-age"/>
  </r>
  <r>
    <n v="24104322"/>
    <n v="2410432201"/>
    <n v="1"/>
    <x v="8"/>
    <x v="0"/>
    <n v="905.02"/>
    <n v="2538.16"/>
    <x v="0"/>
    <n v="9"/>
    <s v="Mid-age"/>
  </r>
  <r>
    <n v="24104329"/>
    <n v="2410432901"/>
    <n v="1"/>
    <x v="21"/>
    <x v="0"/>
    <n v="409.68"/>
    <n v="270.33"/>
    <x v="0"/>
    <n v="24"/>
    <s v="Very Old"/>
  </r>
  <r>
    <n v="24104344"/>
    <n v="2410434401"/>
    <n v="1"/>
    <x v="6"/>
    <x v="0"/>
    <n v="1727.44"/>
    <n v="1825.97"/>
    <x v="0"/>
    <n v="7"/>
    <s v="Mid-age"/>
  </r>
  <r>
    <n v="24104370"/>
    <n v="2410437001"/>
    <n v="1"/>
    <x v="10"/>
    <x v="0"/>
    <n v="2089.02"/>
    <n v="1578.57"/>
    <x v="0"/>
    <n v="5"/>
    <s v="Mid-age"/>
  </r>
  <r>
    <n v="24104382"/>
    <n v="2410438201"/>
    <n v="1"/>
    <x v="14"/>
    <x v="0"/>
    <n v="156.52000000000001"/>
    <n v="325.72000000000003"/>
    <x v="0"/>
    <n v="10"/>
    <s v="Older"/>
  </r>
  <r>
    <n v="24104418"/>
    <n v="2410441801"/>
    <n v="1"/>
    <x v="20"/>
    <x v="0"/>
    <n v="1969.51"/>
    <n v="2115.7800000000002"/>
    <x v="0"/>
    <n v="22"/>
    <s v="Very Old"/>
  </r>
  <r>
    <n v="24104420"/>
    <n v="2410442001"/>
    <n v="1"/>
    <x v="22"/>
    <x v="0"/>
    <n v="7494.34"/>
    <n v="4958.83"/>
    <x v="0"/>
    <n v="18"/>
    <s v="Older"/>
  </r>
  <r>
    <n v="24104494"/>
    <n v="2410449401"/>
    <n v="1"/>
    <x v="9"/>
    <x v="0"/>
    <n v="6984.99"/>
    <n v="3237.89"/>
    <x v="0"/>
    <n v="2"/>
    <s v="Newer"/>
  </r>
  <r>
    <n v="24104554"/>
    <n v="2410455401"/>
    <n v="1"/>
    <x v="18"/>
    <x v="0"/>
    <n v="6090.59"/>
    <n v="4996.5600000000004"/>
    <x v="0"/>
    <n v="11"/>
    <s v="Older"/>
  </r>
  <r>
    <n v="24104600"/>
    <n v="2410460001"/>
    <n v="1"/>
    <x v="24"/>
    <x v="0"/>
    <n v="70.17"/>
    <n v="384.92"/>
    <x v="0"/>
    <n v="15"/>
    <s v="Older"/>
  </r>
  <r>
    <n v="24104731"/>
    <n v="2410473101"/>
    <n v="1"/>
    <x v="18"/>
    <x v="0"/>
    <n v="824.33"/>
    <n v="1852.82"/>
    <x v="0"/>
    <n v="11"/>
    <s v="Older"/>
  </r>
  <r>
    <n v="24104768"/>
    <n v="2410476801"/>
    <n v="1"/>
    <x v="12"/>
    <x v="0"/>
    <n v="4994.2"/>
    <n v="3330.49"/>
    <x v="0"/>
    <n v="19"/>
    <s v="Older"/>
  </r>
  <r>
    <n v="24104973"/>
    <n v="2410497301"/>
    <n v="1"/>
    <x v="9"/>
    <x v="0"/>
    <n v="7472.02"/>
    <n v="4987.43"/>
    <x v="0"/>
    <n v="2"/>
    <s v="Newer"/>
  </r>
  <r>
    <n v="24104992"/>
    <n v="2410499201"/>
    <n v="1"/>
    <x v="11"/>
    <x v="0"/>
    <n v="551.87"/>
    <n v="760.68"/>
    <x v="0"/>
    <n v="8"/>
    <s v="Mid-age"/>
  </r>
  <r>
    <n v="24105045"/>
    <n v="2410504501"/>
    <n v="1"/>
    <x v="24"/>
    <x v="0"/>
    <n v="4.38"/>
    <n v="228.54"/>
    <x v="0"/>
    <n v="15"/>
    <s v="Older"/>
  </r>
  <r>
    <n v="24105161"/>
    <n v="2410516101"/>
    <n v="1"/>
    <x v="2"/>
    <x v="0"/>
    <n v="131.13999999999999"/>
    <n v="253.26"/>
    <x v="0"/>
    <n v="12"/>
    <s v="Older"/>
  </r>
  <r>
    <n v="24105166"/>
    <n v="2410516601"/>
    <n v="1"/>
    <x v="6"/>
    <x v="0"/>
    <n v="6668.06"/>
    <n v="4698.63"/>
    <x v="0"/>
    <n v="7"/>
    <s v="Mid-age"/>
  </r>
  <r>
    <n v="24105237"/>
    <n v="2410523701"/>
    <n v="1"/>
    <x v="3"/>
    <x v="2"/>
    <n v="2440.2199999999998"/>
    <n v="3027.54"/>
    <x v="2"/>
    <n v="4"/>
    <s v="Mid-age"/>
  </r>
  <r>
    <n v="24105352"/>
    <n v="2410535201"/>
    <n v="1"/>
    <x v="5"/>
    <x v="0"/>
    <n v="3283.07"/>
    <n v="2371.92"/>
    <x v="0"/>
    <n v="6"/>
    <s v="Mid-age"/>
  </r>
  <r>
    <n v="24105543"/>
    <n v="2410554301"/>
    <n v="1"/>
    <x v="10"/>
    <x v="0"/>
    <n v="309.45"/>
    <n v="508.49"/>
    <x v="0"/>
    <n v="5"/>
    <s v="Mid-age"/>
  </r>
  <r>
    <n v="24105589"/>
    <n v="2410558901"/>
    <n v="1"/>
    <x v="5"/>
    <x v="0"/>
    <n v="837.29"/>
    <n v="1664.73"/>
    <x v="0"/>
    <n v="6"/>
    <s v="Mid-age"/>
  </r>
  <r>
    <n v="24105741"/>
    <n v="2410574101"/>
    <n v="1"/>
    <x v="1"/>
    <x v="1"/>
    <n v="3087.97"/>
    <n v="2414.5"/>
    <x v="1"/>
    <n v="3"/>
    <s v="Newer"/>
  </r>
  <r>
    <n v="24105770"/>
    <n v="2410577001"/>
    <n v="1"/>
    <x v="6"/>
    <x v="0"/>
    <n v="73.459999999999994"/>
    <n v="128.27000000000001"/>
    <x v="0"/>
    <n v="7"/>
    <s v="Mid-age"/>
  </r>
  <r>
    <n v="24105915"/>
    <n v="2410591501"/>
    <n v="1"/>
    <x v="23"/>
    <x v="0"/>
    <n v="888.4"/>
    <n v="3635.28"/>
    <x v="0"/>
    <n v="46"/>
    <s v="Very Old"/>
  </r>
  <r>
    <n v="24106145"/>
    <n v="2410614501"/>
    <n v="1"/>
    <x v="6"/>
    <x v="0"/>
    <n v="44.11"/>
    <n v="329.58"/>
    <x v="0"/>
    <n v="7"/>
    <s v="Mid-age"/>
  </r>
  <r>
    <n v="24106267"/>
    <n v="2410626701"/>
    <n v="1"/>
    <x v="16"/>
    <x v="0"/>
    <n v="1022.26"/>
    <n v="784.16"/>
    <x v="0"/>
    <n v="14"/>
    <s v="Older"/>
  </r>
  <r>
    <n v="24106297"/>
    <n v="2410629701"/>
    <n v="1"/>
    <x v="10"/>
    <x v="2"/>
    <n v="875.64"/>
    <n v="1705.85"/>
    <x v="2"/>
    <n v="5"/>
    <s v="Mid-age"/>
  </r>
  <r>
    <n v="24106308"/>
    <n v="2410630801"/>
    <n v="1"/>
    <x v="5"/>
    <x v="0"/>
    <n v="160.44"/>
    <n v="382.1"/>
    <x v="0"/>
    <n v="6"/>
    <s v="Mid-age"/>
  </r>
  <r>
    <n v="24106412"/>
    <n v="2410641201"/>
    <n v="1"/>
    <x v="18"/>
    <x v="0"/>
    <n v="178.99"/>
    <n v="503.59"/>
    <x v="0"/>
    <n v="11"/>
    <s v="Older"/>
  </r>
  <r>
    <n v="24106608"/>
    <n v="2410660801"/>
    <n v="1"/>
    <x v="9"/>
    <x v="0"/>
    <n v="322.60000000000002"/>
    <n v="482.87"/>
    <x v="0"/>
    <n v="2"/>
    <s v="Newer"/>
  </r>
  <r>
    <n v="24106653"/>
    <n v="2410665301"/>
    <n v="1"/>
    <x v="5"/>
    <x v="0"/>
    <n v="317.61"/>
    <n v="722.11"/>
    <x v="0"/>
    <n v="6"/>
    <s v="Mid-age"/>
  </r>
  <r>
    <n v="24106700"/>
    <n v="2410670001"/>
    <n v="1"/>
    <x v="1"/>
    <x v="0"/>
    <n v="2149.63"/>
    <n v="1037.6400000000001"/>
    <x v="0"/>
    <n v="3"/>
    <s v="Newer"/>
  </r>
  <r>
    <n v="24106729"/>
    <n v="2410672901"/>
    <n v="1"/>
    <x v="14"/>
    <x v="0"/>
    <n v="172.44"/>
    <n v="568.91"/>
    <x v="0"/>
    <n v="10"/>
    <s v="Older"/>
  </r>
  <r>
    <n v="24106768"/>
    <n v="2410676801"/>
    <n v="1"/>
    <x v="10"/>
    <x v="0"/>
    <n v="138.77000000000001"/>
    <n v="341.26"/>
    <x v="0"/>
    <n v="5"/>
    <s v="Mid-age"/>
  </r>
  <r>
    <n v="24106782"/>
    <n v="2410678201"/>
    <n v="1"/>
    <x v="8"/>
    <x v="4"/>
    <n v="154.19"/>
    <n v="469.52"/>
    <x v="4"/>
    <n v="9"/>
    <s v="Mid-age"/>
  </r>
  <r>
    <n v="24106788"/>
    <n v="2410678801"/>
    <n v="1"/>
    <x v="5"/>
    <x v="0"/>
    <n v="1521.59"/>
    <n v="734.29"/>
    <x v="0"/>
    <n v="6"/>
    <s v="Mid-age"/>
  </r>
  <r>
    <n v="24106859"/>
    <n v="2410685901"/>
    <n v="1"/>
    <x v="11"/>
    <x v="0"/>
    <n v="397.16"/>
    <n v="695.42"/>
    <x v="0"/>
    <n v="8"/>
    <s v="Mid-age"/>
  </r>
  <r>
    <n v="24106926"/>
    <n v="2410692601"/>
    <n v="1"/>
    <x v="5"/>
    <x v="1"/>
    <n v="40.86"/>
    <n v="123.5"/>
    <x v="1"/>
    <n v="6"/>
    <s v="Mid-age"/>
  </r>
  <r>
    <n v="24106977"/>
    <n v="2410697701"/>
    <n v="1"/>
    <x v="4"/>
    <x v="0"/>
    <n v="91.6"/>
    <n v="267.14999999999998"/>
    <x v="0"/>
    <n v="21"/>
    <s v="Very Old"/>
  </r>
  <r>
    <n v="24107004"/>
    <n v="2410700401"/>
    <n v="1"/>
    <x v="16"/>
    <x v="0"/>
    <n v="386.15"/>
    <n v="1596.78"/>
    <x v="0"/>
    <n v="14"/>
    <s v="Older"/>
  </r>
  <r>
    <n v="24107020"/>
    <n v="2410702001"/>
    <n v="1"/>
    <x v="8"/>
    <x v="0"/>
    <n v="3660.6"/>
    <n v="2383.12"/>
    <x v="0"/>
    <n v="9"/>
    <s v="Mid-age"/>
  </r>
  <r>
    <n v="24107036"/>
    <n v="2410703601"/>
    <n v="1"/>
    <x v="16"/>
    <x v="0"/>
    <n v="2083.36"/>
    <n v="3080.64"/>
    <x v="0"/>
    <n v="14"/>
    <s v="Older"/>
  </r>
  <r>
    <n v="24107142"/>
    <n v="2410714201"/>
    <n v="1"/>
    <x v="14"/>
    <x v="0"/>
    <n v="171.07"/>
    <n v="733.34"/>
    <x v="0"/>
    <n v="10"/>
    <s v="Older"/>
  </r>
  <r>
    <n v="24107158"/>
    <n v="2410715801"/>
    <n v="1"/>
    <x v="1"/>
    <x v="0"/>
    <n v="140.88"/>
    <n v="391.9"/>
    <x v="0"/>
    <n v="3"/>
    <s v="Newer"/>
  </r>
  <r>
    <n v="24107188"/>
    <n v="2410718801"/>
    <n v="1"/>
    <x v="9"/>
    <x v="2"/>
    <n v="663.95"/>
    <n v="1087.25"/>
    <x v="2"/>
    <n v="2"/>
    <s v="Newer"/>
  </r>
  <r>
    <n v="24107190"/>
    <n v="2410719001"/>
    <n v="1"/>
    <x v="5"/>
    <x v="0"/>
    <n v="1070.73"/>
    <n v="2564.4499999999998"/>
    <x v="0"/>
    <n v="6"/>
    <s v="Mid-age"/>
  </r>
  <r>
    <n v="24107262"/>
    <n v="2410726201"/>
    <n v="1"/>
    <x v="5"/>
    <x v="0"/>
    <n v="142.93"/>
    <n v="258.87"/>
    <x v="0"/>
    <n v="6"/>
    <s v="Mid-age"/>
  </r>
  <r>
    <n v="24107345"/>
    <n v="2410734501"/>
    <n v="1"/>
    <x v="8"/>
    <x v="0"/>
    <n v="1231.94"/>
    <n v="600.54"/>
    <x v="0"/>
    <n v="9"/>
    <s v="Mid-age"/>
  </r>
  <r>
    <n v="24107400"/>
    <n v="2410740001"/>
    <n v="1"/>
    <x v="8"/>
    <x v="0"/>
    <n v="312.86"/>
    <n v="662.31"/>
    <x v="0"/>
    <n v="9"/>
    <s v="Mid-age"/>
  </r>
  <r>
    <n v="24107414"/>
    <n v="2410741401"/>
    <n v="1"/>
    <x v="3"/>
    <x v="0"/>
    <n v="1070.73"/>
    <n v="2564.4499999999998"/>
    <x v="0"/>
    <n v="4"/>
    <s v="Mid-age"/>
  </r>
  <r>
    <n v="24107518"/>
    <n v="2410751801"/>
    <n v="1"/>
    <x v="8"/>
    <x v="0"/>
    <n v="372.25"/>
    <n v="962.39"/>
    <x v="0"/>
    <n v="9"/>
    <s v="Mid-age"/>
  </r>
  <r>
    <n v="24107641"/>
    <n v="2410764101"/>
    <n v="1"/>
    <x v="1"/>
    <x v="0"/>
    <n v="311.05"/>
    <n v="553.80999999999995"/>
    <x v="0"/>
    <n v="3"/>
    <s v="Newer"/>
  </r>
  <r>
    <n v="24107648"/>
    <n v="2410764801"/>
    <n v="1"/>
    <x v="1"/>
    <x v="0"/>
    <n v="1444.28"/>
    <n v="1998.03"/>
    <x v="0"/>
    <n v="3"/>
    <s v="Newer"/>
  </r>
  <r>
    <n v="24107701"/>
    <n v="2410770101"/>
    <n v="1"/>
    <x v="0"/>
    <x v="0"/>
    <n v="97.01"/>
    <n v="457.45"/>
    <x v="0"/>
    <n v="13"/>
    <s v="Older"/>
  </r>
  <r>
    <n v="24107720"/>
    <n v="2410772001"/>
    <n v="1"/>
    <x v="18"/>
    <x v="0"/>
    <n v="356.43"/>
    <n v="691.21"/>
    <x v="0"/>
    <n v="11"/>
    <s v="Older"/>
  </r>
  <r>
    <n v="24107737"/>
    <n v="2410773701"/>
    <n v="1"/>
    <x v="6"/>
    <x v="0"/>
    <n v="429.36"/>
    <n v="960.42"/>
    <x v="0"/>
    <n v="7"/>
    <s v="Mid-age"/>
  </r>
  <r>
    <n v="24107758"/>
    <n v="2410775801"/>
    <n v="1"/>
    <x v="3"/>
    <x v="0"/>
    <n v="1565.59"/>
    <n v="1280.08"/>
    <x v="0"/>
    <n v="4"/>
    <s v="Mid-age"/>
  </r>
  <r>
    <n v="24107835"/>
    <n v="2410783501"/>
    <n v="1"/>
    <x v="3"/>
    <x v="0"/>
    <n v="251.6"/>
    <n v="534.07000000000005"/>
    <x v="0"/>
    <n v="4"/>
    <s v="Mid-age"/>
  </r>
  <r>
    <n v="24108266"/>
    <n v="2410826601"/>
    <n v="1"/>
    <x v="22"/>
    <x v="0"/>
    <n v="512.01"/>
    <n v="924.22"/>
    <x v="0"/>
    <n v="18"/>
    <s v="Older"/>
  </r>
  <r>
    <n v="24108300"/>
    <n v="2410830001"/>
    <n v="1"/>
    <x v="29"/>
    <x v="0"/>
    <n v="717.42"/>
    <n v="1124.7"/>
    <x v="0"/>
    <n v="28"/>
    <s v="Very Old"/>
  </r>
  <r>
    <n v="24108590"/>
    <n v="2410859001"/>
    <n v="1"/>
    <x v="19"/>
    <x v="0"/>
    <n v="594.48"/>
    <n v="553.78"/>
    <x v="0"/>
    <n v="17"/>
    <s v="Older"/>
  </r>
  <r>
    <n v="24108591"/>
    <n v="2410859101"/>
    <n v="1"/>
    <x v="19"/>
    <x v="0"/>
    <n v="168.45"/>
    <n v="225.44"/>
    <x v="0"/>
    <n v="17"/>
    <s v="Older"/>
  </r>
  <r>
    <n v="24108662"/>
    <n v="2410866201"/>
    <n v="1"/>
    <x v="9"/>
    <x v="2"/>
    <n v="231.82"/>
    <n v="328.28"/>
    <x v="2"/>
    <n v="2"/>
    <s v="Newer"/>
  </r>
  <r>
    <n v="24108763"/>
    <n v="2410876301"/>
    <n v="1"/>
    <x v="1"/>
    <x v="0"/>
    <n v="645.38"/>
    <n v="1062.6099999999999"/>
    <x v="0"/>
    <n v="3"/>
    <s v="Newer"/>
  </r>
  <r>
    <n v="24108819"/>
    <n v="2410881901"/>
    <n v="1"/>
    <x v="5"/>
    <x v="0"/>
    <n v="767.57"/>
    <n v="1077.03"/>
    <x v="0"/>
    <n v="6"/>
    <s v="Mid-age"/>
  </r>
  <r>
    <n v="24108950"/>
    <n v="2410895001"/>
    <n v="1"/>
    <x v="6"/>
    <x v="0"/>
    <n v="483.16"/>
    <n v="902.71"/>
    <x v="0"/>
    <n v="7"/>
    <s v="Mid-age"/>
  </r>
  <r>
    <n v="24109002"/>
    <n v="2410900201"/>
    <n v="1"/>
    <x v="10"/>
    <x v="0"/>
    <n v="417.83"/>
    <n v="522.9"/>
    <x v="0"/>
    <n v="5"/>
    <s v="Mid-age"/>
  </r>
  <r>
    <n v="24109061"/>
    <n v="2410906101"/>
    <n v="1"/>
    <x v="18"/>
    <x v="0"/>
    <n v="3785.58"/>
    <n v="2385.54"/>
    <x v="0"/>
    <n v="11"/>
    <s v="Older"/>
  </r>
  <r>
    <n v="24109175"/>
    <n v="2410917501"/>
    <n v="1"/>
    <x v="7"/>
    <x v="0"/>
    <n v="74.260000000000005"/>
    <n v="434.76"/>
    <x v="0"/>
    <n v="23"/>
    <s v="Very Old"/>
  </r>
  <r>
    <n v="24109188"/>
    <n v="2410918801"/>
    <n v="1"/>
    <x v="1"/>
    <x v="0"/>
    <n v="568.82000000000005"/>
    <n v="768.15"/>
    <x v="0"/>
    <n v="3"/>
    <s v="Newer"/>
  </r>
  <r>
    <n v="24109266"/>
    <n v="2410926601"/>
    <n v="1"/>
    <x v="2"/>
    <x v="0"/>
    <n v="61.4"/>
    <n v="228.22"/>
    <x v="0"/>
    <n v="12"/>
    <s v="Older"/>
  </r>
  <r>
    <n v="24109393"/>
    <n v="2410939301"/>
    <n v="1"/>
    <x v="14"/>
    <x v="0"/>
    <n v="437.32"/>
    <n v="720.04"/>
    <x v="0"/>
    <n v="10"/>
    <s v="Older"/>
  </r>
  <r>
    <n v="24109480"/>
    <n v="2410948001"/>
    <n v="1"/>
    <x v="22"/>
    <x v="0"/>
    <n v="241.52"/>
    <n v="468.38"/>
    <x v="0"/>
    <n v="18"/>
    <s v="Older"/>
  </r>
  <r>
    <n v="24109577"/>
    <n v="2410957701"/>
    <n v="1"/>
    <x v="6"/>
    <x v="0"/>
    <n v="59.85"/>
    <n v="290.44"/>
    <x v="0"/>
    <n v="7"/>
    <s v="Mid-age"/>
  </r>
  <r>
    <n v="24109639"/>
    <n v="2410963901"/>
    <n v="1"/>
    <x v="0"/>
    <x v="2"/>
    <n v="797.8"/>
    <n v="417.42"/>
    <x v="2"/>
    <n v="13"/>
    <s v="Older"/>
  </r>
  <r>
    <n v="24109737"/>
    <n v="2410973701"/>
    <n v="1"/>
    <x v="27"/>
    <x v="0"/>
    <n v="544.01"/>
    <n v="500.43"/>
    <x v="0"/>
    <n v="20"/>
    <s v="Very Old"/>
  </r>
  <r>
    <n v="24109777"/>
    <n v="2410977701"/>
    <n v="1"/>
    <x v="0"/>
    <x v="0"/>
    <n v="108.71"/>
    <n v="229.07"/>
    <x v="0"/>
    <n v="13"/>
    <s v="Older"/>
  </r>
  <r>
    <n v="24109872"/>
    <n v="2410987201"/>
    <n v="1"/>
    <x v="22"/>
    <x v="0"/>
    <n v="1850.45"/>
    <n v="512.23"/>
    <x v="0"/>
    <n v="18"/>
    <s v="Older"/>
  </r>
  <r>
    <n v="24109892"/>
    <n v="2410989201"/>
    <n v="1"/>
    <x v="21"/>
    <x v="0"/>
    <n v="2035.45"/>
    <n v="3253.48"/>
    <x v="0"/>
    <n v="24"/>
    <s v="Very Old"/>
  </r>
  <r>
    <n v="24109906"/>
    <n v="2410990601"/>
    <n v="1"/>
    <x v="11"/>
    <x v="0"/>
    <n v="83.91"/>
    <n v="195.46"/>
    <x v="0"/>
    <n v="8"/>
    <s v="Mid-age"/>
  </r>
  <r>
    <n v="24109947"/>
    <n v="2410994701"/>
    <n v="1"/>
    <x v="2"/>
    <x v="0"/>
    <n v="2870.95"/>
    <n v="1065"/>
    <x v="0"/>
    <n v="12"/>
    <s v="Older"/>
  </r>
  <r>
    <n v="24110085"/>
    <n v="2411008501"/>
    <n v="1"/>
    <x v="22"/>
    <x v="0"/>
    <n v="227.91"/>
    <n v="457.48"/>
    <x v="0"/>
    <n v="18"/>
    <s v="Older"/>
  </r>
  <r>
    <n v="24110112"/>
    <n v="2411011201"/>
    <n v="1"/>
    <x v="0"/>
    <x v="0"/>
    <n v="3132.4"/>
    <n v="3101.17"/>
    <x v="0"/>
    <n v="13"/>
    <s v="Older"/>
  </r>
  <r>
    <n v="24110175"/>
    <n v="2411017501"/>
    <n v="1"/>
    <x v="19"/>
    <x v="0"/>
    <n v="1968.92"/>
    <n v="330.68"/>
    <x v="0"/>
    <n v="17"/>
    <s v="Older"/>
  </r>
  <r>
    <n v="24110235"/>
    <n v="2411023501"/>
    <n v="1"/>
    <x v="28"/>
    <x v="0"/>
    <n v="2912.56"/>
    <n v="2289.6799999999998"/>
    <x v="0"/>
    <n v="29"/>
    <s v="Very Old"/>
  </r>
  <r>
    <n v="24110304"/>
    <n v="2411030401"/>
    <n v="1"/>
    <x v="9"/>
    <x v="0"/>
    <n v="94.43"/>
    <n v="414.47"/>
    <x v="0"/>
    <n v="2"/>
    <s v="Newer"/>
  </r>
  <r>
    <n v="24110359"/>
    <n v="2411035901"/>
    <n v="1"/>
    <x v="14"/>
    <x v="0"/>
    <n v="1857.33"/>
    <n v="1625.97"/>
    <x v="0"/>
    <n v="10"/>
    <s v="Older"/>
  </r>
  <r>
    <n v="24110372"/>
    <n v="2411037201"/>
    <n v="1"/>
    <x v="6"/>
    <x v="0"/>
    <n v="68.31"/>
    <n v="348.75"/>
    <x v="0"/>
    <n v="7"/>
    <s v="Mid-age"/>
  </r>
  <r>
    <n v="24110403"/>
    <n v="2411040301"/>
    <n v="1"/>
    <x v="1"/>
    <x v="0"/>
    <n v="3196.2"/>
    <n v="629.02"/>
    <x v="0"/>
    <n v="3"/>
    <s v="Newer"/>
  </r>
  <r>
    <n v="24110585"/>
    <n v="2411058501"/>
    <n v="1"/>
    <x v="2"/>
    <x v="0"/>
    <n v="792.83"/>
    <n v="364.2"/>
    <x v="0"/>
    <n v="12"/>
    <s v="Older"/>
  </r>
  <r>
    <n v="24110673"/>
    <n v="2411067301"/>
    <n v="1"/>
    <x v="11"/>
    <x v="0"/>
    <n v="503.59"/>
    <n v="383.05"/>
    <x v="0"/>
    <n v="8"/>
    <s v="Mid-age"/>
  </r>
  <r>
    <n v="24110709"/>
    <n v="2411070901"/>
    <n v="1"/>
    <x v="5"/>
    <x v="0"/>
    <n v="122.12"/>
    <n v="198.83"/>
    <x v="0"/>
    <n v="6"/>
    <s v="Mid-age"/>
  </r>
  <r>
    <n v="24110720"/>
    <n v="2411072001"/>
    <n v="1"/>
    <x v="24"/>
    <x v="0"/>
    <n v="2242.7199999999998"/>
    <n v="1873.78"/>
    <x v="0"/>
    <n v="15"/>
    <s v="Older"/>
  </r>
  <r>
    <n v="24110805"/>
    <n v="2411080501"/>
    <n v="1"/>
    <x v="1"/>
    <x v="1"/>
    <n v="53.2"/>
    <n v="238.22"/>
    <x v="1"/>
    <n v="3"/>
    <s v="Newer"/>
  </r>
  <r>
    <n v="24110871"/>
    <n v="2411087101"/>
    <n v="1"/>
    <x v="18"/>
    <x v="0"/>
    <n v="149.82"/>
    <n v="365.95"/>
    <x v="0"/>
    <n v="11"/>
    <s v="Older"/>
  </r>
  <r>
    <n v="24110888"/>
    <n v="2411088801"/>
    <n v="1"/>
    <x v="11"/>
    <x v="0"/>
    <n v="922.24"/>
    <n v="810.98"/>
    <x v="0"/>
    <n v="8"/>
    <s v="Mid-age"/>
  </r>
  <r>
    <n v="24110946"/>
    <n v="2411094601"/>
    <n v="1"/>
    <x v="24"/>
    <x v="0"/>
    <n v="196.86"/>
    <n v="471.78"/>
    <x v="0"/>
    <n v="15"/>
    <s v="Older"/>
  </r>
  <r>
    <n v="24111059"/>
    <n v="2411105901"/>
    <n v="1"/>
    <x v="8"/>
    <x v="0"/>
    <n v="2672.99"/>
    <n v="3527.37"/>
    <x v="0"/>
    <n v="9"/>
    <s v="Mid-age"/>
  </r>
  <r>
    <n v="24111073"/>
    <n v="2411107301"/>
    <n v="1"/>
    <x v="6"/>
    <x v="0"/>
    <n v="1187.33"/>
    <n v="364.62"/>
    <x v="0"/>
    <n v="7"/>
    <s v="Mid-age"/>
  </r>
  <r>
    <n v="24111115"/>
    <n v="2411111501"/>
    <n v="1"/>
    <x v="24"/>
    <x v="0"/>
    <n v="562.09"/>
    <n v="410.94"/>
    <x v="0"/>
    <n v="15"/>
    <s v="Older"/>
  </r>
  <r>
    <n v="24111171"/>
    <n v="2411117101"/>
    <n v="1"/>
    <x v="0"/>
    <x v="6"/>
    <n v="1232.46"/>
    <n v="3778.83"/>
    <x v="6"/>
    <n v="13"/>
    <s v="Older"/>
  </r>
  <r>
    <n v="24111280"/>
    <n v="2411128001"/>
    <n v="1"/>
    <x v="14"/>
    <x v="2"/>
    <n v="1814.82"/>
    <n v="1808.55"/>
    <x v="2"/>
    <n v="10"/>
    <s v="Older"/>
  </r>
  <r>
    <n v="24111363"/>
    <n v="2411136301"/>
    <n v="1"/>
    <x v="1"/>
    <x v="1"/>
    <n v="776.87"/>
    <n v="709.89"/>
    <x v="1"/>
    <n v="3"/>
    <s v="Newer"/>
  </r>
  <r>
    <n v="24111710"/>
    <n v="2411171001"/>
    <n v="1"/>
    <x v="1"/>
    <x v="2"/>
    <n v="920.24"/>
    <n v="365.25"/>
    <x v="2"/>
    <n v="3"/>
    <s v="Newer"/>
  </r>
  <r>
    <n v="24111934"/>
    <n v="2411193401"/>
    <n v="1"/>
    <x v="5"/>
    <x v="0"/>
    <n v="1383.32"/>
    <n v="841.33"/>
    <x v="0"/>
    <n v="6"/>
    <s v="Mid-age"/>
  </r>
  <r>
    <n v="24112045"/>
    <n v="2411204501"/>
    <n v="1"/>
    <x v="10"/>
    <x v="0"/>
    <n v="1689.12"/>
    <n v="629.22"/>
    <x v="0"/>
    <n v="5"/>
    <s v="Mid-age"/>
  </r>
  <r>
    <n v="24112629"/>
    <n v="2411262901"/>
    <n v="1"/>
    <x v="6"/>
    <x v="0"/>
    <n v="1854.74"/>
    <n v="999.86"/>
    <x v="0"/>
    <n v="7"/>
    <s v="Mid-age"/>
  </r>
  <r>
    <n v="24113032"/>
    <n v="2411303201"/>
    <n v="1"/>
    <x v="9"/>
    <x v="4"/>
    <n v="716.74"/>
    <n v="673"/>
    <x v="4"/>
    <n v="2"/>
    <s v="Newer"/>
  </r>
  <r>
    <n v="24113413"/>
    <n v="2411341301"/>
    <n v="1"/>
    <x v="10"/>
    <x v="0"/>
    <n v="1358.26"/>
    <n v="1377.11"/>
    <x v="0"/>
    <n v="5"/>
    <s v="Mid-age"/>
  </r>
  <r>
    <n v="24113593"/>
    <n v="2411359301"/>
    <n v="1"/>
    <x v="11"/>
    <x v="0"/>
    <n v="725.23"/>
    <n v="410.23"/>
    <x v="0"/>
    <n v="8"/>
    <s v="Mid-age"/>
  </r>
  <r>
    <n v="24113708"/>
    <n v="2411370801"/>
    <n v="1"/>
    <x v="27"/>
    <x v="0"/>
    <n v="3307.09"/>
    <n v="7915.73"/>
    <x v="0"/>
    <n v="20"/>
    <s v="Very Old"/>
  </r>
  <r>
    <n v="24113983"/>
    <n v="2411398301"/>
    <n v="1"/>
    <x v="25"/>
    <x v="0"/>
    <n v="1551.6"/>
    <n v="538.22"/>
    <x v="0"/>
    <n v="27"/>
    <s v="Very Old"/>
  </r>
  <r>
    <n v="24114296"/>
    <n v="2411429601"/>
    <n v="1"/>
    <x v="19"/>
    <x v="0"/>
    <n v="689.16"/>
    <n v="170.9"/>
    <x v="0"/>
    <n v="17"/>
    <s v="Older"/>
  </r>
  <r>
    <n v="24114449"/>
    <n v="2411444901"/>
    <n v="1"/>
    <x v="18"/>
    <x v="0"/>
    <n v="317.39999999999998"/>
    <n v="1048.21"/>
    <x v="0"/>
    <n v="11"/>
    <s v="Older"/>
  </r>
  <r>
    <n v="24114503"/>
    <n v="2411450301"/>
    <n v="1"/>
    <x v="14"/>
    <x v="0"/>
    <n v="1086.1199999999999"/>
    <n v="1722.91"/>
    <x v="0"/>
    <n v="10"/>
    <s v="Older"/>
  </r>
  <r>
    <n v="24114693"/>
    <n v="2411469301"/>
    <n v="1"/>
    <x v="21"/>
    <x v="0"/>
    <n v="2223.33"/>
    <n v="2390.0500000000002"/>
    <x v="0"/>
    <n v="24"/>
    <s v="Very Old"/>
  </r>
  <r>
    <n v="24114864"/>
    <n v="2411486401"/>
    <n v="1"/>
    <x v="5"/>
    <x v="0"/>
    <n v="1150.6199999999999"/>
    <n v="570.05999999999995"/>
    <x v="0"/>
    <n v="6"/>
    <s v="Mid-age"/>
  </r>
  <r>
    <n v="24115269"/>
    <n v="2411526901"/>
    <n v="1"/>
    <x v="8"/>
    <x v="0"/>
    <n v="1384.95"/>
    <n v="2821.66"/>
    <x v="0"/>
    <n v="9"/>
    <s v="Mid-age"/>
  </r>
  <r>
    <n v="24115519"/>
    <n v="2411551901"/>
    <n v="1"/>
    <x v="16"/>
    <x v="0"/>
    <n v="767.86"/>
    <n v="670.98"/>
    <x v="0"/>
    <n v="14"/>
    <s v="Older"/>
  </r>
  <r>
    <n v="24115628"/>
    <n v="2411562801"/>
    <n v="1"/>
    <x v="4"/>
    <x v="0"/>
    <n v="798.9"/>
    <n v="371.32"/>
    <x v="0"/>
    <n v="21"/>
    <s v="Very Old"/>
  </r>
  <r>
    <n v="24115965"/>
    <n v="2411596501"/>
    <n v="1"/>
    <x v="8"/>
    <x v="0"/>
    <n v="3177.47"/>
    <n v="4704.76"/>
    <x v="0"/>
    <n v="9"/>
    <s v="Mid-age"/>
  </r>
  <r>
    <n v="24116034"/>
    <n v="2411603401"/>
    <n v="1"/>
    <x v="10"/>
    <x v="0"/>
    <n v="3583.91"/>
    <n v="4192.03"/>
    <x v="0"/>
    <n v="5"/>
    <s v="Mid-age"/>
  </r>
  <r>
    <n v="24116137"/>
    <n v="2411613701"/>
    <n v="1"/>
    <x v="0"/>
    <x v="0"/>
    <n v="1086.1199999999999"/>
    <n v="1722.91"/>
    <x v="0"/>
    <n v="13"/>
    <s v="Older"/>
  </r>
  <r>
    <n v="24116169"/>
    <n v="2411616901"/>
    <n v="1"/>
    <x v="25"/>
    <x v="0"/>
    <n v="817.61"/>
    <n v="1179.24"/>
    <x v="0"/>
    <n v="27"/>
    <s v="Very Old"/>
  </r>
  <r>
    <n v="24116306"/>
    <n v="2411630601"/>
    <n v="1"/>
    <x v="17"/>
    <x v="2"/>
    <n v="1880.05"/>
    <n v="790.3"/>
    <x v="2"/>
    <n v="16"/>
    <s v="Older"/>
  </r>
  <r>
    <n v="24116342"/>
    <n v="2411634201"/>
    <n v="1"/>
    <x v="10"/>
    <x v="4"/>
    <n v="148.96"/>
    <n v="617.44000000000005"/>
    <x v="4"/>
    <n v="5"/>
    <s v="Mid-age"/>
  </r>
  <r>
    <n v="24116393"/>
    <n v="2411639301"/>
    <n v="1"/>
    <x v="8"/>
    <x v="0"/>
    <n v="562.09"/>
    <n v="410.94"/>
    <x v="0"/>
    <n v="9"/>
    <s v="Mid-age"/>
  </r>
  <r>
    <n v="24116460"/>
    <n v="2411646001"/>
    <n v="1"/>
    <x v="6"/>
    <x v="0"/>
    <n v="2264.75"/>
    <n v="747.79"/>
    <x v="0"/>
    <n v="7"/>
    <s v="Mid-age"/>
  </r>
  <r>
    <n v="24116730"/>
    <n v="2411673001"/>
    <n v="1"/>
    <x v="9"/>
    <x v="0"/>
    <n v="1065.19"/>
    <n v="840.87"/>
    <x v="0"/>
    <n v="2"/>
    <s v="Newer"/>
  </r>
  <r>
    <n v="24116808"/>
    <n v="2411680801"/>
    <n v="1"/>
    <x v="10"/>
    <x v="0"/>
    <n v="2728.63"/>
    <n v="4916.0600000000004"/>
    <x v="0"/>
    <n v="5"/>
    <s v="Mid-age"/>
  </r>
  <r>
    <n v="24117203"/>
    <n v="2411720301"/>
    <n v="1"/>
    <x v="19"/>
    <x v="0"/>
    <n v="2393.0500000000002"/>
    <n v="998.14"/>
    <x v="0"/>
    <n v="17"/>
    <s v="Older"/>
  </r>
  <r>
    <n v="24117231"/>
    <n v="2411723101"/>
    <n v="1"/>
    <x v="6"/>
    <x v="0"/>
    <n v="1214.3599999999999"/>
    <n v="1322.06"/>
    <x v="0"/>
    <n v="7"/>
    <s v="Mid-age"/>
  </r>
  <r>
    <n v="24117244"/>
    <n v="2411724401"/>
    <n v="1"/>
    <x v="3"/>
    <x v="1"/>
    <n v="1689.12"/>
    <n v="629.22"/>
    <x v="1"/>
    <n v="4"/>
    <s v="Mid-age"/>
  </r>
  <r>
    <n v="24117648"/>
    <n v="2411764801"/>
    <n v="1"/>
    <x v="16"/>
    <x v="0"/>
    <n v="699.51"/>
    <n v="3329.72"/>
    <x v="0"/>
    <n v="14"/>
    <s v="Older"/>
  </r>
  <r>
    <n v="24117847"/>
    <n v="2411784701"/>
    <n v="1"/>
    <x v="10"/>
    <x v="0"/>
    <n v="2656.55"/>
    <n v="3327.86"/>
    <x v="0"/>
    <n v="5"/>
    <s v="Mid-age"/>
  </r>
  <r>
    <n v="24117887"/>
    <n v="2411788701"/>
    <n v="1"/>
    <x v="5"/>
    <x v="0"/>
    <n v="1923.02"/>
    <n v="2417.85"/>
    <x v="0"/>
    <n v="6"/>
    <s v="Mid-age"/>
  </r>
  <r>
    <n v="24117997"/>
    <n v="2411799701"/>
    <n v="1"/>
    <x v="5"/>
    <x v="0"/>
    <n v="4112.91"/>
    <n v="3330.98"/>
    <x v="0"/>
    <n v="6"/>
    <s v="Mid-age"/>
  </r>
  <r>
    <n v="24118688"/>
    <n v="2411868801"/>
    <n v="1"/>
    <x v="11"/>
    <x v="0"/>
    <n v="1065.19"/>
    <n v="840.87"/>
    <x v="0"/>
    <n v="8"/>
    <s v="Mid-age"/>
  </r>
  <r>
    <n v="24118825"/>
    <n v="2411882501"/>
    <n v="1"/>
    <x v="8"/>
    <x v="0"/>
    <n v="1299.54"/>
    <n v="232.88"/>
    <x v="0"/>
    <n v="9"/>
    <s v="Mid-age"/>
  </r>
  <r>
    <n v="24118873"/>
    <n v="2411887301"/>
    <n v="1"/>
    <x v="24"/>
    <x v="0"/>
    <n v="934.65"/>
    <n v="317.02999999999997"/>
    <x v="0"/>
    <n v="15"/>
    <s v="Older"/>
  </r>
  <r>
    <n v="24118981"/>
    <n v="2411898101"/>
    <n v="1"/>
    <x v="14"/>
    <x v="0"/>
    <n v="3573.51"/>
    <n v="957.08"/>
    <x v="0"/>
    <n v="10"/>
    <s v="Older"/>
  </r>
  <r>
    <n v="24118996"/>
    <n v="2411899601"/>
    <n v="1"/>
    <x v="21"/>
    <x v="0"/>
    <n v="1768.66"/>
    <n v="2426.64"/>
    <x v="0"/>
    <n v="24"/>
    <s v="Very Old"/>
  </r>
  <r>
    <n v="24119053"/>
    <n v="2411905301"/>
    <n v="1"/>
    <x v="8"/>
    <x v="0"/>
    <n v="1086.1199999999999"/>
    <n v="1722.91"/>
    <x v="0"/>
    <n v="9"/>
    <s v="Mid-age"/>
  </r>
  <r>
    <n v="24119108"/>
    <n v="2411910801"/>
    <n v="1"/>
    <x v="5"/>
    <x v="0"/>
    <n v="1406.58"/>
    <n v="1811.67"/>
    <x v="0"/>
    <n v="6"/>
    <s v="Mid-age"/>
  </r>
  <r>
    <n v="24119179"/>
    <n v="2411917901"/>
    <n v="1"/>
    <x v="17"/>
    <x v="0"/>
    <n v="1205.9100000000001"/>
    <n v="316.48"/>
    <x v="0"/>
    <n v="16"/>
    <s v="Older"/>
  </r>
  <r>
    <n v="24119529"/>
    <n v="2411952901"/>
    <n v="1"/>
    <x v="5"/>
    <x v="0"/>
    <n v="3583.91"/>
    <n v="4192.03"/>
    <x v="0"/>
    <n v="6"/>
    <s v="Mid-age"/>
  </r>
  <r>
    <n v="24119940"/>
    <n v="2411994001"/>
    <n v="1"/>
    <x v="2"/>
    <x v="0"/>
    <n v="2672.99"/>
    <n v="3527.37"/>
    <x v="0"/>
    <n v="12"/>
    <s v="Older"/>
  </r>
  <r>
    <n v="24119974"/>
    <n v="2411997401"/>
    <n v="1"/>
    <x v="2"/>
    <x v="0"/>
    <n v="117.69"/>
    <n v="551.70000000000005"/>
    <x v="0"/>
    <n v="12"/>
    <s v="Older"/>
  </r>
  <r>
    <n v="24120134"/>
    <n v="2412013401"/>
    <n v="1"/>
    <x v="1"/>
    <x v="0"/>
    <n v="1086.1199999999999"/>
    <n v="1722.91"/>
    <x v="0"/>
    <n v="3"/>
    <s v="Newer"/>
  </r>
  <r>
    <n v="24120346"/>
    <n v="2412034601"/>
    <n v="1"/>
    <x v="24"/>
    <x v="0"/>
    <n v="2191.62"/>
    <n v="2289.6799999999998"/>
    <x v="0"/>
    <n v="15"/>
    <s v="Older"/>
  </r>
  <r>
    <n v="24120349"/>
    <n v="2412034901"/>
    <n v="1"/>
    <x v="11"/>
    <x v="0"/>
    <n v="3006.54"/>
    <n v="1890.39"/>
    <x v="0"/>
    <n v="8"/>
    <s v="Mid-age"/>
  </r>
  <r>
    <n v="24120362"/>
    <n v="2412036201"/>
    <n v="1"/>
    <x v="12"/>
    <x v="0"/>
    <n v="1177.0999999999999"/>
    <n v="1523.41"/>
    <x v="0"/>
    <n v="19"/>
    <s v="Older"/>
  </r>
  <r>
    <n v="24120422"/>
    <n v="2412042201"/>
    <n v="1"/>
    <x v="22"/>
    <x v="0"/>
    <n v="239.4"/>
    <n v="381.38"/>
    <x v="0"/>
    <n v="18"/>
    <s v="Older"/>
  </r>
  <r>
    <n v="24120867"/>
    <n v="2412086701"/>
    <n v="1"/>
    <x v="6"/>
    <x v="0"/>
    <n v="1831.5"/>
    <n v="987.33"/>
    <x v="0"/>
    <n v="7"/>
    <s v="Mid-age"/>
  </r>
  <r>
    <n v="24120932"/>
    <n v="2412093201"/>
    <n v="1"/>
    <x v="7"/>
    <x v="0"/>
    <n v="466.52"/>
    <n v="210.03"/>
    <x v="0"/>
    <n v="23"/>
    <s v="Very Old"/>
  </r>
  <r>
    <n v="24121024"/>
    <n v="2412102401"/>
    <n v="1"/>
    <x v="12"/>
    <x v="0"/>
    <n v="2133.52"/>
    <n v="4494.8500000000004"/>
    <x v="0"/>
    <n v="19"/>
    <s v="Older"/>
  </r>
  <r>
    <n v="24121081"/>
    <n v="2412108101"/>
    <n v="1"/>
    <x v="16"/>
    <x v="0"/>
    <n v="154.15"/>
    <n v="1152.2"/>
    <x v="0"/>
    <n v="14"/>
    <s v="Older"/>
  </r>
  <r>
    <n v="24121390"/>
    <n v="2412139001"/>
    <n v="1"/>
    <x v="8"/>
    <x v="0"/>
    <n v="1648.67"/>
    <n v="1593.66"/>
    <x v="0"/>
    <n v="9"/>
    <s v="Mid-age"/>
  </r>
  <r>
    <n v="24121411"/>
    <n v="2412141101"/>
    <n v="1"/>
    <x v="3"/>
    <x v="0"/>
    <n v="252.96"/>
    <n v="113.84"/>
    <x v="0"/>
    <n v="4"/>
    <s v="Mid-age"/>
  </r>
  <r>
    <n v="24121533"/>
    <n v="2412153301"/>
    <n v="1"/>
    <x v="0"/>
    <x v="0"/>
    <n v="259.67"/>
    <n v="312.18"/>
    <x v="0"/>
    <n v="13"/>
    <s v="Older"/>
  </r>
  <r>
    <n v="24121759"/>
    <n v="2412175901"/>
    <n v="1"/>
    <x v="17"/>
    <x v="0"/>
    <n v="44.57"/>
    <n v="190.9"/>
    <x v="0"/>
    <n v="16"/>
    <s v="Older"/>
  </r>
  <r>
    <n v="24121899"/>
    <n v="2412189901"/>
    <n v="1"/>
    <x v="0"/>
    <x v="0"/>
    <n v="1210.8399999999999"/>
    <n v="1173.9100000000001"/>
    <x v="0"/>
    <n v="13"/>
    <s v="Older"/>
  </r>
  <r>
    <n v="24121919"/>
    <n v="2412191901"/>
    <n v="1"/>
    <x v="8"/>
    <x v="0"/>
    <n v="259.67"/>
    <n v="312.18"/>
    <x v="0"/>
    <n v="9"/>
    <s v="Mid-age"/>
  </r>
  <r>
    <n v="24122636"/>
    <n v="2412263601"/>
    <n v="1"/>
    <x v="2"/>
    <x v="0"/>
    <n v="8.84"/>
    <n v="71.12"/>
    <x v="0"/>
    <n v="12"/>
    <s v="Older"/>
  </r>
  <r>
    <n v="24122697"/>
    <n v="2412269701"/>
    <n v="1"/>
    <x v="19"/>
    <x v="0"/>
    <n v="254.85"/>
    <n v="214.93"/>
    <x v="0"/>
    <n v="17"/>
    <s v="Older"/>
  </r>
  <r>
    <n v="24122706"/>
    <n v="2412270601"/>
    <n v="1"/>
    <x v="14"/>
    <x v="0"/>
    <n v="1414.11"/>
    <n v="1526.32"/>
    <x v="0"/>
    <n v="10"/>
    <s v="Older"/>
  </r>
  <r>
    <n v="24122829"/>
    <n v="2412282901"/>
    <n v="1"/>
    <x v="17"/>
    <x v="0"/>
    <n v="138.13999999999999"/>
    <n v="276.76"/>
    <x v="0"/>
    <n v="16"/>
    <s v="Older"/>
  </r>
  <r>
    <n v="24123077"/>
    <n v="2412307701"/>
    <n v="1"/>
    <x v="12"/>
    <x v="0"/>
    <n v="170.2"/>
    <n v="225.61"/>
    <x v="0"/>
    <n v="19"/>
    <s v="Older"/>
  </r>
  <r>
    <n v="24123119"/>
    <n v="2412311901"/>
    <n v="1"/>
    <x v="11"/>
    <x v="0"/>
    <n v="634.89"/>
    <n v="1159.3599999999999"/>
    <x v="0"/>
    <n v="8"/>
    <s v="Mid-age"/>
  </r>
  <r>
    <n v="24123291"/>
    <n v="2412329101"/>
    <n v="1"/>
    <x v="16"/>
    <x v="2"/>
    <n v="22.38"/>
    <n v="181.96"/>
    <x v="2"/>
    <n v="14"/>
    <s v="Older"/>
  </r>
  <r>
    <n v="24124219"/>
    <n v="2412421901"/>
    <n v="1"/>
    <x v="0"/>
    <x v="0"/>
    <n v="342.89"/>
    <n v="1426.85"/>
    <x v="0"/>
    <n v="13"/>
    <s v="Older"/>
  </r>
  <r>
    <n v="24124325"/>
    <n v="2412432501"/>
    <n v="1"/>
    <x v="6"/>
    <x v="0"/>
    <n v="62.88"/>
    <n v="309.66000000000003"/>
    <x v="0"/>
    <n v="7"/>
    <s v="Mid-age"/>
  </r>
  <r>
    <n v="24124376"/>
    <n v="2412437601"/>
    <n v="1"/>
    <x v="24"/>
    <x v="0"/>
    <n v="1129.03"/>
    <n v="1037.18"/>
    <x v="0"/>
    <n v="15"/>
    <s v="Older"/>
  </r>
  <r>
    <n v="24124409"/>
    <n v="2412440901"/>
    <n v="1"/>
    <x v="18"/>
    <x v="0"/>
    <n v="354.34"/>
    <n v="621.16999999999996"/>
    <x v="0"/>
    <n v="11"/>
    <s v="Older"/>
  </r>
  <r>
    <n v="24124448"/>
    <n v="2412444801"/>
    <n v="1"/>
    <x v="14"/>
    <x v="0"/>
    <n v="31.14"/>
    <n v="47.39"/>
    <x v="0"/>
    <n v="10"/>
    <s v="Older"/>
  </r>
  <r>
    <n v="24124489"/>
    <n v="2412448901"/>
    <n v="1"/>
    <x v="3"/>
    <x v="0"/>
    <n v="285.75"/>
    <n v="310.2"/>
    <x v="0"/>
    <n v="4"/>
    <s v="Mid-age"/>
  </r>
  <r>
    <n v="24124565"/>
    <n v="2412456501"/>
    <n v="1"/>
    <x v="11"/>
    <x v="0"/>
    <n v="253.14"/>
    <n v="286.52"/>
    <x v="0"/>
    <n v="8"/>
    <s v="Mid-age"/>
  </r>
  <r>
    <n v="24124603"/>
    <n v="2412460301"/>
    <n v="1"/>
    <x v="11"/>
    <x v="0"/>
    <n v="2663.27"/>
    <n v="2111.6999999999998"/>
    <x v="0"/>
    <n v="8"/>
    <s v="Mid-age"/>
  </r>
  <r>
    <n v="24125310"/>
    <n v="2412531001"/>
    <n v="1"/>
    <x v="3"/>
    <x v="0"/>
    <n v="807.22"/>
    <n v="1595.39"/>
    <x v="0"/>
    <n v="4"/>
    <s v="Mid-age"/>
  </r>
  <r>
    <n v="24125326"/>
    <n v="2412532601"/>
    <n v="1"/>
    <x v="19"/>
    <x v="0"/>
    <n v="834.99"/>
    <n v="1204.19"/>
    <x v="0"/>
    <n v="17"/>
    <s v="Older"/>
  </r>
  <r>
    <n v="24125529"/>
    <n v="2412552901"/>
    <n v="1"/>
    <x v="12"/>
    <x v="0"/>
    <n v="363.46"/>
    <n v="593.41999999999996"/>
    <x v="0"/>
    <n v="19"/>
    <s v="Older"/>
  </r>
  <r>
    <n v="24125672"/>
    <n v="2412567201"/>
    <n v="1"/>
    <x v="8"/>
    <x v="0"/>
    <n v="27.78"/>
    <n v="546.82000000000005"/>
    <x v="0"/>
    <n v="9"/>
    <s v="Mid-age"/>
  </r>
  <r>
    <n v="24125882"/>
    <n v="2412588201"/>
    <n v="1"/>
    <x v="22"/>
    <x v="0"/>
    <n v="753.05"/>
    <n v="328.34"/>
    <x v="0"/>
    <n v="18"/>
    <s v="Older"/>
  </r>
  <r>
    <n v="24126270"/>
    <n v="2412627001"/>
    <n v="1"/>
    <x v="14"/>
    <x v="0"/>
    <n v="1039.22"/>
    <n v="1584.02"/>
    <x v="0"/>
    <n v="10"/>
    <s v="Older"/>
  </r>
  <r>
    <n v="24126396"/>
    <n v="2412639601"/>
    <n v="1"/>
    <x v="5"/>
    <x v="0"/>
    <n v="32.82"/>
    <n v="158.19999999999999"/>
    <x v="0"/>
    <n v="6"/>
    <s v="Mid-age"/>
  </r>
  <r>
    <n v="24126636"/>
    <n v="2412663601"/>
    <n v="1"/>
    <x v="4"/>
    <x v="0"/>
    <n v="2477.13"/>
    <n v="2228.69"/>
    <x v="0"/>
    <n v="21"/>
    <s v="Very Old"/>
  </r>
  <r>
    <n v="24126875"/>
    <n v="2412687501"/>
    <n v="1"/>
    <x v="9"/>
    <x v="0"/>
    <n v="92.08"/>
    <n v="484.42"/>
    <x v="0"/>
    <n v="2"/>
    <s v="Newer"/>
  </r>
  <r>
    <n v="24127283"/>
    <n v="2412728301"/>
    <n v="1"/>
    <x v="18"/>
    <x v="0"/>
    <n v="342.04"/>
    <n v="726.3"/>
    <x v="0"/>
    <n v="11"/>
    <s v="Older"/>
  </r>
  <r>
    <n v="24127666"/>
    <n v="2412766601"/>
    <n v="1"/>
    <x v="6"/>
    <x v="0"/>
    <n v="214.36"/>
    <n v="277.31"/>
    <x v="0"/>
    <n v="7"/>
    <s v="Mid-age"/>
  </r>
  <r>
    <n v="24128203"/>
    <n v="2412820301"/>
    <n v="1"/>
    <x v="11"/>
    <x v="0"/>
    <n v="406.9"/>
    <n v="303.64999999999998"/>
    <x v="0"/>
    <n v="8"/>
    <s v="Mid-age"/>
  </r>
  <r>
    <n v="24128394"/>
    <n v="2412839401"/>
    <n v="1"/>
    <x v="7"/>
    <x v="0"/>
    <n v="24.42"/>
    <n v="108.26"/>
    <x v="0"/>
    <n v="23"/>
    <s v="Very Old"/>
  </r>
  <r>
    <n v="24128500"/>
    <n v="2412850001"/>
    <n v="1"/>
    <x v="5"/>
    <x v="0"/>
    <n v="14.12"/>
    <n v="128.66"/>
    <x v="0"/>
    <n v="6"/>
    <s v="Mid-age"/>
  </r>
  <r>
    <n v="24128640"/>
    <n v="2412864001"/>
    <n v="1"/>
    <x v="0"/>
    <x v="0"/>
    <n v="85.91"/>
    <n v="277.47000000000003"/>
    <x v="0"/>
    <n v="13"/>
    <s v="Older"/>
  </r>
  <r>
    <n v="24128650"/>
    <n v="2412865001"/>
    <n v="1"/>
    <x v="9"/>
    <x v="0"/>
    <n v="810.56"/>
    <n v="946.87"/>
    <x v="0"/>
    <n v="2"/>
    <s v="Newer"/>
  </r>
  <r>
    <n v="24128806"/>
    <n v="2412880601"/>
    <n v="1"/>
    <x v="21"/>
    <x v="0"/>
    <n v="59.64"/>
    <n v="135.53"/>
    <x v="0"/>
    <n v="24"/>
    <s v="Very Old"/>
  </r>
  <r>
    <n v="24129021"/>
    <n v="2412902101"/>
    <n v="1"/>
    <x v="5"/>
    <x v="0"/>
    <n v="18.760000000000002"/>
    <n v="104.32"/>
    <x v="0"/>
    <n v="6"/>
    <s v="Mid-age"/>
  </r>
  <r>
    <n v="24129160"/>
    <n v="2412916001"/>
    <n v="1"/>
    <x v="5"/>
    <x v="0"/>
    <n v="373.77"/>
    <n v="465.03"/>
    <x v="0"/>
    <n v="6"/>
    <s v="Mid-age"/>
  </r>
  <r>
    <n v="24129391"/>
    <n v="2412939101"/>
    <n v="1"/>
    <x v="1"/>
    <x v="0"/>
    <n v="324.99"/>
    <n v="382.37"/>
    <x v="0"/>
    <n v="3"/>
    <s v="Newer"/>
  </r>
  <r>
    <n v="24129530"/>
    <n v="2412953001"/>
    <n v="1"/>
    <x v="18"/>
    <x v="0"/>
    <n v="364.34"/>
    <n v="233.07"/>
    <x v="0"/>
    <n v="11"/>
    <s v="Older"/>
  </r>
  <r>
    <n v="24129594"/>
    <n v="2412959401"/>
    <n v="1"/>
    <x v="8"/>
    <x v="0"/>
    <n v="1480.08"/>
    <n v="1337.6"/>
    <x v="0"/>
    <n v="9"/>
    <s v="Mid-age"/>
  </r>
  <r>
    <n v="24129801"/>
    <n v="2412980101"/>
    <n v="1"/>
    <x v="1"/>
    <x v="0"/>
    <n v="45.18"/>
    <n v="250.5"/>
    <x v="0"/>
    <n v="3"/>
    <s v="Newer"/>
  </r>
  <r>
    <n v="24129829"/>
    <n v="2412982901"/>
    <n v="1"/>
    <x v="10"/>
    <x v="0"/>
    <n v="2474.02"/>
    <n v="2359.9"/>
    <x v="0"/>
    <n v="5"/>
    <s v="Mid-age"/>
  </r>
  <r>
    <n v="24129854"/>
    <n v="2412985401"/>
    <n v="1"/>
    <x v="0"/>
    <x v="0"/>
    <n v="85.12"/>
    <n v="263.42"/>
    <x v="0"/>
    <n v="13"/>
    <s v="Older"/>
  </r>
  <r>
    <n v="24129971"/>
    <n v="2412997101"/>
    <n v="1"/>
    <x v="5"/>
    <x v="0"/>
    <n v="647.97"/>
    <n v="312"/>
    <x v="0"/>
    <n v="6"/>
    <s v="Mid-age"/>
  </r>
  <r>
    <n v="24130031"/>
    <n v="2413003101"/>
    <n v="1"/>
    <x v="16"/>
    <x v="0"/>
    <n v="180.29"/>
    <n v="152.47999999999999"/>
    <x v="0"/>
    <n v="14"/>
    <s v="Older"/>
  </r>
  <r>
    <n v="24130048"/>
    <n v="2413004801"/>
    <n v="1"/>
    <x v="8"/>
    <x v="0"/>
    <n v="19.3"/>
    <n v="125.1"/>
    <x v="0"/>
    <n v="9"/>
    <s v="Mid-age"/>
  </r>
  <r>
    <n v="24130069"/>
    <n v="2413006901"/>
    <n v="1"/>
    <x v="1"/>
    <x v="0"/>
    <n v="32.82"/>
    <n v="158.19999999999999"/>
    <x v="0"/>
    <n v="3"/>
    <s v="Newer"/>
  </r>
  <r>
    <n v="24130215"/>
    <n v="2413021501"/>
    <n v="1"/>
    <x v="1"/>
    <x v="2"/>
    <n v="104.25"/>
    <n v="181.21"/>
    <x v="2"/>
    <n v="3"/>
    <s v="Newer"/>
  </r>
  <r>
    <n v="24130233"/>
    <n v="2413023301"/>
    <n v="1"/>
    <x v="9"/>
    <x v="0"/>
    <n v="596.87"/>
    <n v="784.67"/>
    <x v="0"/>
    <n v="2"/>
    <s v="Newer"/>
  </r>
  <r>
    <n v="24130321"/>
    <n v="2413032101"/>
    <n v="1"/>
    <x v="11"/>
    <x v="2"/>
    <n v="124.17"/>
    <n v="218"/>
    <x v="2"/>
    <n v="8"/>
    <s v="Mid-age"/>
  </r>
  <r>
    <n v="24130329"/>
    <n v="2413032901"/>
    <n v="1"/>
    <x v="17"/>
    <x v="2"/>
    <n v="374.69"/>
    <n v="370.8"/>
    <x v="2"/>
    <n v="16"/>
    <s v="Older"/>
  </r>
  <r>
    <n v="24130463"/>
    <n v="2413046301"/>
    <n v="1"/>
    <x v="0"/>
    <x v="0"/>
    <n v="2220.59"/>
    <n v="4240.46"/>
    <x v="0"/>
    <n v="13"/>
    <s v="Older"/>
  </r>
  <r>
    <n v="24130476"/>
    <n v="2413047601"/>
    <n v="1"/>
    <x v="12"/>
    <x v="0"/>
    <n v="8197.33"/>
    <n v="7862.84"/>
    <x v="0"/>
    <n v="19"/>
    <s v="Older"/>
  </r>
  <r>
    <n v="24130773"/>
    <n v="2413077301"/>
    <n v="1"/>
    <x v="10"/>
    <x v="0"/>
    <n v="104.91"/>
    <n v="296.88"/>
    <x v="0"/>
    <n v="5"/>
    <s v="Mid-age"/>
  </r>
  <r>
    <n v="24130789"/>
    <n v="2413078901"/>
    <n v="1"/>
    <x v="10"/>
    <x v="0"/>
    <n v="21.91"/>
    <n v="137.31"/>
    <x v="0"/>
    <n v="5"/>
    <s v="Mid-age"/>
  </r>
  <r>
    <n v="24131041"/>
    <n v="2413104101"/>
    <n v="1"/>
    <x v="0"/>
    <x v="2"/>
    <n v="104.91"/>
    <n v="296.88"/>
    <x v="2"/>
    <n v="13"/>
    <s v="Older"/>
  </r>
  <r>
    <n v="24131096"/>
    <n v="2413109601"/>
    <n v="1"/>
    <x v="20"/>
    <x v="0"/>
    <n v="14.12"/>
    <n v="128.66"/>
    <x v="0"/>
    <n v="22"/>
    <s v="Very Old"/>
  </r>
  <r>
    <n v="24131118"/>
    <n v="2413111801"/>
    <n v="1"/>
    <x v="18"/>
    <x v="0"/>
    <n v="1650.59"/>
    <n v="1582.83"/>
    <x v="0"/>
    <n v="11"/>
    <s v="Older"/>
  </r>
  <r>
    <n v="24131436"/>
    <n v="2413143601"/>
    <n v="1"/>
    <x v="16"/>
    <x v="0"/>
    <n v="44.06"/>
    <n v="130.65"/>
    <x v="0"/>
    <n v="14"/>
    <s v="Older"/>
  </r>
  <r>
    <n v="24131751"/>
    <n v="2413175101"/>
    <n v="1"/>
    <x v="11"/>
    <x v="0"/>
    <n v="740"/>
    <n v="617.98"/>
    <x v="0"/>
    <n v="8"/>
    <s v="Mid-age"/>
  </r>
  <r>
    <n v="24131858"/>
    <n v="2413185801"/>
    <n v="1"/>
    <x v="3"/>
    <x v="0"/>
    <n v="632.57000000000005"/>
    <n v="1318.27"/>
    <x v="0"/>
    <n v="4"/>
    <s v="Mid-age"/>
  </r>
  <r>
    <n v="24131940"/>
    <n v="2413194001"/>
    <n v="1"/>
    <x v="1"/>
    <x v="0"/>
    <n v="1652.92"/>
    <n v="321.8"/>
    <x v="0"/>
    <n v="3"/>
    <s v="Newer"/>
  </r>
  <r>
    <n v="24134083"/>
    <n v="2413408301"/>
    <n v="1"/>
    <x v="3"/>
    <x v="0"/>
    <n v="443.67"/>
    <n v="247.91"/>
    <x v="0"/>
    <n v="4"/>
    <s v="Mid-age"/>
  </r>
  <r>
    <n v="24134331"/>
    <n v="2413433101"/>
    <n v="1"/>
    <x v="18"/>
    <x v="0"/>
    <n v="218.12"/>
    <n v="241.8"/>
    <x v="0"/>
    <n v="11"/>
    <s v="Older"/>
  </r>
  <r>
    <n v="24134846"/>
    <n v="2413484601"/>
    <n v="1"/>
    <x v="14"/>
    <x v="0"/>
    <n v="1405.94"/>
    <n v="1324.1"/>
    <x v="0"/>
    <n v="10"/>
    <s v="Older"/>
  </r>
  <r>
    <n v="24134849"/>
    <n v="2413484901"/>
    <n v="1"/>
    <x v="14"/>
    <x v="0"/>
    <n v="396.72"/>
    <n v="588.57000000000005"/>
    <x v="0"/>
    <n v="10"/>
    <s v="Older"/>
  </r>
  <r>
    <n v="24134897"/>
    <n v="2413489701"/>
    <n v="1"/>
    <x v="9"/>
    <x v="2"/>
    <n v="388.29"/>
    <n v="990.49"/>
    <x v="2"/>
    <n v="2"/>
    <s v="Newer"/>
  </r>
  <r>
    <n v="24135118"/>
    <n v="2413511801"/>
    <n v="1"/>
    <x v="5"/>
    <x v="4"/>
    <n v="138.81"/>
    <n v="124.71"/>
    <x v="4"/>
    <n v="6"/>
    <s v="Mid-age"/>
  </r>
  <r>
    <n v="24135125"/>
    <n v="2413512501"/>
    <n v="1"/>
    <x v="5"/>
    <x v="0"/>
    <n v="115.3"/>
    <n v="168.73"/>
    <x v="0"/>
    <n v="6"/>
    <s v="Mid-age"/>
  </r>
  <r>
    <n v="24135152"/>
    <n v="2413515201"/>
    <n v="1"/>
    <x v="8"/>
    <x v="0"/>
    <n v="787.89"/>
    <n v="165.9"/>
    <x v="0"/>
    <n v="9"/>
    <s v="Mid-age"/>
  </r>
  <r>
    <n v="24135194"/>
    <n v="2413519401"/>
    <n v="1"/>
    <x v="6"/>
    <x v="0"/>
    <n v="946.06"/>
    <n v="1718.84"/>
    <x v="0"/>
    <n v="7"/>
    <s v="Mid-age"/>
  </r>
  <r>
    <n v="24135195"/>
    <n v="2413519501"/>
    <n v="1"/>
    <x v="10"/>
    <x v="0"/>
    <n v="49.66"/>
    <n v="87.38"/>
    <x v="0"/>
    <n v="5"/>
    <s v="Mid-age"/>
  </r>
  <r>
    <n v="24135205"/>
    <n v="2413520501"/>
    <n v="1"/>
    <x v="3"/>
    <x v="0"/>
    <n v="326.33999999999997"/>
    <n v="345.63"/>
    <x v="0"/>
    <n v="4"/>
    <s v="Mid-age"/>
  </r>
  <r>
    <n v="24135258"/>
    <n v="2413525801"/>
    <n v="1"/>
    <x v="8"/>
    <x v="0"/>
    <n v="267.16000000000003"/>
    <n v="707.8"/>
    <x v="0"/>
    <n v="9"/>
    <s v="Mid-age"/>
  </r>
  <r>
    <n v="24135288"/>
    <n v="2413528801"/>
    <n v="1"/>
    <x v="5"/>
    <x v="0"/>
    <n v="217.94"/>
    <n v="432.03"/>
    <x v="0"/>
    <n v="6"/>
    <s v="Mid-age"/>
  </r>
  <r>
    <n v="24135376"/>
    <n v="2413537601"/>
    <n v="1"/>
    <x v="1"/>
    <x v="0"/>
    <n v="1096.0999999999999"/>
    <n v="1282.9100000000001"/>
    <x v="0"/>
    <n v="3"/>
    <s v="Newer"/>
  </r>
  <r>
    <n v="24135394"/>
    <n v="2413539401"/>
    <n v="1"/>
    <x v="18"/>
    <x v="0"/>
    <n v="85.37"/>
    <n v="171.8"/>
    <x v="0"/>
    <n v="11"/>
    <s v="Older"/>
  </r>
  <r>
    <n v="24135595"/>
    <n v="2413559501"/>
    <n v="1"/>
    <x v="14"/>
    <x v="0"/>
    <n v="268.13"/>
    <n v="164.31"/>
    <x v="0"/>
    <n v="10"/>
    <s v="Older"/>
  </r>
  <r>
    <n v="24135900"/>
    <n v="2413590001"/>
    <n v="1"/>
    <x v="9"/>
    <x v="0"/>
    <n v="485.82"/>
    <n v="928.27"/>
    <x v="0"/>
    <n v="2"/>
    <s v="Newer"/>
  </r>
  <r>
    <n v="24135928"/>
    <n v="2413592801"/>
    <n v="1"/>
    <x v="27"/>
    <x v="0"/>
    <n v="561.79"/>
    <n v="647.30999999999995"/>
    <x v="0"/>
    <n v="20"/>
    <s v="Very Old"/>
  </r>
  <r>
    <n v="24136078"/>
    <n v="2413607801"/>
    <n v="1"/>
    <x v="9"/>
    <x v="4"/>
    <n v="322.08"/>
    <n v="333.06"/>
    <x v="4"/>
    <n v="2"/>
    <s v="Newer"/>
  </r>
  <r>
    <n v="24136114"/>
    <n v="2413611401"/>
    <n v="1"/>
    <x v="27"/>
    <x v="0"/>
    <n v="143.31"/>
    <n v="325.56"/>
    <x v="0"/>
    <n v="20"/>
    <s v="Very Old"/>
  </r>
  <r>
    <n v="24136119"/>
    <n v="2413611901"/>
    <n v="1"/>
    <x v="5"/>
    <x v="0"/>
    <n v="322.58"/>
    <n v="525.72"/>
    <x v="0"/>
    <n v="6"/>
    <s v="Mid-age"/>
  </r>
  <r>
    <n v="24136194"/>
    <n v="2413619401"/>
    <n v="1"/>
    <x v="2"/>
    <x v="0"/>
    <n v="68.290000000000006"/>
    <n v="124.67"/>
    <x v="0"/>
    <n v="12"/>
    <s v="Older"/>
  </r>
  <r>
    <n v="24136228"/>
    <n v="2413622801"/>
    <n v="1"/>
    <x v="3"/>
    <x v="0"/>
    <n v="115.44"/>
    <n v="256.77999999999997"/>
    <x v="0"/>
    <n v="4"/>
    <s v="Mid-age"/>
  </r>
  <r>
    <n v="24136322"/>
    <n v="2413632201"/>
    <n v="1"/>
    <x v="11"/>
    <x v="0"/>
    <n v="547.15"/>
    <n v="703.5"/>
    <x v="0"/>
    <n v="8"/>
    <s v="Mid-age"/>
  </r>
  <r>
    <n v="24136426"/>
    <n v="2413642601"/>
    <n v="1"/>
    <x v="8"/>
    <x v="0"/>
    <n v="380.64"/>
    <n v="309.42"/>
    <x v="0"/>
    <n v="9"/>
    <s v="Mid-age"/>
  </r>
  <r>
    <n v="24136449"/>
    <n v="2413644901"/>
    <n v="1"/>
    <x v="16"/>
    <x v="0"/>
    <n v="252.14"/>
    <n v="241.15"/>
    <x v="0"/>
    <n v="14"/>
    <s v="Older"/>
  </r>
  <r>
    <n v="24136467"/>
    <n v="2413646701"/>
    <n v="1"/>
    <x v="10"/>
    <x v="0"/>
    <n v="964.94"/>
    <n v="1142.83"/>
    <x v="0"/>
    <n v="5"/>
    <s v="Mid-age"/>
  </r>
  <r>
    <n v="24136496"/>
    <n v="2413649601"/>
    <n v="1"/>
    <x v="1"/>
    <x v="0"/>
    <n v="235.87"/>
    <n v="434.12"/>
    <x v="0"/>
    <n v="3"/>
    <s v="Newer"/>
  </r>
  <r>
    <n v="24136543"/>
    <n v="2413654301"/>
    <n v="1"/>
    <x v="6"/>
    <x v="0"/>
    <n v="65.64"/>
    <n v="173.06"/>
    <x v="0"/>
    <n v="7"/>
    <s v="Mid-age"/>
  </r>
  <r>
    <n v="24136751"/>
    <n v="2413675101"/>
    <n v="1"/>
    <x v="11"/>
    <x v="0"/>
    <n v="118.58"/>
    <n v="320.5"/>
    <x v="0"/>
    <n v="8"/>
    <s v="Mid-age"/>
  </r>
  <r>
    <n v="24136885"/>
    <n v="2413688501"/>
    <n v="1"/>
    <x v="16"/>
    <x v="0"/>
    <n v="510.4"/>
    <n v="333.81"/>
    <x v="0"/>
    <n v="14"/>
    <s v="Older"/>
  </r>
  <r>
    <n v="24137008"/>
    <n v="2413700801"/>
    <n v="1"/>
    <x v="0"/>
    <x v="0"/>
    <n v="50.04"/>
    <n v="73.489999999999995"/>
    <x v="0"/>
    <n v="13"/>
    <s v="Older"/>
  </r>
  <r>
    <n v="24137029"/>
    <n v="2413702901"/>
    <n v="1"/>
    <x v="20"/>
    <x v="0"/>
    <n v="856.38"/>
    <n v="480.89"/>
    <x v="0"/>
    <n v="22"/>
    <s v="Very Old"/>
  </r>
  <r>
    <n v="24137153"/>
    <n v="2413715301"/>
    <n v="1"/>
    <x v="24"/>
    <x v="0"/>
    <n v="550.16999999999996"/>
    <n v="2470.2199999999998"/>
    <x v="0"/>
    <n v="15"/>
    <s v="Older"/>
  </r>
  <r>
    <n v="24137231"/>
    <n v="2413723101"/>
    <n v="1"/>
    <x v="1"/>
    <x v="0"/>
    <n v="140.41"/>
    <n v="140.31"/>
    <x v="0"/>
    <n v="3"/>
    <s v="Newer"/>
  </r>
  <r>
    <n v="24137283"/>
    <n v="2413728301"/>
    <n v="1"/>
    <x v="10"/>
    <x v="0"/>
    <n v="118.58"/>
    <n v="127.92"/>
    <x v="0"/>
    <n v="5"/>
    <s v="Mid-age"/>
  </r>
  <r>
    <n v="24137305"/>
    <n v="2413730501"/>
    <n v="1"/>
    <x v="1"/>
    <x v="0"/>
    <n v="2505.19"/>
    <n v="1805.14"/>
    <x v="0"/>
    <n v="3"/>
    <s v="Newer"/>
  </r>
  <r>
    <n v="24137333"/>
    <n v="2413733301"/>
    <n v="1"/>
    <x v="11"/>
    <x v="0"/>
    <n v="487.86"/>
    <n v="609.85"/>
    <x v="0"/>
    <n v="8"/>
    <s v="Mid-age"/>
  </r>
  <r>
    <n v="24137346"/>
    <n v="2413734601"/>
    <n v="1"/>
    <x v="18"/>
    <x v="0"/>
    <n v="318.55"/>
    <n v="410.53"/>
    <x v="0"/>
    <n v="11"/>
    <s v="Older"/>
  </r>
  <r>
    <n v="24137412"/>
    <n v="2413741201"/>
    <n v="1"/>
    <x v="4"/>
    <x v="0"/>
    <n v="85"/>
    <n v="172.37"/>
    <x v="0"/>
    <n v="21"/>
    <s v="Very Old"/>
  </r>
  <r>
    <n v="24137485"/>
    <n v="2413748501"/>
    <n v="1"/>
    <x v="2"/>
    <x v="0"/>
    <n v="1605.48"/>
    <n v="1768.41"/>
    <x v="0"/>
    <n v="12"/>
    <s v="Older"/>
  </r>
  <r>
    <n v="24137536"/>
    <n v="2413753601"/>
    <n v="1"/>
    <x v="6"/>
    <x v="0"/>
    <n v="68.31"/>
    <n v="130.24"/>
    <x v="0"/>
    <n v="7"/>
    <s v="Mid-age"/>
  </r>
  <r>
    <n v="24137559"/>
    <n v="2413755901"/>
    <n v="1"/>
    <x v="6"/>
    <x v="0"/>
    <n v="138.79"/>
    <n v="213.42"/>
    <x v="0"/>
    <n v="7"/>
    <s v="Mid-age"/>
  </r>
  <r>
    <n v="24137585"/>
    <n v="2413758501"/>
    <n v="1"/>
    <x v="1"/>
    <x v="0"/>
    <n v="158.05000000000001"/>
    <n v="459.47"/>
    <x v="0"/>
    <n v="3"/>
    <s v="Newer"/>
  </r>
  <r>
    <n v="24137739"/>
    <n v="2413773901"/>
    <n v="1"/>
    <x v="17"/>
    <x v="0"/>
    <n v="67.819999999999993"/>
    <n v="205.06"/>
    <x v="0"/>
    <n v="16"/>
    <s v="Older"/>
  </r>
  <r>
    <n v="24137794"/>
    <n v="2413779401"/>
    <n v="1"/>
    <x v="11"/>
    <x v="0"/>
    <n v="471.93"/>
    <n v="1239.72"/>
    <x v="0"/>
    <n v="8"/>
    <s v="Mid-age"/>
  </r>
  <r>
    <n v="24137807"/>
    <n v="2413780701"/>
    <n v="1"/>
    <x v="6"/>
    <x v="0"/>
    <n v="219.23"/>
    <n v="403.2"/>
    <x v="0"/>
    <n v="7"/>
    <s v="Mid-age"/>
  </r>
  <r>
    <n v="24137824"/>
    <n v="2413782401"/>
    <n v="1"/>
    <x v="18"/>
    <x v="0"/>
    <n v="1749.47"/>
    <n v="2182.77"/>
    <x v="0"/>
    <n v="11"/>
    <s v="Older"/>
  </r>
  <r>
    <n v="24137889"/>
    <n v="2413788901"/>
    <n v="1"/>
    <x v="0"/>
    <x v="0"/>
    <n v="117.25"/>
    <n v="152.03"/>
    <x v="0"/>
    <n v="13"/>
    <s v="Older"/>
  </r>
  <r>
    <n v="24137906"/>
    <n v="2413790601"/>
    <n v="1"/>
    <x v="6"/>
    <x v="0"/>
    <n v="138.83000000000001"/>
    <n v="166.75"/>
    <x v="0"/>
    <n v="7"/>
    <s v="Mid-age"/>
  </r>
  <r>
    <n v="24137909"/>
    <n v="2413790901"/>
    <n v="1"/>
    <x v="11"/>
    <x v="0"/>
    <n v="101.95"/>
    <n v="73.16"/>
    <x v="0"/>
    <n v="8"/>
    <s v="Mid-age"/>
  </r>
  <r>
    <n v="24137915"/>
    <n v="2413791501"/>
    <n v="1"/>
    <x v="18"/>
    <x v="0"/>
    <n v="220.42"/>
    <n v="363.53"/>
    <x v="0"/>
    <n v="11"/>
    <s v="Older"/>
  </r>
  <r>
    <n v="24138120"/>
    <n v="2413812001"/>
    <n v="1"/>
    <x v="11"/>
    <x v="0"/>
    <n v="309.39999999999998"/>
    <n v="410.05"/>
    <x v="0"/>
    <n v="8"/>
    <s v="Mid-age"/>
  </r>
  <r>
    <n v="24138179"/>
    <n v="2413817901"/>
    <n v="1"/>
    <x v="27"/>
    <x v="0"/>
    <n v="578.17999999999995"/>
    <n v="1408.14"/>
    <x v="0"/>
    <n v="20"/>
    <s v="Very Old"/>
  </r>
  <r>
    <n v="24138330"/>
    <n v="2413833001"/>
    <n v="1"/>
    <x v="3"/>
    <x v="0"/>
    <n v="1495.62"/>
    <n v="449.8"/>
    <x v="0"/>
    <n v="4"/>
    <s v="Mid-age"/>
  </r>
  <r>
    <n v="24138345"/>
    <n v="2413834501"/>
    <n v="1"/>
    <x v="9"/>
    <x v="0"/>
    <n v="277.14"/>
    <n v="330.05"/>
    <x v="0"/>
    <n v="2"/>
    <s v="Newer"/>
  </r>
  <r>
    <n v="24138578"/>
    <n v="2413857801"/>
    <n v="1"/>
    <x v="3"/>
    <x v="0"/>
    <n v="318.5"/>
    <n v="307.02999999999997"/>
    <x v="0"/>
    <n v="4"/>
    <s v="Mid-age"/>
  </r>
  <r>
    <n v="24138597"/>
    <n v="2413859701"/>
    <n v="1"/>
    <x v="10"/>
    <x v="0"/>
    <n v="115.84"/>
    <n v="223.06"/>
    <x v="0"/>
    <n v="5"/>
    <s v="Mid-age"/>
  </r>
  <r>
    <n v="24138599"/>
    <n v="2413859901"/>
    <n v="1"/>
    <x v="5"/>
    <x v="0"/>
    <n v="3716.47"/>
    <n v="3932.91"/>
    <x v="0"/>
    <n v="6"/>
    <s v="Mid-age"/>
  </r>
  <r>
    <n v="24138607"/>
    <n v="2413860701"/>
    <n v="1"/>
    <x v="1"/>
    <x v="0"/>
    <n v="304.37"/>
    <n v="211.36"/>
    <x v="0"/>
    <n v="3"/>
    <s v="Newer"/>
  </r>
  <r>
    <n v="24138733"/>
    <n v="2413873301"/>
    <n v="1"/>
    <x v="12"/>
    <x v="0"/>
    <n v="1847.8"/>
    <n v="1766.02"/>
    <x v="0"/>
    <n v="19"/>
    <s v="Older"/>
  </r>
  <r>
    <n v="24138893"/>
    <n v="2413889301"/>
    <n v="1"/>
    <x v="5"/>
    <x v="0"/>
    <n v="736.23"/>
    <n v="763.03"/>
    <x v="0"/>
    <n v="6"/>
    <s v="Mid-age"/>
  </r>
  <r>
    <n v="24139014"/>
    <n v="2413901401"/>
    <n v="1"/>
    <x v="5"/>
    <x v="0"/>
    <n v="866.65"/>
    <n v="431.57"/>
    <x v="0"/>
    <n v="6"/>
    <s v="Mid-age"/>
  </r>
  <r>
    <n v="24139017"/>
    <n v="2413901701"/>
    <n v="1"/>
    <x v="10"/>
    <x v="0"/>
    <n v="1659.58"/>
    <n v="261"/>
    <x v="0"/>
    <n v="5"/>
    <s v="Mid-age"/>
  </r>
  <r>
    <n v="24139052"/>
    <n v="2413905201"/>
    <n v="1"/>
    <x v="1"/>
    <x v="0"/>
    <n v="238.28"/>
    <n v="194.64"/>
    <x v="0"/>
    <n v="3"/>
    <s v="Newer"/>
  </r>
  <r>
    <n v="24139053"/>
    <n v="2413905301"/>
    <n v="1"/>
    <x v="6"/>
    <x v="0"/>
    <n v="219.29"/>
    <n v="315.02999999999997"/>
    <x v="0"/>
    <n v="7"/>
    <s v="Mid-age"/>
  </r>
  <r>
    <n v="24139065"/>
    <n v="2413906501"/>
    <n v="1"/>
    <x v="9"/>
    <x v="0"/>
    <n v="322.18"/>
    <n v="345.44"/>
    <x v="0"/>
    <n v="2"/>
    <s v="Newer"/>
  </r>
  <r>
    <n v="24139089"/>
    <n v="2413908901"/>
    <n v="1"/>
    <x v="9"/>
    <x v="0"/>
    <n v="547.23"/>
    <n v="940.65"/>
    <x v="0"/>
    <n v="2"/>
    <s v="Newer"/>
  </r>
  <r>
    <n v="24139123"/>
    <n v="2413912301"/>
    <n v="1"/>
    <x v="11"/>
    <x v="0"/>
    <n v="117.23"/>
    <n v="113.7"/>
    <x v="0"/>
    <n v="8"/>
    <s v="Mid-age"/>
  </r>
  <r>
    <n v="24139167"/>
    <n v="2413916701"/>
    <n v="1"/>
    <x v="8"/>
    <x v="0"/>
    <n v="238.24"/>
    <n v="145.57"/>
    <x v="0"/>
    <n v="9"/>
    <s v="Mid-age"/>
  </r>
  <r>
    <n v="24139170"/>
    <n v="2413917001"/>
    <n v="1"/>
    <x v="8"/>
    <x v="0"/>
    <n v="122.25"/>
    <n v="166.09"/>
    <x v="0"/>
    <n v="9"/>
    <s v="Mid-age"/>
  </r>
  <r>
    <n v="24139227"/>
    <n v="2413922701"/>
    <n v="1"/>
    <x v="1"/>
    <x v="2"/>
    <n v="1162.08"/>
    <n v="1742.61"/>
    <x v="2"/>
    <n v="3"/>
    <s v="Newer"/>
  </r>
  <r>
    <n v="24139236"/>
    <n v="2413923601"/>
    <n v="1"/>
    <x v="1"/>
    <x v="0"/>
    <n v="245.63"/>
    <n v="118.25"/>
    <x v="0"/>
    <n v="3"/>
    <s v="Newer"/>
  </r>
  <r>
    <n v="24139263"/>
    <n v="2413926301"/>
    <n v="1"/>
    <x v="10"/>
    <x v="0"/>
    <n v="338.61"/>
    <n v="238.47"/>
    <x v="0"/>
    <n v="5"/>
    <s v="Mid-age"/>
  </r>
  <r>
    <n v="24139318"/>
    <n v="2413931801"/>
    <n v="1"/>
    <x v="10"/>
    <x v="0"/>
    <n v="217.88"/>
    <n v="552.94000000000005"/>
    <x v="0"/>
    <n v="5"/>
    <s v="Mid-age"/>
  </r>
  <r>
    <n v="24139348"/>
    <n v="2413934801"/>
    <n v="1"/>
    <x v="10"/>
    <x v="0"/>
    <n v="931.3"/>
    <n v="376.81"/>
    <x v="0"/>
    <n v="5"/>
    <s v="Mid-age"/>
  </r>
  <r>
    <n v="24139368"/>
    <n v="2413936801"/>
    <n v="1"/>
    <x v="0"/>
    <x v="0"/>
    <n v="492.73"/>
    <n v="1767.14"/>
    <x v="0"/>
    <n v="13"/>
    <s v="Older"/>
  </r>
  <r>
    <n v="24139535"/>
    <n v="2413953501"/>
    <n v="1"/>
    <x v="18"/>
    <x v="0"/>
    <n v="341.9"/>
    <n v="558.15"/>
    <x v="0"/>
    <n v="11"/>
    <s v="Older"/>
  </r>
  <r>
    <n v="24139730"/>
    <n v="2413973001"/>
    <n v="1"/>
    <x v="5"/>
    <x v="0"/>
    <n v="104.83"/>
    <n v="177.93"/>
    <x v="0"/>
    <n v="6"/>
    <s v="Mid-age"/>
  </r>
  <r>
    <n v="24139831"/>
    <n v="2413983101"/>
    <n v="1"/>
    <x v="3"/>
    <x v="0"/>
    <n v="791.75"/>
    <n v="753.43"/>
    <x v="0"/>
    <n v="4"/>
    <s v="Mid-age"/>
  </r>
  <r>
    <n v="24139877"/>
    <n v="2413987701"/>
    <n v="1"/>
    <x v="19"/>
    <x v="0"/>
    <n v="232.39"/>
    <n v="86.11"/>
    <x v="0"/>
    <n v="17"/>
    <s v="Older"/>
  </r>
  <r>
    <n v="24140058"/>
    <n v="2414005801"/>
    <n v="1"/>
    <x v="10"/>
    <x v="0"/>
    <n v="312.88"/>
    <n v="258.05"/>
    <x v="0"/>
    <n v="5"/>
    <s v="Mid-age"/>
  </r>
  <r>
    <n v="24140182"/>
    <n v="2414018201"/>
    <n v="1"/>
    <x v="18"/>
    <x v="0"/>
    <n v="141.55000000000001"/>
    <n v="328.69"/>
    <x v="0"/>
    <n v="11"/>
    <s v="Older"/>
  </r>
  <r>
    <n v="24140195"/>
    <n v="2414019501"/>
    <n v="1"/>
    <x v="19"/>
    <x v="0"/>
    <n v="811.07"/>
    <n v="810.51"/>
    <x v="0"/>
    <n v="17"/>
    <s v="Older"/>
  </r>
  <r>
    <n v="24140212"/>
    <n v="2414021201"/>
    <n v="1"/>
    <x v="16"/>
    <x v="0"/>
    <n v="1107.44"/>
    <n v="1045.92"/>
    <x v="0"/>
    <n v="14"/>
    <s v="Older"/>
  </r>
  <r>
    <n v="24140391"/>
    <n v="2414039101"/>
    <n v="1"/>
    <x v="7"/>
    <x v="0"/>
    <n v="1037.98"/>
    <n v="936.3"/>
    <x v="0"/>
    <n v="23"/>
    <s v="Very Old"/>
  </r>
  <r>
    <n v="24140535"/>
    <n v="2414053501"/>
    <n v="1"/>
    <x v="12"/>
    <x v="0"/>
    <n v="156.28"/>
    <n v="546.04999999999995"/>
    <x v="0"/>
    <n v="19"/>
    <s v="Older"/>
  </r>
  <r>
    <n v="24140545"/>
    <n v="2414054501"/>
    <n v="1"/>
    <x v="9"/>
    <x v="1"/>
    <n v="76.209999999999994"/>
    <n v="159.61000000000001"/>
    <x v="1"/>
    <n v="2"/>
    <s v="Newer"/>
  </r>
  <r>
    <n v="24140550"/>
    <n v="2414055001"/>
    <n v="1"/>
    <x v="11"/>
    <x v="2"/>
    <n v="509.51"/>
    <n v="2009.25"/>
    <x v="2"/>
    <n v="8"/>
    <s v="Mid-age"/>
  </r>
  <r>
    <n v="24140581"/>
    <n v="2414058101"/>
    <n v="1"/>
    <x v="9"/>
    <x v="1"/>
    <n v="116.77"/>
    <n v="126.26"/>
    <x v="1"/>
    <n v="2"/>
    <s v="Newer"/>
  </r>
  <r>
    <n v="24140594"/>
    <n v="2414059401"/>
    <n v="1"/>
    <x v="10"/>
    <x v="0"/>
    <n v="81.52"/>
    <n v="134.44999999999999"/>
    <x v="0"/>
    <n v="5"/>
    <s v="Mid-age"/>
  </r>
  <r>
    <n v="24140623"/>
    <n v="2414062301"/>
    <n v="1"/>
    <x v="6"/>
    <x v="0"/>
    <n v="138.91999999999999"/>
    <n v="76.94"/>
    <x v="0"/>
    <n v="7"/>
    <s v="Mid-age"/>
  </r>
  <r>
    <n v="24140803"/>
    <n v="2414080301"/>
    <n v="1"/>
    <x v="5"/>
    <x v="0"/>
    <n v="165.43"/>
    <n v="249.97"/>
    <x v="0"/>
    <n v="6"/>
    <s v="Mid-age"/>
  </r>
  <r>
    <n v="24140827"/>
    <n v="2414082701"/>
    <n v="1"/>
    <x v="6"/>
    <x v="0"/>
    <n v="194.03"/>
    <n v="214.79"/>
    <x v="0"/>
    <n v="7"/>
    <s v="Mid-age"/>
  </r>
  <r>
    <n v="24140853"/>
    <n v="2414085301"/>
    <n v="1"/>
    <x v="0"/>
    <x v="0"/>
    <n v="588.01"/>
    <n v="417.88"/>
    <x v="0"/>
    <n v="13"/>
    <s v="Older"/>
  </r>
  <r>
    <n v="24141191"/>
    <n v="2414119101"/>
    <n v="1"/>
    <x v="10"/>
    <x v="0"/>
    <n v="115.46"/>
    <n v="150.05000000000001"/>
    <x v="0"/>
    <n v="5"/>
    <s v="Mid-age"/>
  </r>
  <r>
    <n v="24141194"/>
    <n v="2414119401"/>
    <n v="1"/>
    <x v="20"/>
    <x v="0"/>
    <n v="170.19"/>
    <n v="273.19"/>
    <x v="0"/>
    <n v="22"/>
    <s v="Very Old"/>
  </r>
  <r>
    <n v="24141316"/>
    <n v="2414131601"/>
    <n v="1"/>
    <x v="11"/>
    <x v="0"/>
    <n v="166.22"/>
    <n v="263.79000000000002"/>
    <x v="0"/>
    <n v="8"/>
    <s v="Mid-age"/>
  </r>
  <r>
    <n v="24141320"/>
    <n v="2414132001"/>
    <n v="1"/>
    <x v="9"/>
    <x v="0"/>
    <n v="218.84"/>
    <n v="572.35"/>
    <x v="0"/>
    <n v="2"/>
    <s v="Newer"/>
  </r>
  <r>
    <n v="24141416"/>
    <n v="2414141601"/>
    <n v="1"/>
    <x v="28"/>
    <x v="0"/>
    <n v="116.79"/>
    <n v="168.82"/>
    <x v="0"/>
    <n v="29"/>
    <s v="Very Old"/>
  </r>
  <r>
    <n v="24141494"/>
    <n v="2414149401"/>
    <n v="1"/>
    <x v="6"/>
    <x v="0"/>
    <n v="656.1"/>
    <n v="775.13"/>
    <x v="0"/>
    <n v="7"/>
    <s v="Mid-age"/>
  </r>
  <r>
    <n v="24141529"/>
    <n v="2414152901"/>
    <n v="1"/>
    <x v="10"/>
    <x v="0"/>
    <n v="1125.74"/>
    <n v="447.32"/>
    <x v="0"/>
    <n v="5"/>
    <s v="Mid-age"/>
  </r>
  <r>
    <n v="24141533"/>
    <n v="2414153301"/>
    <n v="1"/>
    <x v="17"/>
    <x v="0"/>
    <n v="222.85"/>
    <n v="287.18"/>
    <x v="0"/>
    <n v="16"/>
    <s v="Older"/>
  </r>
  <r>
    <n v="24141537"/>
    <n v="2414153701"/>
    <n v="1"/>
    <x v="0"/>
    <x v="0"/>
    <n v="267.16000000000003"/>
    <n v="707.8"/>
    <x v="0"/>
    <n v="13"/>
    <s v="Older"/>
  </r>
  <r>
    <n v="24141552"/>
    <n v="2414155201"/>
    <n v="1"/>
    <x v="5"/>
    <x v="0"/>
    <n v="163.46"/>
    <n v="181.89"/>
    <x v="0"/>
    <n v="6"/>
    <s v="Mid-age"/>
  </r>
  <r>
    <n v="24141567"/>
    <n v="2414156701"/>
    <n v="1"/>
    <x v="10"/>
    <x v="0"/>
    <n v="264.87"/>
    <n v="825.23"/>
    <x v="0"/>
    <n v="5"/>
    <s v="Mid-age"/>
  </r>
  <r>
    <n v="24141703"/>
    <n v="2414170301"/>
    <n v="1"/>
    <x v="6"/>
    <x v="0"/>
    <n v="1026.3"/>
    <n v="1112.72"/>
    <x v="0"/>
    <n v="7"/>
    <s v="Mid-age"/>
  </r>
  <r>
    <n v="24141771"/>
    <n v="2414177101"/>
    <n v="1"/>
    <x v="8"/>
    <x v="0"/>
    <n v="173.57"/>
    <n v="229.79"/>
    <x v="0"/>
    <n v="9"/>
    <s v="Mid-age"/>
  </r>
  <r>
    <n v="24141812"/>
    <n v="2414181201"/>
    <n v="1"/>
    <x v="9"/>
    <x v="0"/>
    <n v="115.47"/>
    <n v="200.63"/>
    <x v="0"/>
    <n v="2"/>
    <s v="Newer"/>
  </r>
  <r>
    <n v="24141850"/>
    <n v="2414185001"/>
    <n v="1"/>
    <x v="8"/>
    <x v="0"/>
    <n v="609"/>
    <n v="884.5"/>
    <x v="0"/>
    <n v="9"/>
    <s v="Mid-age"/>
  </r>
  <r>
    <n v="24141864"/>
    <n v="2414186401"/>
    <n v="1"/>
    <x v="33"/>
    <x v="0"/>
    <n v="1674.96"/>
    <n v="1122.49"/>
    <x v="0"/>
    <n v="33"/>
    <s v="Very Old"/>
  </r>
  <r>
    <n v="24141923"/>
    <n v="2414192301"/>
    <n v="1"/>
    <x v="5"/>
    <x v="0"/>
    <n v="303.43"/>
    <n v="802.89"/>
    <x v="0"/>
    <n v="6"/>
    <s v="Mid-age"/>
  </r>
  <r>
    <n v="24142005"/>
    <n v="2414200501"/>
    <n v="1"/>
    <x v="11"/>
    <x v="0"/>
    <n v="158.05000000000001"/>
    <n v="459.47"/>
    <x v="0"/>
    <n v="8"/>
    <s v="Mid-age"/>
  </r>
  <r>
    <n v="24142021"/>
    <n v="2414202101"/>
    <n v="1"/>
    <x v="3"/>
    <x v="0"/>
    <n v="277.35000000000002"/>
    <n v="707.49"/>
    <x v="0"/>
    <n v="4"/>
    <s v="Mid-age"/>
  </r>
  <r>
    <n v="24142131"/>
    <n v="2414213101"/>
    <n v="1"/>
    <x v="2"/>
    <x v="3"/>
    <n v="140.41"/>
    <n v="140.31"/>
    <x v="3"/>
    <n v="12"/>
    <s v="Older"/>
  </r>
  <r>
    <n v="24142230"/>
    <n v="2414223001"/>
    <n v="1"/>
    <x v="0"/>
    <x v="0"/>
    <n v="140.37"/>
    <n v="179.58"/>
    <x v="0"/>
    <n v="13"/>
    <s v="Older"/>
  </r>
  <r>
    <n v="24142337"/>
    <n v="2414233701"/>
    <n v="1"/>
    <x v="10"/>
    <x v="0"/>
    <n v="717.33"/>
    <n v="1659.5"/>
    <x v="0"/>
    <n v="5"/>
    <s v="Mid-age"/>
  </r>
  <r>
    <n v="24142386"/>
    <n v="2414238601"/>
    <n v="1"/>
    <x v="4"/>
    <x v="0"/>
    <n v="445.01"/>
    <n v="1233.24"/>
    <x v="0"/>
    <n v="21"/>
    <s v="Very Old"/>
  </r>
  <r>
    <n v="24142519"/>
    <n v="2414251901"/>
    <n v="1"/>
    <x v="1"/>
    <x v="0"/>
    <n v="250.68"/>
    <n v="670.69"/>
    <x v="0"/>
    <n v="3"/>
    <s v="Newer"/>
  </r>
  <r>
    <n v="24142543"/>
    <n v="2414254301"/>
    <n v="1"/>
    <x v="6"/>
    <x v="0"/>
    <n v="179.49"/>
    <n v="214.71"/>
    <x v="0"/>
    <n v="7"/>
    <s v="Mid-age"/>
  </r>
  <r>
    <n v="24142566"/>
    <n v="2414256601"/>
    <n v="1"/>
    <x v="1"/>
    <x v="2"/>
    <n v="146.86000000000001"/>
    <n v="257.70999999999998"/>
    <x v="2"/>
    <n v="3"/>
    <s v="Newer"/>
  </r>
  <r>
    <n v="24142718"/>
    <n v="2414271801"/>
    <n v="1"/>
    <x v="10"/>
    <x v="2"/>
    <n v="163.01"/>
    <n v="419.32"/>
    <x v="2"/>
    <n v="5"/>
    <s v="Mid-age"/>
  </r>
  <r>
    <n v="24142742"/>
    <n v="2414274201"/>
    <n v="1"/>
    <x v="6"/>
    <x v="0"/>
    <n v="322.67"/>
    <n v="410.76"/>
    <x v="0"/>
    <n v="7"/>
    <s v="Mid-age"/>
  </r>
  <r>
    <n v="24142754"/>
    <n v="2414275401"/>
    <n v="1"/>
    <x v="10"/>
    <x v="0"/>
    <n v="281.72000000000003"/>
    <n v="224.18"/>
    <x v="0"/>
    <n v="5"/>
    <s v="Mid-age"/>
  </r>
  <r>
    <n v="24142836"/>
    <n v="2414283601"/>
    <n v="1"/>
    <x v="12"/>
    <x v="0"/>
    <n v="687.49"/>
    <n v="1748.29"/>
    <x v="0"/>
    <n v="19"/>
    <s v="Older"/>
  </r>
  <r>
    <n v="24142846"/>
    <n v="2414284601"/>
    <n v="1"/>
    <x v="14"/>
    <x v="0"/>
    <n v="84.58"/>
    <n v="113.21"/>
    <x v="0"/>
    <n v="10"/>
    <s v="Older"/>
  </r>
  <r>
    <n v="24142944"/>
    <n v="2414294401"/>
    <n v="1"/>
    <x v="14"/>
    <x v="0"/>
    <n v="361.74"/>
    <n v="998.55"/>
    <x v="0"/>
    <n v="10"/>
    <s v="Older"/>
  </r>
  <r>
    <n v="24143114"/>
    <n v="2414311401"/>
    <n v="1"/>
    <x v="1"/>
    <x v="0"/>
    <n v="145.24"/>
    <n v="150.78"/>
    <x v="0"/>
    <n v="3"/>
    <s v="Newer"/>
  </r>
  <r>
    <n v="24143163"/>
    <n v="2414316301"/>
    <n v="1"/>
    <x v="10"/>
    <x v="0"/>
    <n v="175.43"/>
    <n v="130.66"/>
    <x v="0"/>
    <n v="5"/>
    <s v="Mid-age"/>
  </r>
  <r>
    <n v="24143167"/>
    <n v="2414316701"/>
    <n v="1"/>
    <x v="6"/>
    <x v="0"/>
    <n v="115.08"/>
    <n v="490.11"/>
    <x v="0"/>
    <n v="7"/>
    <s v="Mid-age"/>
  </r>
  <r>
    <n v="24143181"/>
    <n v="2414318101"/>
    <n v="1"/>
    <x v="2"/>
    <x v="0"/>
    <n v="167.31"/>
    <n v="210.33"/>
    <x v="0"/>
    <n v="12"/>
    <s v="Older"/>
  </r>
  <r>
    <n v="24143226"/>
    <n v="2414322601"/>
    <n v="1"/>
    <x v="10"/>
    <x v="0"/>
    <n v="326.29000000000002"/>
    <n v="258.49"/>
    <x v="0"/>
    <n v="5"/>
    <s v="Mid-age"/>
  </r>
  <r>
    <n v="24143248"/>
    <n v="2414324801"/>
    <n v="1"/>
    <x v="3"/>
    <x v="4"/>
    <n v="267.16000000000003"/>
    <n v="707.8"/>
    <x v="4"/>
    <n v="4"/>
    <s v="Mid-age"/>
  </r>
  <r>
    <n v="24143335"/>
    <n v="2414333501"/>
    <n v="1"/>
    <x v="18"/>
    <x v="0"/>
    <n v="1018.28"/>
    <n v="1058.99"/>
    <x v="0"/>
    <n v="11"/>
    <s v="Older"/>
  </r>
  <r>
    <n v="24143420"/>
    <n v="2414342001"/>
    <n v="1"/>
    <x v="9"/>
    <x v="0"/>
    <n v="1674.96"/>
    <n v="1122.49"/>
    <x v="0"/>
    <n v="2"/>
    <s v="Newer"/>
  </r>
  <r>
    <n v="24143519"/>
    <n v="2414351901"/>
    <n v="1"/>
    <x v="5"/>
    <x v="0"/>
    <n v="116.79"/>
    <n v="168.82"/>
    <x v="0"/>
    <n v="6"/>
    <s v="Mid-age"/>
  </r>
  <r>
    <n v="24143531"/>
    <n v="2414353101"/>
    <n v="1"/>
    <x v="3"/>
    <x v="0"/>
    <n v="83.93"/>
    <n v="134.6"/>
    <x v="0"/>
    <n v="4"/>
    <s v="Mid-age"/>
  </r>
  <r>
    <n v="24143562"/>
    <n v="2414356201"/>
    <n v="1"/>
    <x v="12"/>
    <x v="0"/>
    <n v="608.84"/>
    <n v="1132.06"/>
    <x v="0"/>
    <n v="19"/>
    <s v="Older"/>
  </r>
  <r>
    <n v="24143623"/>
    <n v="2414362301"/>
    <n v="1"/>
    <x v="6"/>
    <x v="0"/>
    <n v="611.09"/>
    <n v="213.72"/>
    <x v="0"/>
    <n v="7"/>
    <s v="Mid-age"/>
  </r>
  <r>
    <n v="24143676"/>
    <n v="2414367601"/>
    <n v="1"/>
    <x v="6"/>
    <x v="0"/>
    <n v="357.24"/>
    <n v="501.64"/>
    <x v="0"/>
    <n v="7"/>
    <s v="Mid-age"/>
  </r>
  <r>
    <n v="24143684"/>
    <n v="2414368401"/>
    <n v="1"/>
    <x v="14"/>
    <x v="0"/>
    <n v="318.5"/>
    <n v="307.02999999999997"/>
    <x v="0"/>
    <n v="10"/>
    <s v="Older"/>
  </r>
  <r>
    <n v="24143793"/>
    <n v="2414379301"/>
    <n v="1"/>
    <x v="10"/>
    <x v="0"/>
    <n v="729.59"/>
    <n v="844.73"/>
    <x v="0"/>
    <n v="5"/>
    <s v="Mid-age"/>
  </r>
  <r>
    <n v="24143822"/>
    <n v="2414382201"/>
    <n v="1"/>
    <x v="23"/>
    <x v="0"/>
    <n v="467.1"/>
    <n v="260.58"/>
    <x v="0"/>
    <n v="46"/>
    <s v="Very Old"/>
  </r>
  <r>
    <n v="24143829"/>
    <n v="2414382901"/>
    <n v="1"/>
    <x v="9"/>
    <x v="0"/>
    <n v="513.88"/>
    <n v="474.53"/>
    <x v="0"/>
    <n v="2"/>
    <s v="Newer"/>
  </r>
  <r>
    <n v="24144072"/>
    <n v="2414407201"/>
    <n v="1"/>
    <x v="18"/>
    <x v="0"/>
    <n v="379.48"/>
    <n v="291.95999999999998"/>
    <x v="0"/>
    <n v="11"/>
    <s v="Older"/>
  </r>
  <r>
    <n v="24144104"/>
    <n v="2414410401"/>
    <n v="1"/>
    <x v="3"/>
    <x v="1"/>
    <n v="249.33"/>
    <n v="395.68"/>
    <x v="1"/>
    <n v="4"/>
    <s v="Mid-age"/>
  </r>
  <r>
    <n v="24144178"/>
    <n v="2414417801"/>
    <n v="1"/>
    <x v="11"/>
    <x v="0"/>
    <n v="116.79"/>
    <n v="168.82"/>
    <x v="0"/>
    <n v="8"/>
    <s v="Mid-age"/>
  </r>
  <r>
    <n v="24144297"/>
    <n v="2414429701"/>
    <n v="1"/>
    <x v="15"/>
    <x v="0"/>
    <n v="95.84"/>
    <n v="56.2"/>
    <x v="0"/>
    <n v="26"/>
    <s v="Very Old"/>
  </r>
  <r>
    <n v="24144401"/>
    <n v="2414440101"/>
    <n v="1"/>
    <x v="1"/>
    <x v="0"/>
    <n v="230.51"/>
    <n v="308.60000000000002"/>
    <x v="0"/>
    <n v="3"/>
    <s v="Newer"/>
  </r>
  <r>
    <n v="24144442"/>
    <n v="2414444201"/>
    <n v="1"/>
    <x v="11"/>
    <x v="0"/>
    <n v="207.09"/>
    <n v="593.47"/>
    <x v="0"/>
    <n v="8"/>
    <s v="Mid-age"/>
  </r>
  <r>
    <n v="24144447"/>
    <n v="2414444701"/>
    <n v="1"/>
    <x v="18"/>
    <x v="0"/>
    <n v="160.47999999999999"/>
    <n v="387.77"/>
    <x v="0"/>
    <n v="11"/>
    <s v="Older"/>
  </r>
  <r>
    <n v="24144466"/>
    <n v="2414446601"/>
    <n v="1"/>
    <x v="8"/>
    <x v="0"/>
    <n v="164.5"/>
    <n v="65.599999999999994"/>
    <x v="0"/>
    <n v="9"/>
    <s v="Mid-age"/>
  </r>
  <r>
    <n v="24144524"/>
    <n v="2414452401"/>
    <n v="1"/>
    <x v="6"/>
    <x v="0"/>
    <n v="89.14"/>
    <n v="192.81"/>
    <x v="0"/>
    <n v="7"/>
    <s v="Mid-age"/>
  </r>
  <r>
    <n v="24144563"/>
    <n v="2414456301"/>
    <n v="1"/>
    <x v="16"/>
    <x v="0"/>
    <n v="321.12"/>
    <n v="752.92"/>
    <x v="0"/>
    <n v="14"/>
    <s v="Older"/>
  </r>
  <r>
    <n v="24144653"/>
    <n v="2414465301"/>
    <n v="1"/>
    <x v="11"/>
    <x v="0"/>
    <n v="394.68"/>
    <n v="510.05"/>
    <x v="0"/>
    <n v="8"/>
    <s v="Mid-age"/>
  </r>
  <r>
    <n v="24144790"/>
    <n v="2414479001"/>
    <n v="1"/>
    <x v="24"/>
    <x v="0"/>
    <n v="158.01"/>
    <n v="588.07000000000005"/>
    <x v="0"/>
    <n v="15"/>
    <s v="Older"/>
  </r>
  <r>
    <n v="24144799"/>
    <n v="2414479901"/>
    <n v="1"/>
    <x v="6"/>
    <x v="0"/>
    <n v="267.16000000000003"/>
    <n v="707.8"/>
    <x v="0"/>
    <n v="7"/>
    <s v="Mid-age"/>
  </r>
  <r>
    <n v="24144801"/>
    <n v="2414480101"/>
    <n v="1"/>
    <x v="3"/>
    <x v="0"/>
    <n v="116.76"/>
    <n v="216.07"/>
    <x v="0"/>
    <n v="4"/>
    <s v="Mid-age"/>
  </r>
  <r>
    <n v="24144813"/>
    <n v="2414481301"/>
    <n v="1"/>
    <x v="6"/>
    <x v="0"/>
    <n v="121.8"/>
    <n v="167.8"/>
    <x v="0"/>
    <n v="7"/>
    <s v="Mid-age"/>
  </r>
  <r>
    <n v="24144903"/>
    <n v="2414490301"/>
    <n v="1"/>
    <x v="1"/>
    <x v="0"/>
    <n v="1175.5999999999999"/>
    <n v="2567.6799999999998"/>
    <x v="0"/>
    <n v="3"/>
    <s v="Newer"/>
  </r>
  <r>
    <n v="24145008"/>
    <n v="2414500801"/>
    <n v="1"/>
    <x v="10"/>
    <x v="0"/>
    <n v="321.12"/>
    <n v="752.92"/>
    <x v="0"/>
    <n v="5"/>
    <s v="Mid-age"/>
  </r>
  <r>
    <n v="24145037"/>
    <n v="2414503701"/>
    <n v="1"/>
    <x v="3"/>
    <x v="0"/>
    <n v="115.28"/>
    <n v="126.19"/>
    <x v="0"/>
    <n v="4"/>
    <s v="Mid-age"/>
  </r>
  <r>
    <n v="24145312"/>
    <n v="2414531201"/>
    <n v="1"/>
    <x v="10"/>
    <x v="0"/>
    <n v="170.14"/>
    <n v="349.65"/>
    <x v="0"/>
    <n v="5"/>
    <s v="Mid-age"/>
  </r>
  <r>
    <n v="24145319"/>
    <n v="2414531901"/>
    <n v="1"/>
    <x v="9"/>
    <x v="0"/>
    <n v="90.16"/>
    <n v="162.24"/>
    <x v="0"/>
    <n v="2"/>
    <s v="Newer"/>
  </r>
  <r>
    <n v="24145463"/>
    <n v="2414546301"/>
    <n v="1"/>
    <x v="9"/>
    <x v="1"/>
    <n v="91.92"/>
    <n v="75.010000000000005"/>
    <x v="1"/>
    <n v="2"/>
    <s v="Newer"/>
  </r>
  <r>
    <n v="24145558"/>
    <n v="2414555801"/>
    <n v="1"/>
    <x v="16"/>
    <x v="0"/>
    <n v="200.44"/>
    <n v="197.06"/>
    <x v="0"/>
    <n v="14"/>
    <s v="Older"/>
  </r>
  <r>
    <n v="24145643"/>
    <n v="2414564301"/>
    <n v="1"/>
    <x v="6"/>
    <x v="0"/>
    <n v="292.5"/>
    <n v="306.35000000000002"/>
    <x v="0"/>
    <n v="7"/>
    <s v="Mid-age"/>
  </r>
  <r>
    <n v="24145667"/>
    <n v="2414566701"/>
    <n v="1"/>
    <x v="3"/>
    <x v="2"/>
    <n v="199.46"/>
    <n v="383.91"/>
    <x v="2"/>
    <n v="4"/>
    <s v="Mid-age"/>
  </r>
  <r>
    <n v="24145687"/>
    <n v="2414568701"/>
    <n v="1"/>
    <x v="0"/>
    <x v="0"/>
    <n v="397.06"/>
    <n v="963.43"/>
    <x v="0"/>
    <n v="13"/>
    <s v="Older"/>
  </r>
  <r>
    <n v="24145693"/>
    <n v="2414569301"/>
    <n v="1"/>
    <x v="11"/>
    <x v="0"/>
    <n v="1413.41"/>
    <n v="2134.09"/>
    <x v="0"/>
    <n v="8"/>
    <s v="Mid-age"/>
  </r>
  <r>
    <n v="24145701"/>
    <n v="2414570101"/>
    <n v="1"/>
    <x v="9"/>
    <x v="1"/>
    <n v="166.1"/>
    <n v="242.68"/>
    <x v="1"/>
    <n v="2"/>
    <s v="Newer"/>
  </r>
  <r>
    <n v="24145755"/>
    <n v="2414575501"/>
    <n v="1"/>
    <x v="19"/>
    <x v="0"/>
    <n v="141.51"/>
    <n v="420.69"/>
    <x v="0"/>
    <n v="17"/>
    <s v="Older"/>
  </r>
  <r>
    <n v="24145770"/>
    <n v="2414577001"/>
    <n v="1"/>
    <x v="1"/>
    <x v="0"/>
    <n v="216.37"/>
    <n v="144.4"/>
    <x v="0"/>
    <n v="3"/>
    <s v="Newer"/>
  </r>
  <r>
    <n v="24145776"/>
    <n v="2414577601"/>
    <n v="1"/>
    <x v="9"/>
    <x v="0"/>
    <n v="318.5"/>
    <n v="307.02999999999997"/>
    <x v="0"/>
    <n v="2"/>
    <s v="Newer"/>
  </r>
  <r>
    <n v="24145803"/>
    <n v="2414580301"/>
    <n v="1"/>
    <x v="16"/>
    <x v="0"/>
    <n v="488.64"/>
    <n v="999.32"/>
    <x v="0"/>
    <n v="14"/>
    <s v="Older"/>
  </r>
  <r>
    <n v="24145879"/>
    <n v="2414587901"/>
    <n v="1"/>
    <x v="8"/>
    <x v="0"/>
    <n v="116.77"/>
    <n v="126.26"/>
    <x v="0"/>
    <n v="9"/>
    <s v="Mid-age"/>
  </r>
  <r>
    <n v="24145929"/>
    <n v="2414592901"/>
    <n v="1"/>
    <x v="5"/>
    <x v="0"/>
    <n v="267.16000000000003"/>
    <n v="707.8"/>
    <x v="0"/>
    <n v="6"/>
    <s v="Mid-age"/>
  </r>
  <r>
    <n v="24145939"/>
    <n v="2414593901"/>
    <n v="1"/>
    <x v="10"/>
    <x v="0"/>
    <n v="1701.76"/>
    <n v="2612.48"/>
    <x v="0"/>
    <n v="5"/>
    <s v="Mid-age"/>
  </r>
  <r>
    <n v="24145972"/>
    <n v="2414597201"/>
    <n v="1"/>
    <x v="1"/>
    <x v="0"/>
    <n v="376.36"/>
    <n v="367.72"/>
    <x v="0"/>
    <n v="3"/>
    <s v="Newer"/>
  </r>
  <r>
    <n v="24146023"/>
    <n v="2414602301"/>
    <n v="1"/>
    <x v="1"/>
    <x v="0"/>
    <n v="79.38"/>
    <n v="189.33"/>
    <x v="0"/>
    <n v="3"/>
    <s v="Newer"/>
  </r>
  <r>
    <n v="24146103"/>
    <n v="2414610301"/>
    <n v="1"/>
    <x v="2"/>
    <x v="0"/>
    <n v="388.04"/>
    <n v="834.98"/>
    <x v="0"/>
    <n v="12"/>
    <s v="Older"/>
  </r>
  <r>
    <n v="24146136"/>
    <n v="2414613601"/>
    <n v="1"/>
    <x v="17"/>
    <x v="0"/>
    <n v="1688.41"/>
    <n v="745.85"/>
    <x v="0"/>
    <n v="16"/>
    <s v="Older"/>
  </r>
  <r>
    <n v="24146231"/>
    <n v="2414623101"/>
    <n v="1"/>
    <x v="18"/>
    <x v="0"/>
    <n v="748.88"/>
    <n v="991.06"/>
    <x v="0"/>
    <n v="11"/>
    <s v="Older"/>
  </r>
  <r>
    <n v="24146239"/>
    <n v="2414623901"/>
    <n v="1"/>
    <x v="3"/>
    <x v="0"/>
    <n v="148.09"/>
    <n v="110.27"/>
    <x v="0"/>
    <n v="4"/>
    <s v="Mid-age"/>
  </r>
  <r>
    <n v="24146330"/>
    <n v="2414633001"/>
    <n v="1"/>
    <x v="16"/>
    <x v="2"/>
    <n v="134.93"/>
    <n v="275.64999999999998"/>
    <x v="2"/>
    <n v="14"/>
    <s v="Older"/>
  </r>
  <r>
    <n v="24146383"/>
    <n v="2414638301"/>
    <n v="1"/>
    <x v="6"/>
    <x v="0"/>
    <n v="118.58"/>
    <n v="127.92"/>
    <x v="0"/>
    <n v="7"/>
    <s v="Mid-age"/>
  </r>
  <r>
    <n v="24146424"/>
    <n v="2414642401"/>
    <n v="1"/>
    <x v="3"/>
    <x v="0"/>
    <n v="312.88"/>
    <n v="258.05"/>
    <x v="0"/>
    <n v="4"/>
    <s v="Mid-age"/>
  </r>
  <r>
    <n v="24146447"/>
    <n v="2414644701"/>
    <n v="1"/>
    <x v="10"/>
    <x v="0"/>
    <n v="79.83"/>
    <n v="178.94"/>
    <x v="0"/>
    <n v="5"/>
    <s v="Mid-age"/>
  </r>
  <r>
    <n v="24146464"/>
    <n v="2414646401"/>
    <n v="1"/>
    <x v="9"/>
    <x v="0"/>
    <n v="748.88"/>
    <n v="991.06"/>
    <x v="0"/>
    <n v="2"/>
    <s v="Newer"/>
  </r>
  <r>
    <n v="24146501"/>
    <n v="2414650101"/>
    <n v="1"/>
    <x v="18"/>
    <x v="0"/>
    <n v="630.94000000000005"/>
    <n v="546.69000000000005"/>
    <x v="0"/>
    <n v="11"/>
    <s v="Older"/>
  </r>
  <r>
    <n v="24146504"/>
    <n v="2414650401"/>
    <n v="1"/>
    <x v="17"/>
    <x v="0"/>
    <n v="1480.21"/>
    <n v="1609.98"/>
    <x v="0"/>
    <n v="16"/>
    <s v="Older"/>
  </r>
  <r>
    <n v="24146547"/>
    <n v="2414654701"/>
    <n v="1"/>
    <x v="5"/>
    <x v="0"/>
    <n v="737.94"/>
    <n v="1733.5"/>
    <x v="0"/>
    <n v="6"/>
    <s v="Mid-age"/>
  </r>
  <r>
    <n v="24146562"/>
    <n v="2414656201"/>
    <n v="1"/>
    <x v="27"/>
    <x v="0"/>
    <n v="615.87"/>
    <n v="1417.1"/>
    <x v="0"/>
    <n v="20"/>
    <s v="Very Old"/>
  </r>
  <r>
    <n v="24146588"/>
    <n v="2414658801"/>
    <n v="1"/>
    <x v="6"/>
    <x v="0"/>
    <n v="366.36"/>
    <n v="320.42"/>
    <x v="0"/>
    <n v="7"/>
    <s v="Mid-age"/>
  </r>
  <r>
    <n v="24146604"/>
    <n v="2414660401"/>
    <n v="1"/>
    <x v="5"/>
    <x v="0"/>
    <n v="582.39"/>
    <n v="1130.79"/>
    <x v="0"/>
    <n v="6"/>
    <s v="Mid-age"/>
  </r>
  <r>
    <n v="24146607"/>
    <n v="2414660701"/>
    <n v="1"/>
    <x v="1"/>
    <x v="1"/>
    <n v="193.28"/>
    <n v="424.16"/>
    <x v="1"/>
    <n v="3"/>
    <s v="Newer"/>
  </r>
  <r>
    <n v="24146616"/>
    <n v="2414661601"/>
    <n v="1"/>
    <x v="5"/>
    <x v="0"/>
    <n v="170.14"/>
    <n v="349.65"/>
    <x v="0"/>
    <n v="6"/>
    <s v="Mid-age"/>
  </r>
  <r>
    <n v="24146955"/>
    <n v="2414695501"/>
    <n v="1"/>
    <x v="20"/>
    <x v="0"/>
    <n v="229.98"/>
    <n v="107.2"/>
    <x v="0"/>
    <n v="22"/>
    <s v="Very Old"/>
  </r>
  <r>
    <n v="24147010"/>
    <n v="2414701001"/>
    <n v="1"/>
    <x v="1"/>
    <x v="0"/>
    <n v="501.56"/>
    <n v="544.04"/>
    <x v="0"/>
    <n v="3"/>
    <s v="Newer"/>
  </r>
  <r>
    <n v="24147012"/>
    <n v="2414701201"/>
    <n v="1"/>
    <x v="11"/>
    <x v="0"/>
    <n v="102.19"/>
    <n v="143.27000000000001"/>
    <x v="0"/>
    <n v="8"/>
    <s v="Mid-age"/>
  </r>
  <r>
    <n v="24147015"/>
    <n v="2414701501"/>
    <n v="1"/>
    <x v="11"/>
    <x v="0"/>
    <n v="115.47"/>
    <n v="200.63"/>
    <x v="0"/>
    <n v="8"/>
    <s v="Mid-age"/>
  </r>
  <r>
    <n v="24147142"/>
    <n v="2414714201"/>
    <n v="1"/>
    <x v="8"/>
    <x v="0"/>
    <n v="115.28"/>
    <n v="126.19"/>
    <x v="0"/>
    <n v="9"/>
    <s v="Mid-age"/>
  </r>
  <r>
    <n v="24147171"/>
    <n v="2414717101"/>
    <n v="1"/>
    <x v="8"/>
    <x v="0"/>
    <n v="206.67"/>
    <n v="133"/>
    <x v="0"/>
    <n v="9"/>
    <s v="Mid-age"/>
  </r>
  <r>
    <n v="24147211"/>
    <n v="2414721101"/>
    <n v="1"/>
    <x v="19"/>
    <x v="0"/>
    <n v="1097.03"/>
    <n v="853.71"/>
    <x v="0"/>
    <n v="17"/>
    <s v="Older"/>
  </r>
  <r>
    <n v="24147249"/>
    <n v="2414724901"/>
    <n v="1"/>
    <x v="9"/>
    <x v="2"/>
    <n v="512.11"/>
    <n v="840.7"/>
    <x v="2"/>
    <n v="2"/>
    <s v="Newer"/>
  </r>
  <r>
    <n v="24147277"/>
    <n v="2414727701"/>
    <n v="1"/>
    <x v="5"/>
    <x v="0"/>
    <n v="510.22"/>
    <n v="964.23"/>
    <x v="0"/>
    <n v="6"/>
    <s v="Mid-age"/>
  </r>
  <r>
    <n v="24147326"/>
    <n v="2414732601"/>
    <n v="1"/>
    <x v="5"/>
    <x v="0"/>
    <n v="2769.37"/>
    <n v="2649.32"/>
    <x v="0"/>
    <n v="6"/>
    <s v="Mid-age"/>
  </r>
  <r>
    <n v="24147416"/>
    <n v="2414741601"/>
    <n v="1"/>
    <x v="1"/>
    <x v="0"/>
    <n v="267.16000000000003"/>
    <n v="707.8"/>
    <x v="0"/>
    <n v="3"/>
    <s v="Newer"/>
  </r>
  <r>
    <n v="24147440"/>
    <n v="2414744001"/>
    <n v="1"/>
    <x v="1"/>
    <x v="4"/>
    <n v="86.34"/>
    <n v="136.44999999999999"/>
    <x v="4"/>
    <n v="3"/>
    <s v="Newer"/>
  </r>
  <r>
    <n v="24147714"/>
    <n v="2414771401"/>
    <n v="1"/>
    <x v="6"/>
    <x v="2"/>
    <n v="507.77"/>
    <n v="798.14"/>
    <x v="2"/>
    <n v="7"/>
    <s v="Mid-age"/>
  </r>
  <r>
    <n v="24148701"/>
    <n v="2414870101"/>
    <n v="1"/>
    <x v="6"/>
    <x v="0"/>
    <n v="455.31"/>
    <n v="1449.89"/>
    <x v="0"/>
    <n v="7"/>
    <s v="Mid-age"/>
  </r>
  <r>
    <n v="24148703"/>
    <n v="2414870301"/>
    <n v="1"/>
    <x v="11"/>
    <x v="0"/>
    <n v="232.04"/>
    <n v="180.57"/>
    <x v="0"/>
    <n v="8"/>
    <s v="Mid-age"/>
  </r>
  <r>
    <n v="24148741"/>
    <n v="2414874101"/>
    <n v="1"/>
    <x v="9"/>
    <x v="4"/>
    <n v="952.07"/>
    <n v="1420.74"/>
    <x v="4"/>
    <n v="2"/>
    <s v="Newer"/>
  </r>
  <r>
    <n v="24148762"/>
    <n v="2414876201"/>
    <n v="1"/>
    <x v="6"/>
    <x v="2"/>
    <n v="630.33000000000004"/>
    <n v="1949.11"/>
    <x v="2"/>
    <n v="7"/>
    <s v="Mid-age"/>
  </r>
  <r>
    <n v="24148765"/>
    <n v="2414876501"/>
    <n v="1"/>
    <x v="11"/>
    <x v="2"/>
    <n v="824.62"/>
    <n v="1013.99"/>
    <x v="2"/>
    <n v="8"/>
    <s v="Mid-age"/>
  </r>
  <r>
    <n v="24148767"/>
    <n v="2414876701"/>
    <n v="1"/>
    <x v="3"/>
    <x v="0"/>
    <n v="1040.6500000000001"/>
    <n v="991.97"/>
    <x v="0"/>
    <n v="4"/>
    <s v="Mid-age"/>
  </r>
  <r>
    <n v="24148784"/>
    <n v="2414878401"/>
    <n v="1"/>
    <x v="11"/>
    <x v="0"/>
    <n v="196.36"/>
    <n v="502.04"/>
    <x v="0"/>
    <n v="8"/>
    <s v="Mid-age"/>
  </r>
  <r>
    <n v="24148792"/>
    <n v="2414879201"/>
    <n v="1"/>
    <x v="2"/>
    <x v="0"/>
    <n v="514.16"/>
    <n v="332.63"/>
    <x v="0"/>
    <n v="12"/>
    <s v="Older"/>
  </r>
  <r>
    <n v="24148799"/>
    <n v="2414879901"/>
    <n v="1"/>
    <x v="1"/>
    <x v="0"/>
    <n v="553.65"/>
    <n v="1013.99"/>
    <x v="0"/>
    <n v="3"/>
    <s v="Newer"/>
  </r>
  <r>
    <n v="24148814"/>
    <n v="2414881401"/>
    <n v="1"/>
    <x v="2"/>
    <x v="0"/>
    <n v="686.05"/>
    <n v="290.83"/>
    <x v="0"/>
    <n v="12"/>
    <s v="Older"/>
  </r>
  <r>
    <n v="24148818"/>
    <n v="2414881801"/>
    <n v="1"/>
    <x v="34"/>
    <x v="0"/>
    <n v="460.38"/>
    <n v="1561.46"/>
    <x v="0"/>
    <n v="31"/>
    <s v="Very Old"/>
  </r>
  <r>
    <n v="24148823"/>
    <n v="2414882301"/>
    <n v="1"/>
    <x v="3"/>
    <x v="2"/>
    <n v="257.97000000000003"/>
    <n v="245.66"/>
    <x v="2"/>
    <n v="4"/>
    <s v="Mid-age"/>
  </r>
  <r>
    <n v="24148834"/>
    <n v="2414883401"/>
    <n v="1"/>
    <x v="29"/>
    <x v="0"/>
    <n v="2.74"/>
    <n v="315.66000000000003"/>
    <x v="0"/>
    <n v="28"/>
    <s v="Very Old"/>
  </r>
  <r>
    <n v="24148837"/>
    <n v="2414883701"/>
    <n v="1"/>
    <x v="16"/>
    <x v="0"/>
    <n v="8.32"/>
    <n v="448.61"/>
    <x v="0"/>
    <n v="14"/>
    <s v="Older"/>
  </r>
  <r>
    <n v="24148862"/>
    <n v="2414886201"/>
    <n v="1"/>
    <x v="10"/>
    <x v="0"/>
    <n v="1.04"/>
    <n v="81.459999999999994"/>
    <x v="0"/>
    <n v="5"/>
    <s v="Mid-age"/>
  </r>
  <r>
    <n v="24148866"/>
    <n v="2414886601"/>
    <n v="1"/>
    <x v="17"/>
    <x v="0"/>
    <n v="1862.23"/>
    <n v="2140.54"/>
    <x v="0"/>
    <n v="16"/>
    <s v="Older"/>
  </r>
  <r>
    <n v="24148881"/>
    <n v="2414888101"/>
    <n v="1"/>
    <x v="14"/>
    <x v="0"/>
    <n v="192.72"/>
    <n v="528.6"/>
    <x v="0"/>
    <n v="10"/>
    <s v="Older"/>
  </r>
  <r>
    <n v="24148910"/>
    <n v="2414891001"/>
    <n v="1"/>
    <x v="10"/>
    <x v="0"/>
    <n v="410"/>
    <n v="1464.38"/>
    <x v="0"/>
    <n v="5"/>
    <s v="Mid-age"/>
  </r>
  <r>
    <n v="24148926"/>
    <n v="2414892601"/>
    <n v="1"/>
    <x v="16"/>
    <x v="0"/>
    <n v="3106"/>
    <n v="4355.25"/>
    <x v="0"/>
    <n v="14"/>
    <s v="Older"/>
  </r>
  <r>
    <n v="24148936"/>
    <n v="2414893601"/>
    <n v="1"/>
    <x v="12"/>
    <x v="0"/>
    <n v="664.67"/>
    <n v="258.10000000000002"/>
    <x v="0"/>
    <n v="19"/>
    <s v="Older"/>
  </r>
  <r>
    <n v="24148938"/>
    <n v="2414893801"/>
    <n v="1"/>
    <x v="10"/>
    <x v="0"/>
    <n v="1.84"/>
    <n v="853.23"/>
    <x v="0"/>
    <n v="5"/>
    <s v="Mid-age"/>
  </r>
  <r>
    <n v="24148940"/>
    <n v="2414894001"/>
    <n v="1"/>
    <x v="0"/>
    <x v="0"/>
    <n v="255.35"/>
    <n v="386.72"/>
    <x v="0"/>
    <n v="13"/>
    <s v="Older"/>
  </r>
  <r>
    <n v="24148969"/>
    <n v="2414896901"/>
    <n v="1"/>
    <x v="21"/>
    <x v="0"/>
    <n v="580.44000000000005"/>
    <n v="791.98"/>
    <x v="0"/>
    <n v="24"/>
    <s v="Very Old"/>
  </r>
  <r>
    <n v="24148971"/>
    <n v="2414897101"/>
    <n v="1"/>
    <x v="1"/>
    <x v="0"/>
    <n v="502.06"/>
    <n v="217.51"/>
    <x v="0"/>
    <n v="3"/>
    <s v="Newer"/>
  </r>
  <r>
    <n v="24148972"/>
    <n v="2414897201"/>
    <n v="1"/>
    <x v="10"/>
    <x v="0"/>
    <n v="82.44"/>
    <n v="270.97000000000003"/>
    <x v="0"/>
    <n v="5"/>
    <s v="Mid-age"/>
  </r>
  <r>
    <n v="24148979"/>
    <n v="2414897901"/>
    <n v="1"/>
    <x v="1"/>
    <x v="0"/>
    <n v="0.92"/>
    <n v="201.38"/>
    <x v="0"/>
    <n v="3"/>
    <s v="Newer"/>
  </r>
  <r>
    <n v="24149003"/>
    <n v="2414900301"/>
    <n v="1"/>
    <x v="7"/>
    <x v="0"/>
    <n v="5470.16"/>
    <n v="4563"/>
    <x v="0"/>
    <n v="23"/>
    <s v="Very Old"/>
  </r>
  <r>
    <n v="24149015"/>
    <n v="2414901501"/>
    <n v="1"/>
    <x v="5"/>
    <x v="0"/>
    <n v="0.92"/>
    <n v="231.24"/>
    <x v="0"/>
    <n v="6"/>
    <s v="Mid-age"/>
  </r>
  <r>
    <n v="24149034"/>
    <n v="2414903401"/>
    <n v="1"/>
    <x v="10"/>
    <x v="0"/>
    <n v="748.78"/>
    <n v="768.6"/>
    <x v="0"/>
    <n v="5"/>
    <s v="Mid-age"/>
  </r>
  <r>
    <n v="24149036"/>
    <n v="2414903601"/>
    <n v="1"/>
    <x v="0"/>
    <x v="0"/>
    <n v="1434.83"/>
    <n v="1411.29"/>
    <x v="0"/>
    <n v="13"/>
    <s v="Older"/>
  </r>
  <r>
    <n v="24149047"/>
    <n v="2414904701"/>
    <n v="1"/>
    <x v="18"/>
    <x v="0"/>
    <n v="14.64"/>
    <n v="150.69999999999999"/>
    <x v="0"/>
    <n v="11"/>
    <s v="Older"/>
  </r>
  <r>
    <n v="24149050"/>
    <n v="2414905001"/>
    <n v="1"/>
    <x v="5"/>
    <x v="0"/>
    <n v="201.25"/>
    <n v="372.43"/>
    <x v="0"/>
    <n v="6"/>
    <s v="Mid-age"/>
  </r>
  <r>
    <n v="24149053"/>
    <n v="2414905301"/>
    <n v="1"/>
    <x v="6"/>
    <x v="0"/>
    <n v="411.49"/>
    <n v="543"/>
    <x v="0"/>
    <n v="7"/>
    <s v="Mid-age"/>
  </r>
  <r>
    <n v="24149055"/>
    <n v="2414905501"/>
    <n v="1"/>
    <x v="3"/>
    <x v="2"/>
    <n v="539.29"/>
    <n v="444.79"/>
    <x v="2"/>
    <n v="4"/>
    <s v="Mid-age"/>
  </r>
  <r>
    <n v="24149057"/>
    <n v="2414905701"/>
    <n v="1"/>
    <x v="8"/>
    <x v="0"/>
    <n v="70.84"/>
    <n v="231.74"/>
    <x v="0"/>
    <n v="9"/>
    <s v="Mid-age"/>
  </r>
  <r>
    <n v="24149069"/>
    <n v="2414906901"/>
    <n v="1"/>
    <x v="11"/>
    <x v="2"/>
    <n v="469.31"/>
    <n v="379.84"/>
    <x v="2"/>
    <n v="8"/>
    <s v="Mid-age"/>
  </r>
  <r>
    <n v="24149081"/>
    <n v="2414908101"/>
    <n v="1"/>
    <x v="11"/>
    <x v="0"/>
    <n v="723.55"/>
    <n v="361.27"/>
    <x v="0"/>
    <n v="8"/>
    <s v="Mid-age"/>
  </r>
  <r>
    <n v="24149097"/>
    <n v="2414909701"/>
    <n v="1"/>
    <x v="17"/>
    <x v="0"/>
    <n v="11.2"/>
    <n v="141.19999999999999"/>
    <x v="0"/>
    <n v="16"/>
    <s v="Older"/>
  </r>
  <r>
    <n v="24149102"/>
    <n v="2414910201"/>
    <n v="1"/>
    <x v="3"/>
    <x v="0"/>
    <n v="520.05999999999995"/>
    <n v="459.49"/>
    <x v="0"/>
    <n v="4"/>
    <s v="Mid-age"/>
  </r>
  <r>
    <n v="24149116"/>
    <n v="2414911601"/>
    <n v="1"/>
    <x v="1"/>
    <x v="0"/>
    <n v="333.1"/>
    <n v="520.09"/>
    <x v="0"/>
    <n v="3"/>
    <s v="Newer"/>
  </r>
  <r>
    <n v="24149121"/>
    <n v="2414912101"/>
    <n v="1"/>
    <x v="16"/>
    <x v="0"/>
    <n v="36.35"/>
    <n v="560.42999999999995"/>
    <x v="0"/>
    <n v="14"/>
    <s v="Older"/>
  </r>
  <r>
    <n v="24149130"/>
    <n v="2414913001"/>
    <n v="1"/>
    <x v="6"/>
    <x v="0"/>
    <n v="382.28"/>
    <n v="456.91"/>
    <x v="0"/>
    <n v="7"/>
    <s v="Mid-age"/>
  </r>
  <r>
    <n v="24149140"/>
    <n v="2414914001"/>
    <n v="1"/>
    <x v="22"/>
    <x v="0"/>
    <n v="4642.45"/>
    <n v="2739.97"/>
    <x v="0"/>
    <n v="18"/>
    <s v="Older"/>
  </r>
  <r>
    <n v="24149148"/>
    <n v="2414914801"/>
    <n v="1"/>
    <x v="10"/>
    <x v="0"/>
    <n v="466.56"/>
    <n v="924.45"/>
    <x v="0"/>
    <n v="5"/>
    <s v="Mid-age"/>
  </r>
  <r>
    <n v="24149151"/>
    <n v="2414915101"/>
    <n v="1"/>
    <x v="15"/>
    <x v="0"/>
    <n v="548.46"/>
    <n v="529.51"/>
    <x v="0"/>
    <n v="26"/>
    <s v="Very Old"/>
  </r>
  <r>
    <n v="24149177"/>
    <n v="2414917701"/>
    <n v="1"/>
    <x v="34"/>
    <x v="0"/>
    <n v="78.099999999999994"/>
    <n v="863.32"/>
    <x v="0"/>
    <n v="31"/>
    <s v="Very Old"/>
  </r>
  <r>
    <n v="24149185"/>
    <n v="2414918501"/>
    <n v="1"/>
    <x v="11"/>
    <x v="3"/>
    <n v="226.72"/>
    <n v="1330.56"/>
    <x v="3"/>
    <n v="8"/>
    <s v="Mid-age"/>
  </r>
  <r>
    <n v="24149187"/>
    <n v="2414918701"/>
    <n v="1"/>
    <x v="2"/>
    <x v="0"/>
    <n v="161.5"/>
    <n v="334.8"/>
    <x v="0"/>
    <n v="12"/>
    <s v="Older"/>
  </r>
  <r>
    <n v="24149191"/>
    <n v="2414919101"/>
    <n v="1"/>
    <x v="1"/>
    <x v="0"/>
    <n v="1196.08"/>
    <n v="445.56"/>
    <x v="0"/>
    <n v="3"/>
    <s v="Newer"/>
  </r>
  <r>
    <n v="24149197"/>
    <n v="2414919701"/>
    <n v="1"/>
    <x v="21"/>
    <x v="0"/>
    <n v="1502.03"/>
    <n v="2032.06"/>
    <x v="0"/>
    <n v="24"/>
    <s v="Very Old"/>
  </r>
  <r>
    <n v="24149198"/>
    <n v="2414919801"/>
    <n v="1"/>
    <x v="3"/>
    <x v="0"/>
    <n v="513.54"/>
    <n v="290.49"/>
    <x v="0"/>
    <n v="4"/>
    <s v="Mid-age"/>
  </r>
  <r>
    <n v="24149199"/>
    <n v="2414919901"/>
    <n v="1"/>
    <x v="21"/>
    <x v="0"/>
    <n v="345.49"/>
    <n v="339.66"/>
    <x v="0"/>
    <n v="24"/>
    <s v="Very Old"/>
  </r>
  <r>
    <n v="24149227"/>
    <n v="2414922701"/>
    <n v="1"/>
    <x v="3"/>
    <x v="0"/>
    <n v="416.71"/>
    <n v="1288.42"/>
    <x v="0"/>
    <n v="4"/>
    <s v="Mid-age"/>
  </r>
  <r>
    <n v="24149238"/>
    <n v="2414923801"/>
    <n v="1"/>
    <x v="6"/>
    <x v="0"/>
    <n v="145.12"/>
    <n v="1196.8599999999999"/>
    <x v="0"/>
    <n v="7"/>
    <s v="Mid-age"/>
  </r>
  <r>
    <n v="24149254"/>
    <n v="2414925401"/>
    <n v="1"/>
    <x v="2"/>
    <x v="0"/>
    <n v="157.69"/>
    <n v="826.43"/>
    <x v="0"/>
    <n v="12"/>
    <s v="Older"/>
  </r>
  <r>
    <n v="24149260"/>
    <n v="2414926001"/>
    <n v="1"/>
    <x v="22"/>
    <x v="0"/>
    <n v="1395.93"/>
    <n v="1904.91"/>
    <x v="0"/>
    <n v="18"/>
    <s v="Older"/>
  </r>
  <r>
    <n v="24149284"/>
    <n v="2414928401"/>
    <n v="1"/>
    <x v="22"/>
    <x v="0"/>
    <n v="118.51"/>
    <n v="297.52"/>
    <x v="0"/>
    <n v="18"/>
    <s v="Older"/>
  </r>
  <r>
    <n v="24149286"/>
    <n v="2414928601"/>
    <n v="1"/>
    <x v="5"/>
    <x v="2"/>
    <n v="1570.62"/>
    <n v="1753.05"/>
    <x v="2"/>
    <n v="6"/>
    <s v="Mid-age"/>
  </r>
  <r>
    <n v="24149307"/>
    <n v="2414930701"/>
    <n v="1"/>
    <x v="14"/>
    <x v="0"/>
    <n v="67.569999999999993"/>
    <n v="201.49"/>
    <x v="0"/>
    <n v="10"/>
    <s v="Older"/>
  </r>
  <r>
    <n v="24149314"/>
    <n v="2414931401"/>
    <n v="1"/>
    <x v="4"/>
    <x v="0"/>
    <n v="261.44"/>
    <n v="258.89"/>
    <x v="0"/>
    <n v="21"/>
    <s v="Very Old"/>
  </r>
  <r>
    <n v="24149323"/>
    <n v="2414932301"/>
    <n v="1"/>
    <x v="20"/>
    <x v="0"/>
    <n v="15.96"/>
    <n v="81.36"/>
    <x v="0"/>
    <n v="22"/>
    <s v="Very Old"/>
  </r>
  <r>
    <n v="24149328"/>
    <n v="2414932801"/>
    <n v="1"/>
    <x v="1"/>
    <x v="0"/>
    <n v="776.64"/>
    <n v="739.6"/>
    <x v="0"/>
    <n v="3"/>
    <s v="Newer"/>
  </r>
  <r>
    <n v="24149338"/>
    <n v="2414933801"/>
    <n v="1"/>
    <x v="2"/>
    <x v="0"/>
    <n v="227.26"/>
    <n v="708.01"/>
    <x v="0"/>
    <n v="12"/>
    <s v="Older"/>
  </r>
  <r>
    <n v="24149344"/>
    <n v="2414934401"/>
    <n v="1"/>
    <x v="8"/>
    <x v="0"/>
    <n v="721.9"/>
    <n v="1285.1199999999999"/>
    <x v="0"/>
    <n v="9"/>
    <s v="Mid-age"/>
  </r>
  <r>
    <n v="24149360"/>
    <n v="2414936001"/>
    <n v="1"/>
    <x v="3"/>
    <x v="0"/>
    <n v="489.23"/>
    <n v="697.02"/>
    <x v="0"/>
    <n v="4"/>
    <s v="Mid-age"/>
  </r>
  <r>
    <n v="24149367"/>
    <n v="2414936701"/>
    <n v="1"/>
    <x v="12"/>
    <x v="0"/>
    <n v="33.64"/>
    <n v="145.36000000000001"/>
    <x v="0"/>
    <n v="19"/>
    <s v="Older"/>
  </r>
  <r>
    <n v="24149372"/>
    <n v="2414937201"/>
    <n v="1"/>
    <x v="0"/>
    <x v="0"/>
    <n v="5258"/>
    <n v="1866.99"/>
    <x v="0"/>
    <n v="13"/>
    <s v="Older"/>
  </r>
  <r>
    <n v="24149379"/>
    <n v="2414937901"/>
    <n v="1"/>
    <x v="0"/>
    <x v="0"/>
    <n v="0.61"/>
    <n v="95.13"/>
    <x v="0"/>
    <n v="13"/>
    <s v="Older"/>
  </r>
  <r>
    <n v="24149382"/>
    <n v="2414938201"/>
    <n v="1"/>
    <x v="5"/>
    <x v="0"/>
    <n v="551.75"/>
    <n v="552.84"/>
    <x v="0"/>
    <n v="6"/>
    <s v="Mid-age"/>
  </r>
  <r>
    <n v="24149384"/>
    <n v="2414938401"/>
    <n v="1"/>
    <x v="5"/>
    <x v="0"/>
    <n v="465.02"/>
    <n v="888.17"/>
    <x v="0"/>
    <n v="6"/>
    <s v="Mid-age"/>
  </r>
  <r>
    <n v="24149399"/>
    <n v="2414939901"/>
    <n v="1"/>
    <x v="18"/>
    <x v="0"/>
    <n v="66.53"/>
    <n v="339.66"/>
    <x v="0"/>
    <n v="11"/>
    <s v="Older"/>
  </r>
  <r>
    <n v="24149405"/>
    <n v="2414940501"/>
    <n v="1"/>
    <x v="9"/>
    <x v="0"/>
    <n v="132.47999999999999"/>
    <n v="190.36"/>
    <x v="0"/>
    <n v="2"/>
    <s v="Newer"/>
  </r>
  <r>
    <n v="24149412"/>
    <n v="2414941201"/>
    <n v="1"/>
    <x v="6"/>
    <x v="0"/>
    <n v="697.52"/>
    <n v="515.77"/>
    <x v="0"/>
    <n v="7"/>
    <s v="Mid-age"/>
  </r>
  <r>
    <n v="24149416"/>
    <n v="2414941601"/>
    <n v="1"/>
    <x v="4"/>
    <x v="5"/>
    <n v="196.21"/>
    <n v="487.11"/>
    <x v="5"/>
    <n v="21"/>
    <s v="Very Old"/>
  </r>
  <r>
    <n v="24149435"/>
    <n v="2414943501"/>
    <n v="1"/>
    <x v="1"/>
    <x v="1"/>
    <n v="0.92"/>
    <n v="729.7"/>
    <x v="1"/>
    <n v="3"/>
    <s v="Newer"/>
  </r>
  <r>
    <n v="24149439"/>
    <n v="2414943901"/>
    <n v="1"/>
    <x v="14"/>
    <x v="0"/>
    <n v="511.9"/>
    <n v="594.72"/>
    <x v="0"/>
    <n v="10"/>
    <s v="Older"/>
  </r>
  <r>
    <n v="24149440"/>
    <n v="2414944001"/>
    <n v="1"/>
    <x v="21"/>
    <x v="0"/>
    <n v="179.08"/>
    <n v="520.79"/>
    <x v="0"/>
    <n v="24"/>
    <s v="Very Old"/>
  </r>
  <r>
    <n v="24149455"/>
    <n v="2414945501"/>
    <n v="1"/>
    <x v="14"/>
    <x v="0"/>
    <n v="1076.1199999999999"/>
    <n v="1058.46"/>
    <x v="0"/>
    <n v="10"/>
    <s v="Older"/>
  </r>
  <r>
    <n v="24149460"/>
    <n v="2414946001"/>
    <n v="1"/>
    <x v="3"/>
    <x v="1"/>
    <n v="996.01"/>
    <n v="1282.8599999999999"/>
    <x v="1"/>
    <n v="4"/>
    <s v="Mid-age"/>
  </r>
  <r>
    <n v="24149483"/>
    <n v="2414948301"/>
    <n v="1"/>
    <x v="2"/>
    <x v="0"/>
    <n v="2.35"/>
    <n v="949.9"/>
    <x v="0"/>
    <n v="12"/>
    <s v="Older"/>
  </r>
  <r>
    <n v="24149490"/>
    <n v="2414949001"/>
    <n v="1"/>
    <x v="22"/>
    <x v="0"/>
    <n v="0.92"/>
    <n v="257.54000000000002"/>
    <x v="0"/>
    <n v="18"/>
    <s v="Older"/>
  </r>
  <r>
    <n v="24149521"/>
    <n v="2414952101"/>
    <n v="1"/>
    <x v="6"/>
    <x v="0"/>
    <n v="2627.74"/>
    <n v="298.57"/>
    <x v="0"/>
    <n v="7"/>
    <s v="Mid-age"/>
  </r>
  <r>
    <n v="24149528"/>
    <n v="2414952801"/>
    <n v="1"/>
    <x v="2"/>
    <x v="0"/>
    <n v="954.19"/>
    <n v="1014.49"/>
    <x v="0"/>
    <n v="12"/>
    <s v="Older"/>
  </r>
  <r>
    <n v="24149535"/>
    <n v="2414953501"/>
    <n v="1"/>
    <x v="9"/>
    <x v="0"/>
    <n v="180.39"/>
    <n v="635.28"/>
    <x v="0"/>
    <n v="2"/>
    <s v="Newer"/>
  </r>
  <r>
    <n v="24149539"/>
    <n v="2414953901"/>
    <n v="1"/>
    <x v="14"/>
    <x v="0"/>
    <n v="1479.72"/>
    <n v="707.62"/>
    <x v="0"/>
    <n v="10"/>
    <s v="Older"/>
  </r>
  <r>
    <n v="24149543"/>
    <n v="2414954301"/>
    <n v="1"/>
    <x v="14"/>
    <x v="0"/>
    <n v="201.3"/>
    <n v="290.99"/>
    <x v="0"/>
    <n v="10"/>
    <s v="Older"/>
  </r>
  <r>
    <n v="24149549"/>
    <n v="2414954901"/>
    <n v="1"/>
    <x v="18"/>
    <x v="0"/>
    <n v="659.11"/>
    <n v="3046.54"/>
    <x v="0"/>
    <n v="11"/>
    <s v="Older"/>
  </r>
  <r>
    <n v="24149552"/>
    <n v="2414955201"/>
    <n v="1"/>
    <x v="24"/>
    <x v="0"/>
    <n v="721.92"/>
    <n v="238.47"/>
    <x v="0"/>
    <n v="15"/>
    <s v="Older"/>
  </r>
  <r>
    <n v="24149585"/>
    <n v="2414958501"/>
    <n v="1"/>
    <x v="11"/>
    <x v="0"/>
    <n v="562.35"/>
    <n v="762.49"/>
    <x v="0"/>
    <n v="8"/>
    <s v="Mid-age"/>
  </r>
  <r>
    <n v="24149610"/>
    <n v="2414961001"/>
    <n v="1"/>
    <x v="16"/>
    <x v="0"/>
    <n v="32.369999999999997"/>
    <n v="294.35000000000002"/>
    <x v="0"/>
    <n v="14"/>
    <s v="Older"/>
  </r>
  <r>
    <n v="24149615"/>
    <n v="2414961501"/>
    <n v="1"/>
    <x v="14"/>
    <x v="0"/>
    <n v="3016.41"/>
    <n v="5505.91"/>
    <x v="0"/>
    <n v="10"/>
    <s v="Older"/>
  </r>
  <r>
    <n v="24149620"/>
    <n v="2414962001"/>
    <n v="1"/>
    <x v="10"/>
    <x v="0"/>
    <n v="939.54"/>
    <n v="1406.63"/>
    <x v="0"/>
    <n v="5"/>
    <s v="Mid-age"/>
  </r>
  <r>
    <n v="24149634"/>
    <n v="2414963401"/>
    <n v="1"/>
    <x v="16"/>
    <x v="0"/>
    <n v="3455.08"/>
    <n v="984.78"/>
    <x v="0"/>
    <n v="14"/>
    <s v="Older"/>
  </r>
  <r>
    <n v="24149657"/>
    <n v="2414965701"/>
    <n v="1"/>
    <x v="1"/>
    <x v="0"/>
    <n v="397.87"/>
    <n v="270.97000000000003"/>
    <x v="0"/>
    <n v="3"/>
    <s v="Newer"/>
  </r>
  <r>
    <n v="24149662"/>
    <n v="2414966201"/>
    <n v="1"/>
    <x v="9"/>
    <x v="0"/>
    <n v="201.27"/>
    <n v="217.63"/>
    <x v="0"/>
    <n v="2"/>
    <s v="Newer"/>
  </r>
  <r>
    <n v="24149666"/>
    <n v="2414966601"/>
    <n v="1"/>
    <x v="12"/>
    <x v="0"/>
    <n v="311.23"/>
    <n v="593.75"/>
    <x v="0"/>
    <n v="19"/>
    <s v="Older"/>
  </r>
  <r>
    <n v="24149688"/>
    <n v="2414968801"/>
    <n v="1"/>
    <x v="3"/>
    <x v="0"/>
    <n v="1285.23"/>
    <n v="4559.51"/>
    <x v="0"/>
    <n v="4"/>
    <s v="Mid-age"/>
  </r>
  <r>
    <n v="24149693"/>
    <n v="2414969301"/>
    <n v="1"/>
    <x v="5"/>
    <x v="0"/>
    <n v="857.52"/>
    <n v="141.53"/>
    <x v="0"/>
    <n v="6"/>
    <s v="Mid-age"/>
  </r>
  <r>
    <n v="24149706"/>
    <n v="2414970601"/>
    <n v="1"/>
    <x v="3"/>
    <x v="0"/>
    <n v="10.25"/>
    <n v="259.87"/>
    <x v="0"/>
    <n v="4"/>
    <s v="Mid-age"/>
  </r>
  <r>
    <n v="24149716"/>
    <n v="2414971601"/>
    <n v="1"/>
    <x v="6"/>
    <x v="0"/>
    <n v="37.4"/>
    <n v="198.12"/>
    <x v="0"/>
    <n v="7"/>
    <s v="Mid-age"/>
  </r>
  <r>
    <n v="24149722"/>
    <n v="2414972201"/>
    <n v="1"/>
    <x v="11"/>
    <x v="0"/>
    <n v="191.64"/>
    <n v="383.42"/>
    <x v="0"/>
    <n v="8"/>
    <s v="Mid-age"/>
  </r>
  <r>
    <n v="24149729"/>
    <n v="2414972901"/>
    <n v="1"/>
    <x v="27"/>
    <x v="0"/>
    <n v="2217.46"/>
    <n v="906.16"/>
    <x v="0"/>
    <n v="20"/>
    <s v="Very Old"/>
  </r>
  <r>
    <n v="24149732"/>
    <n v="2414973201"/>
    <n v="1"/>
    <x v="3"/>
    <x v="0"/>
    <n v="875.83"/>
    <n v="1254.53"/>
    <x v="0"/>
    <n v="4"/>
    <s v="Mid-age"/>
  </r>
  <r>
    <n v="24149769"/>
    <n v="2414976901"/>
    <n v="1"/>
    <x v="5"/>
    <x v="0"/>
    <n v="7.38"/>
    <n v="430.33"/>
    <x v="0"/>
    <n v="6"/>
    <s v="Mid-age"/>
  </r>
  <r>
    <n v="24149790"/>
    <n v="2414979001"/>
    <n v="1"/>
    <x v="24"/>
    <x v="0"/>
    <n v="399.69"/>
    <n v="924.45"/>
    <x v="0"/>
    <n v="15"/>
    <s v="Older"/>
  </r>
  <r>
    <n v="24149796"/>
    <n v="2414979601"/>
    <n v="1"/>
    <x v="19"/>
    <x v="0"/>
    <n v="2273.79"/>
    <n v="739.6"/>
    <x v="0"/>
    <n v="17"/>
    <s v="Older"/>
  </r>
  <r>
    <n v="24149797"/>
    <n v="2414979701"/>
    <n v="1"/>
    <x v="14"/>
    <x v="0"/>
    <n v="1024.19"/>
    <n v="502.41"/>
    <x v="0"/>
    <n v="10"/>
    <s v="Older"/>
  </r>
  <r>
    <n v="24149801"/>
    <n v="2414980101"/>
    <n v="1"/>
    <x v="14"/>
    <x v="0"/>
    <n v="2227.89"/>
    <n v="4430.16"/>
    <x v="0"/>
    <n v="10"/>
    <s v="Older"/>
  </r>
  <r>
    <n v="24149805"/>
    <n v="2414980501"/>
    <n v="1"/>
    <x v="5"/>
    <x v="0"/>
    <n v="2.64"/>
    <n v="475.01"/>
    <x v="0"/>
    <n v="6"/>
    <s v="Mid-age"/>
  </r>
  <r>
    <n v="24149822"/>
    <n v="2414982201"/>
    <n v="1"/>
    <x v="18"/>
    <x v="0"/>
    <n v="6.24"/>
    <n v="188.41"/>
    <x v="0"/>
    <n v="11"/>
    <s v="Older"/>
  </r>
  <r>
    <n v="24149826"/>
    <n v="2414982601"/>
    <n v="1"/>
    <x v="18"/>
    <x v="0"/>
    <n v="0.92"/>
    <n v="217.63"/>
    <x v="0"/>
    <n v="11"/>
    <s v="Older"/>
  </r>
  <r>
    <n v="24149828"/>
    <n v="2414982801"/>
    <n v="1"/>
    <x v="18"/>
    <x v="0"/>
    <n v="1.83"/>
    <n v="195.98"/>
    <x v="0"/>
    <n v="11"/>
    <s v="Older"/>
  </r>
  <r>
    <n v="24149835"/>
    <n v="2414983501"/>
    <n v="1"/>
    <x v="6"/>
    <x v="0"/>
    <n v="443.03"/>
    <n v="445.31"/>
    <x v="0"/>
    <n v="7"/>
    <s v="Mid-age"/>
  </r>
  <r>
    <n v="24149836"/>
    <n v="2414983601"/>
    <n v="1"/>
    <x v="8"/>
    <x v="0"/>
    <n v="5113.3599999999997"/>
    <n v="4407.84"/>
    <x v="0"/>
    <n v="9"/>
    <s v="Mid-age"/>
  </r>
  <r>
    <n v="24149856"/>
    <n v="2414985601"/>
    <n v="1"/>
    <x v="12"/>
    <x v="0"/>
    <n v="821.89"/>
    <n v="634.38"/>
    <x v="0"/>
    <n v="19"/>
    <s v="Older"/>
  </r>
  <r>
    <n v="24149859"/>
    <n v="2414985901"/>
    <n v="1"/>
    <x v="22"/>
    <x v="0"/>
    <n v="1109.82"/>
    <n v="1424.08"/>
    <x v="0"/>
    <n v="18"/>
    <s v="Older"/>
  </r>
  <r>
    <n v="24149860"/>
    <n v="2414986001"/>
    <n v="1"/>
    <x v="14"/>
    <x v="0"/>
    <n v="1624.47"/>
    <n v="502.02"/>
    <x v="0"/>
    <n v="10"/>
    <s v="Older"/>
  </r>
  <r>
    <n v="24149873"/>
    <n v="2414987301"/>
    <n v="1"/>
    <x v="6"/>
    <x v="0"/>
    <n v="5472.51"/>
    <n v="2497.75"/>
    <x v="0"/>
    <n v="7"/>
    <s v="Mid-age"/>
  </r>
  <r>
    <n v="24149878"/>
    <n v="2414987801"/>
    <n v="1"/>
    <x v="14"/>
    <x v="0"/>
    <n v="8.99"/>
    <n v="192.61"/>
    <x v="0"/>
    <n v="10"/>
    <s v="Older"/>
  </r>
  <r>
    <n v="24149880"/>
    <n v="2414988001"/>
    <n v="1"/>
    <x v="3"/>
    <x v="0"/>
    <n v="1408.67"/>
    <n v="1806.99"/>
    <x v="0"/>
    <n v="4"/>
    <s v="Mid-age"/>
  </r>
  <r>
    <n v="24149887"/>
    <n v="2414988701"/>
    <n v="1"/>
    <x v="5"/>
    <x v="0"/>
    <n v="133"/>
    <n v="192.94"/>
    <x v="0"/>
    <n v="6"/>
    <s v="Mid-age"/>
  </r>
  <r>
    <n v="24149889"/>
    <n v="2414988901"/>
    <n v="1"/>
    <x v="22"/>
    <x v="6"/>
    <n v="204.91"/>
    <n v="476.56"/>
    <x v="6"/>
    <n v="18"/>
    <s v="Older"/>
  </r>
  <r>
    <n v="24149896"/>
    <n v="2414989601"/>
    <n v="1"/>
    <x v="11"/>
    <x v="0"/>
    <n v="862.14"/>
    <n v="475.27"/>
    <x v="0"/>
    <n v="8"/>
    <s v="Mid-age"/>
  </r>
  <r>
    <n v="24149904"/>
    <n v="2414990401"/>
    <n v="1"/>
    <x v="2"/>
    <x v="0"/>
    <n v="277.23"/>
    <n v="397.27"/>
    <x v="0"/>
    <n v="12"/>
    <s v="Older"/>
  </r>
  <r>
    <n v="24149910"/>
    <n v="2414991001"/>
    <n v="1"/>
    <x v="11"/>
    <x v="0"/>
    <n v="409.49"/>
    <n v="475.27"/>
    <x v="0"/>
    <n v="8"/>
    <s v="Mid-age"/>
  </r>
  <r>
    <n v="24149912"/>
    <n v="2414991201"/>
    <n v="1"/>
    <x v="19"/>
    <x v="0"/>
    <n v="63.5"/>
    <n v="562.62"/>
    <x v="0"/>
    <n v="17"/>
    <s v="Older"/>
  </r>
  <r>
    <n v="24149922"/>
    <n v="2414992201"/>
    <n v="1"/>
    <x v="18"/>
    <x v="0"/>
    <n v="667.18"/>
    <n v="1767.49"/>
    <x v="0"/>
    <n v="11"/>
    <s v="Older"/>
  </r>
  <r>
    <n v="24149924"/>
    <n v="2414992401"/>
    <n v="1"/>
    <x v="5"/>
    <x v="0"/>
    <n v="33.39"/>
    <n v="599.55999999999995"/>
    <x v="0"/>
    <n v="6"/>
    <s v="Mid-age"/>
  </r>
  <r>
    <n v="24149943"/>
    <n v="2414994301"/>
    <n v="1"/>
    <x v="8"/>
    <x v="0"/>
    <n v="1.58"/>
    <n v="290.49"/>
    <x v="0"/>
    <n v="9"/>
    <s v="Mid-age"/>
  </r>
  <r>
    <n v="24149946"/>
    <n v="2414994601"/>
    <n v="1"/>
    <x v="3"/>
    <x v="0"/>
    <n v="2977.94"/>
    <n v="3044.61"/>
    <x v="0"/>
    <n v="4"/>
    <s v="Mid-age"/>
  </r>
  <r>
    <n v="24149958"/>
    <n v="2414995801"/>
    <n v="1"/>
    <x v="8"/>
    <x v="0"/>
    <n v="200.27"/>
    <n v="252.17"/>
    <x v="0"/>
    <n v="9"/>
    <s v="Mid-age"/>
  </r>
  <r>
    <n v="24149969"/>
    <n v="2414996901"/>
    <n v="1"/>
    <x v="3"/>
    <x v="0"/>
    <n v="1039.83"/>
    <n v="1117.05"/>
    <x v="0"/>
    <n v="4"/>
    <s v="Mid-age"/>
  </r>
  <r>
    <n v="24149970"/>
    <n v="2414997001"/>
    <n v="1"/>
    <x v="14"/>
    <x v="0"/>
    <n v="1.29"/>
    <n v="204.11"/>
    <x v="0"/>
    <n v="10"/>
    <s v="Older"/>
  </r>
  <r>
    <n v="24149973"/>
    <n v="2414997301"/>
    <n v="1"/>
    <x v="9"/>
    <x v="0"/>
    <n v="29.01"/>
    <n v="258.49"/>
    <x v="0"/>
    <n v="2"/>
    <s v="Newer"/>
  </r>
  <r>
    <n v="24149974"/>
    <n v="2414997401"/>
    <n v="1"/>
    <x v="14"/>
    <x v="0"/>
    <n v="124.52"/>
    <n v="430.86"/>
    <x v="0"/>
    <n v="10"/>
    <s v="Older"/>
  </r>
  <r>
    <n v="24149998"/>
    <n v="2414999801"/>
    <n v="1"/>
    <x v="18"/>
    <x v="0"/>
    <n v="1239.22"/>
    <n v="1282.8599999999999"/>
    <x v="0"/>
    <n v="11"/>
    <s v="Older"/>
  </r>
  <r>
    <n v="24150011"/>
    <n v="2415001101"/>
    <n v="1"/>
    <x v="34"/>
    <x v="0"/>
    <n v="2226.4499999999998"/>
    <n v="1404.95"/>
    <x v="0"/>
    <n v="31"/>
    <s v="Very Old"/>
  </r>
  <r>
    <n v="24150013"/>
    <n v="2415001301"/>
    <n v="1"/>
    <x v="2"/>
    <x v="0"/>
    <n v="29.01"/>
    <n v="258.49"/>
    <x v="0"/>
    <n v="12"/>
    <s v="Older"/>
  </r>
  <r>
    <n v="24150014"/>
    <n v="2415001401"/>
    <n v="1"/>
    <x v="1"/>
    <x v="2"/>
    <n v="663.15"/>
    <n v="1837.69"/>
    <x v="2"/>
    <n v="3"/>
    <s v="Newer"/>
  </r>
  <r>
    <n v="24150020"/>
    <n v="2415002001"/>
    <n v="1"/>
    <x v="6"/>
    <x v="0"/>
    <n v="644.24"/>
    <n v="560.42999999999995"/>
    <x v="0"/>
    <n v="7"/>
    <s v="Mid-age"/>
  </r>
  <r>
    <n v="24150025"/>
    <n v="2415002501"/>
    <n v="1"/>
    <x v="17"/>
    <x v="0"/>
    <n v="5273.8"/>
    <n v="3343.36"/>
    <x v="0"/>
    <n v="16"/>
    <s v="Older"/>
  </r>
  <r>
    <n v="24150030"/>
    <n v="2415003001"/>
    <n v="1"/>
    <x v="17"/>
    <x v="0"/>
    <n v="875.81"/>
    <n v="1390.88"/>
    <x v="0"/>
    <n v="16"/>
    <s v="Older"/>
  </r>
  <r>
    <n v="24150050"/>
    <n v="2415005001"/>
    <n v="1"/>
    <x v="11"/>
    <x v="0"/>
    <n v="39.04"/>
    <n v="1324.96"/>
    <x v="0"/>
    <n v="8"/>
    <s v="Mid-age"/>
  </r>
  <r>
    <n v="24150054"/>
    <n v="2415005401"/>
    <n v="1"/>
    <x v="5"/>
    <x v="0"/>
    <n v="723.04"/>
    <n v="536.64"/>
    <x v="0"/>
    <n v="6"/>
    <s v="Mid-age"/>
  </r>
  <r>
    <n v="24150062"/>
    <n v="2415006201"/>
    <n v="1"/>
    <x v="1"/>
    <x v="4"/>
    <n v="113.14"/>
    <n v="298.3"/>
    <x v="4"/>
    <n v="3"/>
    <s v="Newer"/>
  </r>
  <r>
    <n v="24150066"/>
    <n v="2415006601"/>
    <n v="1"/>
    <x v="5"/>
    <x v="0"/>
    <n v="168.97"/>
    <n v="247.93"/>
    <x v="0"/>
    <n v="6"/>
    <s v="Mid-age"/>
  </r>
  <r>
    <n v="24150075"/>
    <n v="2415007501"/>
    <n v="1"/>
    <x v="9"/>
    <x v="0"/>
    <n v="890.65"/>
    <n v="2331.09"/>
    <x v="0"/>
    <n v="2"/>
    <s v="Newer"/>
  </r>
  <r>
    <n v="24150081"/>
    <n v="2415008101"/>
    <n v="1"/>
    <x v="4"/>
    <x v="0"/>
    <n v="1605.31"/>
    <n v="708.01"/>
    <x v="0"/>
    <n v="21"/>
    <s v="Very Old"/>
  </r>
  <r>
    <n v="24150089"/>
    <n v="2415008901"/>
    <n v="1"/>
    <x v="5"/>
    <x v="1"/>
    <n v="0.92"/>
    <n v="232.14"/>
    <x v="1"/>
    <n v="6"/>
    <s v="Mid-age"/>
  </r>
  <r>
    <n v="24150094"/>
    <n v="2415009401"/>
    <n v="1"/>
    <x v="6"/>
    <x v="0"/>
    <n v="83.89"/>
    <n v="1024.1199999999999"/>
    <x v="0"/>
    <n v="7"/>
    <s v="Mid-age"/>
  </r>
  <r>
    <n v="24150152"/>
    <n v="2415015201"/>
    <n v="1"/>
    <x v="35"/>
    <x v="0"/>
    <n v="970.32"/>
    <n v="520.66"/>
    <x v="0"/>
    <n v="45"/>
    <s v="Very Old"/>
  </r>
  <r>
    <n v="24150156"/>
    <n v="2415015601"/>
    <n v="1"/>
    <x v="29"/>
    <x v="0"/>
    <n v="0.92"/>
    <n v="308.83"/>
    <x v="0"/>
    <n v="28"/>
    <s v="Very Old"/>
  </r>
  <r>
    <n v="24150158"/>
    <n v="2415015801"/>
    <n v="1"/>
    <x v="18"/>
    <x v="0"/>
    <n v="3505.32"/>
    <n v="1543.94"/>
    <x v="0"/>
    <n v="11"/>
    <s v="Older"/>
  </r>
  <r>
    <n v="24150172"/>
    <n v="2415017201"/>
    <n v="1"/>
    <x v="9"/>
    <x v="0"/>
    <n v="86.5"/>
    <n v="180.88"/>
    <x v="0"/>
    <n v="2"/>
    <s v="Newer"/>
  </r>
  <r>
    <n v="24150177"/>
    <n v="2415017701"/>
    <n v="1"/>
    <x v="21"/>
    <x v="0"/>
    <n v="55.13"/>
    <n v="409.88"/>
    <x v="0"/>
    <n v="24"/>
    <s v="Very Old"/>
  </r>
  <r>
    <n v="24150216"/>
    <n v="2415021601"/>
    <n v="1"/>
    <x v="20"/>
    <x v="0"/>
    <n v="1456.82"/>
    <n v="595.75"/>
    <x v="0"/>
    <n v="22"/>
    <s v="Very Old"/>
  </r>
  <r>
    <n v="24150232"/>
    <n v="2415023201"/>
    <n v="1"/>
    <x v="10"/>
    <x v="0"/>
    <n v="3005.19"/>
    <n v="1220"/>
    <x v="0"/>
    <n v="5"/>
    <s v="Mid-age"/>
  </r>
  <r>
    <n v="24150233"/>
    <n v="2415023301"/>
    <n v="1"/>
    <x v="16"/>
    <x v="0"/>
    <n v="874.49"/>
    <n v="1055.04"/>
    <x v="0"/>
    <n v="14"/>
    <s v="Older"/>
  </r>
  <r>
    <n v="24150250"/>
    <n v="2415025001"/>
    <n v="1"/>
    <x v="27"/>
    <x v="0"/>
    <n v="496.48"/>
    <n v="675.32"/>
    <x v="0"/>
    <n v="20"/>
    <s v="Very Old"/>
  </r>
  <r>
    <n v="24150255"/>
    <n v="2415025501"/>
    <n v="1"/>
    <x v="3"/>
    <x v="0"/>
    <n v="0.92"/>
    <n v="237.92"/>
    <x v="0"/>
    <n v="4"/>
    <s v="Mid-age"/>
  </r>
  <r>
    <n v="24150268"/>
    <n v="2415026801"/>
    <n v="1"/>
    <x v="1"/>
    <x v="1"/>
    <n v="243.99"/>
    <n v="566.55999999999995"/>
    <x v="1"/>
    <n v="3"/>
    <s v="Newer"/>
  </r>
  <r>
    <n v="24150270"/>
    <n v="2415027001"/>
    <n v="1"/>
    <x v="27"/>
    <x v="0"/>
    <n v="428.4"/>
    <n v="717.53"/>
    <x v="0"/>
    <n v="20"/>
    <s v="Very Old"/>
  </r>
  <r>
    <n v="24150272"/>
    <n v="2415027201"/>
    <n v="1"/>
    <x v="0"/>
    <x v="0"/>
    <n v="153.65"/>
    <n v="332.35"/>
    <x v="0"/>
    <n v="13"/>
    <s v="Older"/>
  </r>
  <r>
    <n v="24150281"/>
    <n v="2415028101"/>
    <n v="1"/>
    <x v="17"/>
    <x v="0"/>
    <n v="462.41"/>
    <n v="1449.08"/>
    <x v="0"/>
    <n v="16"/>
    <s v="Older"/>
  </r>
  <r>
    <n v="24150286"/>
    <n v="2415028601"/>
    <n v="1"/>
    <x v="22"/>
    <x v="0"/>
    <n v="1307.9000000000001"/>
    <n v="1183.5999999999999"/>
    <x v="0"/>
    <n v="18"/>
    <s v="Older"/>
  </r>
  <r>
    <n v="24150319"/>
    <n v="2415031901"/>
    <n v="1"/>
    <x v="0"/>
    <x v="0"/>
    <n v="33.270000000000003"/>
    <n v="95.42"/>
    <x v="0"/>
    <n v="13"/>
    <s v="Older"/>
  </r>
  <r>
    <n v="24150326"/>
    <n v="2415032601"/>
    <n v="1"/>
    <x v="2"/>
    <x v="0"/>
    <n v="447.89"/>
    <n v="480.12"/>
    <x v="0"/>
    <n v="12"/>
    <s v="Older"/>
  </r>
  <r>
    <n v="24150335"/>
    <n v="2415033501"/>
    <n v="1"/>
    <x v="18"/>
    <x v="0"/>
    <n v="110.4"/>
    <n v="286.75"/>
    <x v="0"/>
    <n v="11"/>
    <s v="Older"/>
  </r>
  <r>
    <n v="24150342"/>
    <n v="2415034201"/>
    <n v="1"/>
    <x v="6"/>
    <x v="0"/>
    <n v="1495.51"/>
    <n v="695.4"/>
    <x v="0"/>
    <n v="7"/>
    <s v="Mid-age"/>
  </r>
  <r>
    <n v="24150348"/>
    <n v="2415034801"/>
    <n v="1"/>
    <x v="18"/>
    <x v="0"/>
    <n v="348.96"/>
    <n v="269.20999999999998"/>
    <x v="0"/>
    <n v="11"/>
    <s v="Older"/>
  </r>
  <r>
    <n v="24150354"/>
    <n v="2415035401"/>
    <n v="1"/>
    <x v="17"/>
    <x v="0"/>
    <n v="637.99"/>
    <n v="180.88"/>
    <x v="0"/>
    <n v="16"/>
    <s v="Older"/>
  </r>
  <r>
    <n v="24150369"/>
    <n v="2415036901"/>
    <n v="1"/>
    <x v="10"/>
    <x v="0"/>
    <n v="1200.9100000000001"/>
    <n v="1396.32"/>
    <x v="0"/>
    <n v="5"/>
    <s v="Mid-age"/>
  </r>
  <r>
    <n v="24150370"/>
    <n v="2415037001"/>
    <n v="1"/>
    <x v="3"/>
    <x v="0"/>
    <n v="91.89"/>
    <n v="90.33"/>
    <x v="0"/>
    <n v="4"/>
    <s v="Mid-age"/>
  </r>
  <r>
    <n v="24150373"/>
    <n v="2415037301"/>
    <n v="1"/>
    <x v="8"/>
    <x v="0"/>
    <n v="1039.0899999999999"/>
    <n v="563.55999999999995"/>
    <x v="0"/>
    <n v="9"/>
    <s v="Mid-age"/>
  </r>
  <r>
    <n v="24150374"/>
    <n v="2415037401"/>
    <n v="1"/>
    <x v="7"/>
    <x v="0"/>
    <n v="0.92"/>
    <n v="214.96"/>
    <x v="0"/>
    <n v="23"/>
    <s v="Very Old"/>
  </r>
  <r>
    <n v="24150376"/>
    <n v="2415037601"/>
    <n v="1"/>
    <x v="10"/>
    <x v="0"/>
    <n v="1.84"/>
    <n v="661.33"/>
    <x v="0"/>
    <n v="5"/>
    <s v="Mid-age"/>
  </r>
  <r>
    <n v="24150386"/>
    <n v="2415038601"/>
    <n v="1"/>
    <x v="6"/>
    <x v="0"/>
    <n v="171.02"/>
    <n v="475.01"/>
    <x v="0"/>
    <n v="7"/>
    <s v="Mid-age"/>
  </r>
  <r>
    <n v="24150387"/>
    <n v="2415038701"/>
    <n v="1"/>
    <x v="12"/>
    <x v="0"/>
    <n v="149.41"/>
    <n v="444.79"/>
    <x v="0"/>
    <n v="19"/>
    <s v="Older"/>
  </r>
  <r>
    <n v="24150393"/>
    <n v="2415039301"/>
    <n v="1"/>
    <x v="8"/>
    <x v="0"/>
    <n v="555.24"/>
    <n v="445.31"/>
    <x v="0"/>
    <n v="9"/>
    <s v="Mid-age"/>
  </r>
  <r>
    <n v="24150405"/>
    <n v="2415040501"/>
    <n v="1"/>
    <x v="9"/>
    <x v="0"/>
    <n v="460.5"/>
    <n v="1220"/>
    <x v="0"/>
    <n v="2"/>
    <s v="Newer"/>
  </r>
  <r>
    <n v="24150416"/>
    <n v="2415041601"/>
    <n v="1"/>
    <x v="10"/>
    <x v="0"/>
    <n v="238.23"/>
    <n v="739.73"/>
    <x v="0"/>
    <n v="5"/>
    <s v="Mid-age"/>
  </r>
  <r>
    <n v="24150432"/>
    <n v="2415043201"/>
    <n v="1"/>
    <x v="24"/>
    <x v="0"/>
    <n v="1674.63"/>
    <n v="1745.58"/>
    <x v="0"/>
    <n v="15"/>
    <s v="Older"/>
  </r>
  <r>
    <n v="24150436"/>
    <n v="2415043601"/>
    <n v="1"/>
    <x v="14"/>
    <x v="0"/>
    <n v="628.76"/>
    <n v="1574.35"/>
    <x v="0"/>
    <n v="10"/>
    <s v="Older"/>
  </r>
  <r>
    <n v="24150440"/>
    <n v="2415044001"/>
    <n v="1"/>
    <x v="2"/>
    <x v="0"/>
    <n v="239.3"/>
    <n v="287.42"/>
    <x v="0"/>
    <n v="12"/>
    <s v="Older"/>
  </r>
  <r>
    <n v="24150444"/>
    <n v="2415044401"/>
    <n v="1"/>
    <x v="8"/>
    <x v="0"/>
    <n v="106.24"/>
    <n v="310.22000000000003"/>
    <x v="0"/>
    <n v="9"/>
    <s v="Mid-age"/>
  </r>
  <r>
    <n v="24150446"/>
    <n v="2415044601"/>
    <n v="1"/>
    <x v="18"/>
    <x v="0"/>
    <n v="0.46"/>
    <n v="111.72"/>
    <x v="0"/>
    <n v="11"/>
    <s v="Older"/>
  </r>
  <r>
    <n v="24150457"/>
    <n v="2415045701"/>
    <n v="1"/>
    <x v="6"/>
    <x v="0"/>
    <n v="2449.85"/>
    <n v="2497.75"/>
    <x v="0"/>
    <n v="7"/>
    <s v="Mid-age"/>
  </r>
  <r>
    <n v="24150466"/>
    <n v="2415046601"/>
    <n v="1"/>
    <x v="11"/>
    <x v="0"/>
    <n v="296.57"/>
    <n v="1232.19"/>
    <x v="0"/>
    <n v="8"/>
    <s v="Mid-age"/>
  </r>
  <r>
    <n v="24150475"/>
    <n v="2415047501"/>
    <n v="1"/>
    <x v="6"/>
    <x v="0"/>
    <n v="677.38"/>
    <n v="911.92"/>
    <x v="0"/>
    <n v="7"/>
    <s v="Mid-age"/>
  </r>
  <r>
    <n v="24150481"/>
    <n v="2415048101"/>
    <n v="1"/>
    <x v="7"/>
    <x v="0"/>
    <n v="204.96"/>
    <n v="533.34"/>
    <x v="0"/>
    <n v="23"/>
    <s v="Very Old"/>
  </r>
  <r>
    <n v="24150486"/>
    <n v="2415048601"/>
    <n v="1"/>
    <x v="16"/>
    <x v="0"/>
    <n v="3281.12"/>
    <n v="2394.67"/>
    <x v="0"/>
    <n v="14"/>
    <s v="Older"/>
  </r>
  <r>
    <n v="24150492"/>
    <n v="2415049201"/>
    <n v="1"/>
    <x v="6"/>
    <x v="4"/>
    <n v="482.74"/>
    <n v="217.25"/>
    <x v="4"/>
    <n v="7"/>
    <s v="Mid-age"/>
  </r>
  <r>
    <n v="24150507"/>
    <n v="2415050701"/>
    <n v="1"/>
    <x v="2"/>
    <x v="0"/>
    <n v="63.51"/>
    <n v="298.54000000000002"/>
    <x v="0"/>
    <n v="12"/>
    <s v="Older"/>
  </r>
  <r>
    <n v="24150531"/>
    <n v="2415053101"/>
    <n v="1"/>
    <x v="16"/>
    <x v="0"/>
    <n v="199.01"/>
    <n v="258.64"/>
    <x v="0"/>
    <n v="14"/>
    <s v="Older"/>
  </r>
  <r>
    <n v="24150588"/>
    <n v="2415058801"/>
    <n v="1"/>
    <x v="18"/>
    <x v="0"/>
    <n v="0.92"/>
    <n v="258.64"/>
    <x v="0"/>
    <n v="11"/>
    <s v="Older"/>
  </r>
  <r>
    <n v="24150596"/>
    <n v="2415059601"/>
    <n v="1"/>
    <x v="16"/>
    <x v="0"/>
    <n v="886.09"/>
    <n v="631.03"/>
    <x v="0"/>
    <n v="14"/>
    <s v="Older"/>
  </r>
  <r>
    <n v="24150605"/>
    <n v="2415060501"/>
    <n v="1"/>
    <x v="10"/>
    <x v="0"/>
    <n v="373.64"/>
    <n v="822.87"/>
    <x v="0"/>
    <n v="5"/>
    <s v="Mid-age"/>
  </r>
  <r>
    <n v="24150614"/>
    <n v="2415061401"/>
    <n v="1"/>
    <x v="8"/>
    <x v="0"/>
    <n v="171.38"/>
    <n v="228.4"/>
    <x v="0"/>
    <n v="9"/>
    <s v="Mid-age"/>
  </r>
  <r>
    <n v="24150642"/>
    <n v="2415064201"/>
    <n v="1"/>
    <x v="6"/>
    <x v="0"/>
    <n v="192.99"/>
    <n v="297.11"/>
    <x v="0"/>
    <n v="7"/>
    <s v="Mid-age"/>
  </r>
  <r>
    <n v="24150673"/>
    <n v="2415067301"/>
    <n v="1"/>
    <x v="8"/>
    <x v="0"/>
    <n v="502.06"/>
    <n v="217.51"/>
    <x v="0"/>
    <n v="9"/>
    <s v="Mid-age"/>
  </r>
  <r>
    <n v="24150680"/>
    <n v="2415068001"/>
    <n v="1"/>
    <x v="16"/>
    <x v="0"/>
    <n v="434.24"/>
    <n v="572.54"/>
    <x v="0"/>
    <n v="14"/>
    <s v="Older"/>
  </r>
  <r>
    <n v="24150686"/>
    <n v="2415068601"/>
    <n v="1"/>
    <x v="25"/>
    <x v="0"/>
    <n v="37.78"/>
    <n v="553.67999999999995"/>
    <x v="0"/>
    <n v="27"/>
    <s v="Very Old"/>
  </r>
  <r>
    <n v="24150703"/>
    <n v="2415070301"/>
    <n v="1"/>
    <x v="10"/>
    <x v="0"/>
    <n v="650.38"/>
    <n v="706.81"/>
    <x v="0"/>
    <n v="5"/>
    <s v="Mid-age"/>
  </r>
  <r>
    <n v="24150715"/>
    <n v="2415071501"/>
    <n v="1"/>
    <x v="19"/>
    <x v="2"/>
    <n v="191.83"/>
    <n v="258.06"/>
    <x v="2"/>
    <n v="17"/>
    <s v="Older"/>
  </r>
  <r>
    <n v="24150716"/>
    <n v="2415071601"/>
    <n v="1"/>
    <x v="24"/>
    <x v="0"/>
    <n v="282"/>
    <n v="572.54"/>
    <x v="0"/>
    <n v="15"/>
    <s v="Older"/>
  </r>
  <r>
    <n v="24150718"/>
    <n v="2415071801"/>
    <n v="1"/>
    <x v="11"/>
    <x v="0"/>
    <n v="129.72"/>
    <n v="356.22"/>
    <x v="0"/>
    <n v="8"/>
    <s v="Mid-age"/>
  </r>
  <r>
    <n v="24150722"/>
    <n v="2415072201"/>
    <n v="1"/>
    <x v="17"/>
    <x v="0"/>
    <n v="480.92"/>
    <n v="861.26"/>
    <x v="0"/>
    <n v="16"/>
    <s v="Older"/>
  </r>
  <r>
    <n v="24150766"/>
    <n v="2415076601"/>
    <n v="1"/>
    <x v="0"/>
    <x v="0"/>
    <n v="1213.3800000000001"/>
    <n v="2012.96"/>
    <x v="0"/>
    <n v="13"/>
    <s v="Older"/>
  </r>
  <r>
    <n v="24150777"/>
    <n v="2415077701"/>
    <n v="1"/>
    <x v="9"/>
    <x v="0"/>
    <n v="556.03"/>
    <n v="906.16"/>
    <x v="0"/>
    <n v="2"/>
    <s v="Newer"/>
  </r>
  <r>
    <n v="24150799"/>
    <n v="2415079901"/>
    <n v="1"/>
    <x v="1"/>
    <x v="0"/>
    <n v="5471.66"/>
    <n v="2873.06"/>
    <x v="0"/>
    <n v="3"/>
    <s v="Newer"/>
  </r>
  <r>
    <n v="24150800"/>
    <n v="2415080001"/>
    <n v="1"/>
    <x v="12"/>
    <x v="0"/>
    <n v="430.08"/>
    <n v="2332.25"/>
    <x v="0"/>
    <n v="19"/>
    <s v="Older"/>
  </r>
  <r>
    <n v="24150828"/>
    <n v="2415082801"/>
    <n v="1"/>
    <x v="6"/>
    <x v="0"/>
    <n v="140.03"/>
    <n v="240.33"/>
    <x v="0"/>
    <n v="7"/>
    <s v="Mid-age"/>
  </r>
  <r>
    <n v="24150846"/>
    <n v="2415084601"/>
    <n v="1"/>
    <x v="16"/>
    <x v="0"/>
    <n v="4641.6000000000004"/>
    <n v="2578.35"/>
    <x v="0"/>
    <n v="14"/>
    <s v="Older"/>
  </r>
  <r>
    <n v="24150850"/>
    <n v="2415085001"/>
    <n v="1"/>
    <x v="11"/>
    <x v="0"/>
    <n v="442.01"/>
    <n v="431.1"/>
    <x v="0"/>
    <n v="8"/>
    <s v="Mid-age"/>
  </r>
  <r>
    <n v="24150870"/>
    <n v="2415087001"/>
    <n v="1"/>
    <x v="18"/>
    <x v="0"/>
    <n v="172.31"/>
    <n v="1511.82"/>
    <x v="0"/>
    <n v="11"/>
    <s v="Older"/>
  </r>
  <r>
    <n v="24150873"/>
    <n v="2415087301"/>
    <n v="1"/>
    <x v="1"/>
    <x v="0"/>
    <n v="1750.25"/>
    <n v="2232.3200000000002"/>
    <x v="0"/>
    <n v="3"/>
    <s v="Newer"/>
  </r>
  <r>
    <n v="24150885"/>
    <n v="2415088501"/>
    <n v="1"/>
    <x v="17"/>
    <x v="0"/>
    <n v="710.92"/>
    <n v="600.73"/>
    <x v="0"/>
    <n v="16"/>
    <s v="Older"/>
  </r>
  <r>
    <n v="24150890"/>
    <n v="2415089001"/>
    <n v="1"/>
    <x v="1"/>
    <x v="2"/>
    <n v="0.92"/>
    <n v="258.19"/>
    <x v="2"/>
    <n v="3"/>
    <s v="Newer"/>
  </r>
  <r>
    <n v="24150892"/>
    <n v="2415089201"/>
    <n v="1"/>
    <x v="11"/>
    <x v="0"/>
    <n v="6.48"/>
    <n v="217.25"/>
    <x v="0"/>
    <n v="8"/>
    <s v="Mid-age"/>
  </r>
  <r>
    <n v="24150907"/>
    <n v="2415090701"/>
    <n v="1"/>
    <x v="20"/>
    <x v="0"/>
    <n v="731.97"/>
    <n v="690.25"/>
    <x v="0"/>
    <n v="22"/>
    <s v="Very Old"/>
  </r>
  <r>
    <n v="24150919"/>
    <n v="2415091901"/>
    <n v="1"/>
    <x v="0"/>
    <x v="0"/>
    <n v="119.67"/>
    <n v="426.64"/>
    <x v="0"/>
    <n v="13"/>
    <s v="Older"/>
  </r>
  <r>
    <n v="24150929"/>
    <n v="2415092901"/>
    <n v="1"/>
    <x v="24"/>
    <x v="0"/>
    <n v="3.48"/>
    <n v="529.22"/>
    <x v="0"/>
    <n v="15"/>
    <s v="Older"/>
  </r>
  <r>
    <n v="24150939"/>
    <n v="2415093901"/>
    <n v="1"/>
    <x v="21"/>
    <x v="0"/>
    <n v="2320.5"/>
    <n v="857.28"/>
    <x v="0"/>
    <n v="24"/>
    <s v="Very Old"/>
  </r>
  <r>
    <n v="24150954"/>
    <n v="2415095401"/>
    <n v="1"/>
    <x v="12"/>
    <x v="0"/>
    <n v="1908.56"/>
    <n v="593.75"/>
    <x v="0"/>
    <n v="19"/>
    <s v="Older"/>
  </r>
  <r>
    <n v="24150956"/>
    <n v="2415095601"/>
    <n v="1"/>
    <x v="10"/>
    <x v="0"/>
    <n v="0.92"/>
    <n v="96.7"/>
    <x v="0"/>
    <n v="5"/>
    <s v="Mid-age"/>
  </r>
  <r>
    <n v="24150959"/>
    <n v="2415095901"/>
    <n v="1"/>
    <x v="18"/>
    <x v="0"/>
    <n v="3654.16"/>
    <n v="3045.16"/>
    <x v="0"/>
    <n v="11"/>
    <s v="Older"/>
  </r>
  <r>
    <n v="24150963"/>
    <n v="2415096301"/>
    <n v="1"/>
    <x v="9"/>
    <x v="0"/>
    <n v="838.46"/>
    <n v="6835.81"/>
    <x v="0"/>
    <n v="2"/>
    <s v="Newer"/>
  </r>
  <r>
    <n v="24150973"/>
    <n v="2415097301"/>
    <n v="1"/>
    <x v="9"/>
    <x v="0"/>
    <n v="1286.78"/>
    <n v="2497.75"/>
    <x v="0"/>
    <n v="2"/>
    <s v="Newer"/>
  </r>
  <r>
    <n v="24150974"/>
    <n v="2415097401"/>
    <n v="1"/>
    <x v="8"/>
    <x v="0"/>
    <n v="0.92"/>
    <n v="245.66"/>
    <x v="0"/>
    <n v="9"/>
    <s v="Mid-age"/>
  </r>
  <r>
    <n v="24150987"/>
    <n v="2415098701"/>
    <n v="1"/>
    <x v="17"/>
    <x v="0"/>
    <n v="5.83"/>
    <n v="231.74"/>
    <x v="0"/>
    <n v="16"/>
    <s v="Older"/>
  </r>
  <r>
    <n v="24150992"/>
    <n v="2415099201"/>
    <n v="1"/>
    <x v="10"/>
    <x v="0"/>
    <n v="428.7"/>
    <n v="1068.5"/>
    <x v="0"/>
    <n v="5"/>
    <s v="Mid-age"/>
  </r>
  <r>
    <n v="24151012"/>
    <n v="2415101201"/>
    <n v="1"/>
    <x v="6"/>
    <x v="0"/>
    <n v="45.49"/>
    <n v="916.15"/>
    <x v="0"/>
    <n v="7"/>
    <s v="Mid-age"/>
  </r>
  <r>
    <n v="24151014"/>
    <n v="2415101401"/>
    <n v="1"/>
    <x v="3"/>
    <x v="0"/>
    <n v="0.92"/>
    <n v="343.07"/>
    <x v="0"/>
    <n v="4"/>
    <s v="Mid-age"/>
  </r>
  <r>
    <n v="24151022"/>
    <n v="2415102201"/>
    <n v="1"/>
    <x v="1"/>
    <x v="0"/>
    <n v="527.87"/>
    <n v="265.64999999999998"/>
    <x v="0"/>
    <n v="3"/>
    <s v="Newer"/>
  </r>
  <r>
    <n v="24151032"/>
    <n v="2415103201"/>
    <n v="1"/>
    <x v="18"/>
    <x v="0"/>
    <n v="689.86"/>
    <n v="688.24"/>
    <x v="0"/>
    <n v="11"/>
    <s v="Older"/>
  </r>
  <r>
    <n v="24151034"/>
    <n v="2415103401"/>
    <n v="1"/>
    <x v="3"/>
    <x v="0"/>
    <n v="156.5"/>
    <n v="179.11"/>
    <x v="0"/>
    <n v="4"/>
    <s v="Mid-age"/>
  </r>
  <r>
    <n v="24151045"/>
    <n v="2415104501"/>
    <n v="1"/>
    <x v="30"/>
    <x v="0"/>
    <n v="183.81"/>
    <n v="503.57"/>
    <x v="0"/>
    <n v="25"/>
    <s v="Very Old"/>
  </r>
  <r>
    <n v="24151048"/>
    <n v="2415104801"/>
    <n v="1"/>
    <x v="2"/>
    <x v="0"/>
    <n v="1026.17"/>
    <n v="1449.89"/>
    <x v="0"/>
    <n v="12"/>
    <s v="Older"/>
  </r>
  <r>
    <n v="24151056"/>
    <n v="2415105601"/>
    <n v="1"/>
    <x v="9"/>
    <x v="4"/>
    <n v="3094.98"/>
    <n v="742.43"/>
    <x v="4"/>
    <n v="2"/>
    <s v="Newer"/>
  </r>
  <r>
    <n v="24151063"/>
    <n v="2415106301"/>
    <n v="1"/>
    <x v="10"/>
    <x v="0"/>
    <n v="885.8"/>
    <n v="1055.6199999999999"/>
    <x v="0"/>
    <n v="5"/>
    <s v="Mid-age"/>
  </r>
  <r>
    <n v="24151065"/>
    <n v="2415106501"/>
    <n v="1"/>
    <x v="20"/>
    <x v="0"/>
    <n v="0.92"/>
    <n v="201.49"/>
    <x v="0"/>
    <n v="22"/>
    <s v="Very Old"/>
  </r>
  <r>
    <n v="24151071"/>
    <n v="2415107101"/>
    <n v="1"/>
    <x v="10"/>
    <x v="1"/>
    <n v="5483.41"/>
    <n v="776.86"/>
    <x v="1"/>
    <n v="5"/>
    <s v="Mid-age"/>
  </r>
  <r>
    <n v="24151075"/>
    <n v="2415107501"/>
    <n v="1"/>
    <x v="2"/>
    <x v="0"/>
    <n v="2"/>
    <n v="235.6"/>
    <x v="0"/>
    <n v="12"/>
    <s v="Older"/>
  </r>
  <r>
    <n v="24151076"/>
    <n v="2415107601"/>
    <n v="1"/>
    <x v="20"/>
    <x v="5"/>
    <n v="652.14"/>
    <n v="728.58"/>
    <x v="5"/>
    <n v="22"/>
    <s v="Very Old"/>
  </r>
  <r>
    <n v="24151082"/>
    <n v="2415108201"/>
    <n v="1"/>
    <x v="8"/>
    <x v="0"/>
    <n v="1.67"/>
    <n v="566.55999999999995"/>
    <x v="0"/>
    <n v="9"/>
    <s v="Mid-age"/>
  </r>
  <r>
    <n v="24151083"/>
    <n v="2415108301"/>
    <n v="1"/>
    <x v="2"/>
    <x v="0"/>
    <n v="1090.1400000000001"/>
    <n v="1557.41"/>
    <x v="0"/>
    <n v="12"/>
    <s v="Older"/>
  </r>
  <r>
    <n v="24151088"/>
    <n v="2415108801"/>
    <n v="1"/>
    <x v="6"/>
    <x v="0"/>
    <n v="240.05"/>
    <n v="359.08"/>
    <x v="0"/>
    <n v="7"/>
    <s v="Mid-age"/>
  </r>
  <r>
    <n v="24151091"/>
    <n v="2415109101"/>
    <n v="1"/>
    <x v="5"/>
    <x v="0"/>
    <n v="1.84"/>
    <n v="79.36"/>
    <x v="0"/>
    <n v="6"/>
    <s v="Mid-age"/>
  </r>
  <r>
    <n v="24151098"/>
    <n v="2415109801"/>
    <n v="1"/>
    <x v="8"/>
    <x v="0"/>
    <n v="213.31"/>
    <n v="301.89999999999998"/>
    <x v="0"/>
    <n v="9"/>
    <s v="Mid-age"/>
  </r>
  <r>
    <n v="24151101"/>
    <n v="2415110101"/>
    <n v="1"/>
    <x v="18"/>
    <x v="0"/>
    <n v="504.63"/>
    <n v="751.11"/>
    <x v="0"/>
    <n v="11"/>
    <s v="Older"/>
  </r>
  <r>
    <n v="24151118"/>
    <n v="2415111801"/>
    <n v="1"/>
    <x v="5"/>
    <x v="0"/>
    <n v="1762.22"/>
    <n v="4565.8599999999997"/>
    <x v="0"/>
    <n v="6"/>
    <s v="Mid-age"/>
  </r>
  <r>
    <n v="24151120"/>
    <n v="2415112001"/>
    <n v="1"/>
    <x v="18"/>
    <x v="0"/>
    <n v="562.41999999999996"/>
    <n v="445.56"/>
    <x v="0"/>
    <n v="11"/>
    <s v="Older"/>
  </r>
  <r>
    <n v="24151126"/>
    <n v="2415112601"/>
    <n v="1"/>
    <x v="5"/>
    <x v="0"/>
    <n v="41.82"/>
    <n v="290.83"/>
    <x v="0"/>
    <n v="6"/>
    <s v="Mid-age"/>
  </r>
  <r>
    <n v="24151134"/>
    <n v="2415113401"/>
    <n v="1"/>
    <x v="2"/>
    <x v="0"/>
    <n v="211.12"/>
    <n v="217.63"/>
    <x v="0"/>
    <n v="12"/>
    <s v="Older"/>
  </r>
  <r>
    <n v="24151135"/>
    <n v="2415113501"/>
    <n v="1"/>
    <x v="18"/>
    <x v="0"/>
    <n v="165.38"/>
    <n v="254.03"/>
    <x v="0"/>
    <n v="11"/>
    <s v="Older"/>
  </r>
  <r>
    <n v="24151136"/>
    <n v="2415113601"/>
    <n v="1"/>
    <x v="3"/>
    <x v="0"/>
    <n v="996.01"/>
    <n v="1282.8599999999999"/>
    <x v="0"/>
    <n v="4"/>
    <s v="Mid-age"/>
  </r>
  <r>
    <n v="24151140"/>
    <n v="2415114001"/>
    <n v="1"/>
    <x v="21"/>
    <x v="0"/>
    <n v="1467.88"/>
    <n v="1081.6099999999999"/>
    <x v="0"/>
    <n v="24"/>
    <s v="Very Old"/>
  </r>
  <r>
    <n v="24151146"/>
    <n v="2415114601"/>
    <n v="1"/>
    <x v="10"/>
    <x v="0"/>
    <n v="485.58"/>
    <n v="386.4"/>
    <x v="0"/>
    <n v="5"/>
    <s v="Mid-age"/>
  </r>
  <r>
    <n v="24151156"/>
    <n v="2415115601"/>
    <n v="1"/>
    <x v="9"/>
    <x v="2"/>
    <n v="198.05"/>
    <n v="133.25"/>
    <x v="2"/>
    <n v="2"/>
    <s v="Newer"/>
  </r>
  <r>
    <n v="24151164"/>
    <n v="2415116401"/>
    <n v="1"/>
    <x v="3"/>
    <x v="0"/>
    <n v="356.07"/>
    <n v="840.07"/>
    <x v="0"/>
    <n v="4"/>
    <s v="Mid-age"/>
  </r>
  <r>
    <n v="24151172"/>
    <n v="2415117201"/>
    <n v="1"/>
    <x v="21"/>
    <x v="0"/>
    <n v="319.19"/>
    <n v="376.37"/>
    <x v="0"/>
    <n v="24"/>
    <s v="Very Old"/>
  </r>
  <r>
    <n v="24151176"/>
    <n v="2415117601"/>
    <n v="1"/>
    <x v="22"/>
    <x v="0"/>
    <n v="23.81"/>
    <n v="111.01"/>
    <x v="0"/>
    <n v="18"/>
    <s v="Older"/>
  </r>
  <r>
    <n v="24151182"/>
    <n v="2415118201"/>
    <n v="1"/>
    <x v="10"/>
    <x v="0"/>
    <n v="2680.07"/>
    <n v="1962.28"/>
    <x v="0"/>
    <n v="5"/>
    <s v="Mid-age"/>
  </r>
  <r>
    <n v="24151188"/>
    <n v="2415118801"/>
    <n v="1"/>
    <x v="6"/>
    <x v="0"/>
    <n v="676.44"/>
    <n v="520.32000000000005"/>
    <x v="0"/>
    <n v="7"/>
    <s v="Mid-age"/>
  </r>
  <r>
    <n v="24151189"/>
    <n v="2415118901"/>
    <n v="1"/>
    <x v="10"/>
    <x v="0"/>
    <n v="82.12"/>
    <n v="265.79000000000002"/>
    <x v="0"/>
    <n v="5"/>
    <s v="Mid-age"/>
  </r>
  <r>
    <n v="24151192"/>
    <n v="2415119201"/>
    <n v="1"/>
    <x v="27"/>
    <x v="0"/>
    <n v="1.84"/>
    <n v="250.92"/>
    <x v="0"/>
    <n v="20"/>
    <s v="Very Old"/>
  </r>
  <r>
    <n v="24151203"/>
    <n v="2415120301"/>
    <n v="1"/>
    <x v="14"/>
    <x v="0"/>
    <n v="4813.47"/>
    <n v="1336.07"/>
    <x v="0"/>
    <n v="10"/>
    <s v="Older"/>
  </r>
  <r>
    <n v="24151205"/>
    <n v="2415120501"/>
    <n v="1"/>
    <x v="8"/>
    <x v="0"/>
    <n v="2879.48"/>
    <n v="4232.5200000000004"/>
    <x v="0"/>
    <n v="9"/>
    <s v="Mid-age"/>
  </r>
  <r>
    <n v="24151215"/>
    <n v="2415121501"/>
    <n v="1"/>
    <x v="14"/>
    <x v="0"/>
    <n v="328.09"/>
    <n v="291.8"/>
    <x v="0"/>
    <n v="10"/>
    <s v="Older"/>
  </r>
  <r>
    <n v="24151216"/>
    <n v="2415121601"/>
    <n v="1"/>
    <x v="3"/>
    <x v="0"/>
    <n v="292.32"/>
    <n v="1826.1"/>
    <x v="0"/>
    <n v="4"/>
    <s v="Mid-age"/>
  </r>
  <r>
    <n v="24151225"/>
    <n v="2415122501"/>
    <n v="1"/>
    <x v="19"/>
    <x v="0"/>
    <n v="263.55"/>
    <n v="390.16"/>
    <x v="0"/>
    <n v="17"/>
    <s v="Older"/>
  </r>
  <r>
    <n v="24151226"/>
    <n v="2415122601"/>
    <n v="1"/>
    <x v="1"/>
    <x v="0"/>
    <n v="1081.1400000000001"/>
    <n v="1647.19"/>
    <x v="0"/>
    <n v="3"/>
    <s v="Newer"/>
  </r>
  <r>
    <n v="24151256"/>
    <n v="2415125601"/>
    <n v="1"/>
    <x v="24"/>
    <x v="0"/>
    <n v="487.94"/>
    <n v="345.22"/>
    <x v="0"/>
    <n v="15"/>
    <s v="Older"/>
  </r>
  <r>
    <n v="24151259"/>
    <n v="2415125901"/>
    <n v="1"/>
    <x v="22"/>
    <x v="0"/>
    <n v="0.92"/>
    <n v="529.51"/>
    <x v="0"/>
    <n v="18"/>
    <s v="Older"/>
  </r>
  <r>
    <n v="24151261"/>
    <n v="2415126101"/>
    <n v="1"/>
    <x v="11"/>
    <x v="0"/>
    <n v="167.39"/>
    <n v="1672.83"/>
    <x v="0"/>
    <n v="8"/>
    <s v="Mid-age"/>
  </r>
  <r>
    <n v="24151266"/>
    <n v="2415126601"/>
    <n v="1"/>
    <x v="6"/>
    <x v="0"/>
    <n v="172.25"/>
    <n v="366.84"/>
    <x v="0"/>
    <n v="7"/>
    <s v="Mid-age"/>
  </r>
  <r>
    <n v="24151271"/>
    <n v="2415127101"/>
    <n v="1"/>
    <x v="1"/>
    <x v="0"/>
    <n v="560.76"/>
    <n v="1027.8399999999999"/>
    <x v="0"/>
    <n v="3"/>
    <s v="Newer"/>
  </r>
  <r>
    <n v="24151272"/>
    <n v="2415127201"/>
    <n v="1"/>
    <x v="3"/>
    <x v="0"/>
    <n v="706.63"/>
    <n v="1692.41"/>
    <x v="0"/>
    <n v="4"/>
    <s v="Mid-age"/>
  </r>
  <r>
    <n v="24151279"/>
    <n v="2415127901"/>
    <n v="1"/>
    <x v="10"/>
    <x v="0"/>
    <n v="79.569999999999993"/>
    <n v="201.15"/>
    <x v="0"/>
    <n v="5"/>
    <s v="Mid-age"/>
  </r>
  <r>
    <n v="24151287"/>
    <n v="2415128701"/>
    <n v="1"/>
    <x v="22"/>
    <x v="0"/>
    <n v="1021.51"/>
    <n v="335.86"/>
    <x v="0"/>
    <n v="18"/>
    <s v="Older"/>
  </r>
  <r>
    <n v="24151301"/>
    <n v="2415130101"/>
    <n v="1"/>
    <x v="9"/>
    <x v="2"/>
    <n v="312.29000000000002"/>
    <n v="205.95"/>
    <x v="2"/>
    <n v="2"/>
    <s v="Newer"/>
  </r>
  <r>
    <n v="24151318"/>
    <n v="2415131801"/>
    <n v="1"/>
    <x v="3"/>
    <x v="0"/>
    <n v="198.96"/>
    <n v="345.82"/>
    <x v="0"/>
    <n v="4"/>
    <s v="Mid-age"/>
  </r>
  <r>
    <n v="24151323"/>
    <n v="2415132301"/>
    <n v="1"/>
    <x v="17"/>
    <x v="0"/>
    <n v="2.4"/>
    <n v="445.31"/>
    <x v="0"/>
    <n v="16"/>
    <s v="Older"/>
  </r>
  <r>
    <n v="24151327"/>
    <n v="2415132701"/>
    <n v="1"/>
    <x v="14"/>
    <x v="0"/>
    <n v="1080.8499999999999"/>
    <n v="1292.26"/>
    <x v="0"/>
    <n v="10"/>
    <s v="Older"/>
  </r>
  <r>
    <n v="24151330"/>
    <n v="2415133001"/>
    <n v="1"/>
    <x v="8"/>
    <x v="0"/>
    <n v="1326.15"/>
    <n v="1958.24"/>
    <x v="0"/>
    <n v="9"/>
    <s v="Mid-age"/>
  </r>
  <r>
    <n v="24151331"/>
    <n v="2415133101"/>
    <n v="1"/>
    <x v="15"/>
    <x v="0"/>
    <n v="1605.31"/>
    <n v="708.01"/>
    <x v="0"/>
    <n v="26"/>
    <s v="Very Old"/>
  </r>
  <r>
    <n v="24151335"/>
    <n v="2415133501"/>
    <n v="1"/>
    <x v="1"/>
    <x v="1"/>
    <n v="511.9"/>
    <n v="594.72"/>
    <x v="1"/>
    <n v="3"/>
    <s v="Newer"/>
  </r>
  <r>
    <n v="24151349"/>
    <n v="2415134901"/>
    <n v="1"/>
    <x v="11"/>
    <x v="0"/>
    <n v="0.92"/>
    <n v="315.22000000000003"/>
    <x v="0"/>
    <n v="8"/>
    <s v="Mid-age"/>
  </r>
  <r>
    <n v="24151351"/>
    <n v="2415135101"/>
    <n v="1"/>
    <x v="12"/>
    <x v="0"/>
    <n v="137.75"/>
    <n v="362.25"/>
    <x v="0"/>
    <n v="19"/>
    <s v="Older"/>
  </r>
  <r>
    <n v="24151356"/>
    <n v="2415135601"/>
    <n v="1"/>
    <x v="18"/>
    <x v="0"/>
    <n v="567.33000000000004"/>
    <n v="127.21"/>
    <x v="0"/>
    <n v="11"/>
    <s v="Older"/>
  </r>
  <r>
    <n v="24151360"/>
    <n v="2415136001"/>
    <n v="1"/>
    <x v="17"/>
    <x v="0"/>
    <n v="245.36"/>
    <n v="554.28"/>
    <x v="0"/>
    <n v="16"/>
    <s v="Older"/>
  </r>
  <r>
    <n v="24151366"/>
    <n v="2415136601"/>
    <n v="1"/>
    <x v="16"/>
    <x v="0"/>
    <n v="142.68"/>
    <n v="559.41999999999996"/>
    <x v="0"/>
    <n v="14"/>
    <s v="Older"/>
  </r>
  <r>
    <n v="24151379"/>
    <n v="2415137901"/>
    <n v="1"/>
    <x v="12"/>
    <x v="0"/>
    <n v="199.04"/>
    <n v="345.82"/>
    <x v="0"/>
    <n v="19"/>
    <s v="Older"/>
  </r>
  <r>
    <n v="24151381"/>
    <n v="2415138101"/>
    <n v="1"/>
    <x v="8"/>
    <x v="0"/>
    <n v="2916.73"/>
    <n v="3047.54"/>
    <x v="0"/>
    <n v="9"/>
    <s v="Mid-age"/>
  </r>
  <r>
    <n v="24151409"/>
    <n v="2415140901"/>
    <n v="1"/>
    <x v="19"/>
    <x v="0"/>
    <n v="6.67"/>
    <n v="475.01"/>
    <x v="0"/>
    <n v="17"/>
    <s v="Older"/>
  </r>
  <r>
    <n v="24151426"/>
    <n v="2415142601"/>
    <n v="1"/>
    <x v="5"/>
    <x v="0"/>
    <n v="806.12"/>
    <n v="1406.63"/>
    <x v="0"/>
    <n v="6"/>
    <s v="Mid-age"/>
  </r>
  <r>
    <n v="24151440"/>
    <n v="2415144001"/>
    <n v="1"/>
    <x v="5"/>
    <x v="0"/>
    <n v="1.58"/>
    <n v="290.49"/>
    <x v="0"/>
    <n v="6"/>
    <s v="Mid-age"/>
  </r>
  <r>
    <n v="24151444"/>
    <n v="2415144401"/>
    <n v="1"/>
    <x v="6"/>
    <x v="0"/>
    <n v="551.96"/>
    <n v="813.34"/>
    <x v="0"/>
    <n v="7"/>
    <s v="Mid-age"/>
  </r>
  <r>
    <n v="24151450"/>
    <n v="2415145001"/>
    <n v="1"/>
    <x v="5"/>
    <x v="0"/>
    <n v="4642.57"/>
    <n v="2514.9699999999998"/>
    <x v="0"/>
    <n v="6"/>
    <s v="Mid-age"/>
  </r>
  <r>
    <n v="24151453"/>
    <n v="2415145301"/>
    <n v="1"/>
    <x v="10"/>
    <x v="0"/>
    <n v="14.65"/>
    <n v="139.03"/>
    <x v="0"/>
    <n v="5"/>
    <s v="Mid-age"/>
  </r>
  <r>
    <n v="24151454"/>
    <n v="2415145401"/>
    <n v="1"/>
    <x v="6"/>
    <x v="0"/>
    <n v="79.72"/>
    <n v="279.64999999999998"/>
    <x v="0"/>
    <n v="7"/>
    <s v="Mid-age"/>
  </r>
  <r>
    <n v="24151464"/>
    <n v="2415146401"/>
    <n v="1"/>
    <x v="16"/>
    <x v="0"/>
    <n v="198.86"/>
    <n v="739.6"/>
    <x v="0"/>
    <n v="14"/>
    <s v="Older"/>
  </r>
  <r>
    <n v="24151479"/>
    <n v="2415147901"/>
    <n v="1"/>
    <x v="27"/>
    <x v="0"/>
    <n v="961.79"/>
    <n v="975.14"/>
    <x v="0"/>
    <n v="20"/>
    <s v="Very Old"/>
  </r>
  <r>
    <n v="24151487"/>
    <n v="2415148701"/>
    <n v="1"/>
    <x v="20"/>
    <x v="0"/>
    <n v="777"/>
    <n v="406.54"/>
    <x v="0"/>
    <n v="22"/>
    <s v="Very Old"/>
  </r>
  <r>
    <n v="24151490"/>
    <n v="2415149001"/>
    <n v="1"/>
    <x v="2"/>
    <x v="0"/>
    <n v="56.24"/>
    <n v="344.96"/>
    <x v="0"/>
    <n v="12"/>
    <s v="Older"/>
  </r>
  <r>
    <n v="24151492"/>
    <n v="2415149201"/>
    <n v="1"/>
    <x v="3"/>
    <x v="0"/>
    <n v="0.92"/>
    <n v="129.51"/>
    <x v="0"/>
    <n v="4"/>
    <s v="Mid-age"/>
  </r>
  <r>
    <n v="24151517"/>
    <n v="2415151701"/>
    <n v="1"/>
    <x v="14"/>
    <x v="0"/>
    <n v="2662.55"/>
    <n v="3045.25"/>
    <x v="0"/>
    <n v="10"/>
    <s v="Older"/>
  </r>
  <r>
    <n v="24151521"/>
    <n v="2415152101"/>
    <n v="1"/>
    <x v="10"/>
    <x v="0"/>
    <n v="213.31"/>
    <n v="301.89999999999998"/>
    <x v="0"/>
    <n v="5"/>
    <s v="Mid-age"/>
  </r>
  <r>
    <n v="24151546"/>
    <n v="2415154601"/>
    <n v="1"/>
    <x v="1"/>
    <x v="0"/>
    <n v="20.85"/>
    <n v="345.82"/>
    <x v="0"/>
    <n v="3"/>
    <s v="Newer"/>
  </r>
  <r>
    <n v="24151548"/>
    <n v="2415154801"/>
    <n v="1"/>
    <x v="9"/>
    <x v="0"/>
    <n v="5475.61"/>
    <n v="4569.1099999999997"/>
    <x v="0"/>
    <n v="2"/>
    <s v="Newer"/>
  </r>
  <r>
    <n v="24151549"/>
    <n v="2415154901"/>
    <n v="1"/>
    <x v="10"/>
    <x v="0"/>
    <n v="706.06"/>
    <n v="635.48"/>
    <x v="0"/>
    <n v="5"/>
    <s v="Mid-age"/>
  </r>
  <r>
    <n v="24151551"/>
    <n v="2415155101"/>
    <n v="1"/>
    <x v="5"/>
    <x v="0"/>
    <n v="165.2"/>
    <n v="96.86"/>
    <x v="0"/>
    <n v="6"/>
    <s v="Mid-age"/>
  </r>
  <r>
    <n v="24151576"/>
    <n v="2415157601"/>
    <n v="1"/>
    <x v="1"/>
    <x v="0"/>
    <n v="4.3899999999999997"/>
    <n v="186.15"/>
    <x v="0"/>
    <n v="3"/>
    <s v="Newer"/>
  </r>
  <r>
    <n v="24151583"/>
    <n v="2415158301"/>
    <n v="1"/>
    <x v="6"/>
    <x v="0"/>
    <n v="438.17"/>
    <n v="717.53"/>
    <x v="0"/>
    <n v="7"/>
    <s v="Mid-age"/>
  </r>
  <r>
    <n v="24151617"/>
    <n v="2415161701"/>
    <n v="1"/>
    <x v="10"/>
    <x v="0"/>
    <n v="1752.1"/>
    <n v="957.39"/>
    <x v="0"/>
    <n v="5"/>
    <s v="Mid-age"/>
  </r>
  <r>
    <n v="24151620"/>
    <n v="2415162001"/>
    <n v="1"/>
    <x v="0"/>
    <x v="0"/>
    <n v="57.81"/>
    <n v="345.63"/>
    <x v="0"/>
    <n v="13"/>
    <s v="Older"/>
  </r>
  <r>
    <n v="24151622"/>
    <n v="2415162201"/>
    <n v="1"/>
    <x v="7"/>
    <x v="0"/>
    <n v="1.83"/>
    <n v="129.66999999999999"/>
    <x v="0"/>
    <n v="23"/>
    <s v="Very Old"/>
  </r>
  <r>
    <n v="24151624"/>
    <n v="2415162401"/>
    <n v="1"/>
    <x v="8"/>
    <x v="0"/>
    <n v="10.050000000000001"/>
    <n v="145.11000000000001"/>
    <x v="0"/>
    <n v="9"/>
    <s v="Mid-age"/>
  </r>
  <r>
    <n v="24151632"/>
    <n v="2415163201"/>
    <n v="1"/>
    <x v="1"/>
    <x v="0"/>
    <n v="466.56"/>
    <n v="924.45"/>
    <x v="0"/>
    <n v="3"/>
    <s v="Newer"/>
  </r>
  <r>
    <n v="24151648"/>
    <n v="2415164801"/>
    <n v="1"/>
    <x v="3"/>
    <x v="1"/>
    <n v="106.24"/>
    <n v="635.13"/>
    <x v="1"/>
    <n v="4"/>
    <s v="Mid-age"/>
  </r>
  <r>
    <n v="24151650"/>
    <n v="2415165001"/>
    <n v="1"/>
    <x v="14"/>
    <x v="0"/>
    <n v="2626.13"/>
    <n v="279.64999999999998"/>
    <x v="0"/>
    <n v="10"/>
    <s v="Older"/>
  </r>
  <r>
    <n v="24151656"/>
    <n v="2415165601"/>
    <n v="1"/>
    <x v="3"/>
    <x v="0"/>
    <n v="229.86"/>
    <n v="301.13"/>
    <x v="0"/>
    <n v="4"/>
    <s v="Mid-age"/>
  </r>
  <r>
    <n v="24151657"/>
    <n v="2415165701"/>
    <n v="1"/>
    <x v="17"/>
    <x v="0"/>
    <n v="14.75"/>
    <n v="729.7"/>
    <x v="0"/>
    <n v="16"/>
    <s v="Older"/>
  </r>
  <r>
    <n v="24151669"/>
    <n v="2415166901"/>
    <n v="1"/>
    <x v="30"/>
    <x v="0"/>
    <n v="1852.48"/>
    <n v="1917.96"/>
    <x v="0"/>
    <n v="25"/>
    <s v="Very Old"/>
  </r>
  <r>
    <n v="24151680"/>
    <n v="2415168001"/>
    <n v="1"/>
    <x v="24"/>
    <x v="3"/>
    <n v="607.87"/>
    <n v="825.29"/>
    <x v="3"/>
    <n v="15"/>
    <s v="Older"/>
  </r>
  <r>
    <n v="24151689"/>
    <n v="2415168901"/>
    <n v="1"/>
    <x v="22"/>
    <x v="0"/>
    <n v="34.58"/>
    <n v="1489.69"/>
    <x v="0"/>
    <n v="18"/>
    <s v="Older"/>
  </r>
  <r>
    <n v="24151694"/>
    <n v="2415169401"/>
    <n v="1"/>
    <x v="10"/>
    <x v="0"/>
    <n v="62.07"/>
    <n v="290.99"/>
    <x v="0"/>
    <n v="5"/>
    <s v="Mid-age"/>
  </r>
  <r>
    <n v="24151703"/>
    <n v="2415170301"/>
    <n v="1"/>
    <x v="6"/>
    <x v="0"/>
    <n v="762.39"/>
    <n v="1723.2"/>
    <x v="0"/>
    <n v="7"/>
    <s v="Mid-age"/>
  </r>
  <r>
    <n v="24151720"/>
    <n v="2415172001"/>
    <n v="1"/>
    <x v="18"/>
    <x v="0"/>
    <n v="92.98"/>
    <n v="258.64"/>
    <x v="0"/>
    <n v="11"/>
    <s v="Older"/>
  </r>
  <r>
    <n v="24151722"/>
    <n v="2415172201"/>
    <n v="1"/>
    <x v="6"/>
    <x v="0"/>
    <n v="1531.91"/>
    <n v="1216.02"/>
    <x v="0"/>
    <n v="7"/>
    <s v="Mid-age"/>
  </r>
  <r>
    <n v="24151730"/>
    <n v="2415173001"/>
    <n v="1"/>
    <x v="18"/>
    <x v="0"/>
    <n v="313.98"/>
    <n v="1236.6500000000001"/>
    <x v="0"/>
    <n v="11"/>
    <s v="Older"/>
  </r>
  <r>
    <n v="24151740"/>
    <n v="2415174001"/>
    <n v="1"/>
    <x v="18"/>
    <x v="0"/>
    <n v="11.34"/>
    <n v="397.27"/>
    <x v="0"/>
    <n v="11"/>
    <s v="Older"/>
  </r>
  <r>
    <n v="24151742"/>
    <n v="2415174201"/>
    <n v="1"/>
    <x v="6"/>
    <x v="0"/>
    <n v="981.02"/>
    <n v="936.04"/>
    <x v="0"/>
    <n v="7"/>
    <s v="Mid-age"/>
  </r>
  <r>
    <n v="24151743"/>
    <n v="2415174301"/>
    <n v="1"/>
    <x v="6"/>
    <x v="0"/>
    <n v="157.74"/>
    <n v="1178.8"/>
    <x v="0"/>
    <n v="7"/>
    <s v="Mid-age"/>
  </r>
  <r>
    <n v="24151747"/>
    <n v="2415174701"/>
    <n v="1"/>
    <x v="24"/>
    <x v="0"/>
    <n v="3046.41"/>
    <n v="2281.6"/>
    <x v="0"/>
    <n v="15"/>
    <s v="Older"/>
  </r>
  <r>
    <n v="24151751"/>
    <n v="2415175101"/>
    <n v="1"/>
    <x v="20"/>
    <x v="0"/>
    <n v="155.74"/>
    <n v="372.43"/>
    <x v="0"/>
    <n v="22"/>
    <s v="Very Old"/>
  </r>
  <r>
    <n v="24151761"/>
    <n v="2415176101"/>
    <n v="1"/>
    <x v="1"/>
    <x v="0"/>
    <n v="86.34"/>
    <n v="355.8"/>
    <x v="0"/>
    <n v="3"/>
    <s v="Newer"/>
  </r>
  <r>
    <n v="24151772"/>
    <n v="2415177201"/>
    <n v="1"/>
    <x v="3"/>
    <x v="0"/>
    <n v="2080.4"/>
    <n v="3045.59"/>
    <x v="0"/>
    <n v="4"/>
    <s v="Mid-age"/>
  </r>
  <r>
    <n v="24151775"/>
    <n v="2415177501"/>
    <n v="1"/>
    <x v="24"/>
    <x v="0"/>
    <n v="2468.59"/>
    <n v="1449.89"/>
    <x v="0"/>
    <n v="15"/>
    <s v="Older"/>
  </r>
  <r>
    <n v="24151779"/>
    <n v="2415177901"/>
    <n v="1"/>
    <x v="13"/>
    <x v="0"/>
    <n v="0.92"/>
    <n v="451.98"/>
    <x v="0"/>
    <n v="34"/>
    <s v="Very Old"/>
  </r>
  <r>
    <n v="24151792"/>
    <n v="2415179201"/>
    <n v="1"/>
    <x v="9"/>
    <x v="0"/>
    <n v="939.51"/>
    <n v="2957.55"/>
    <x v="0"/>
    <n v="2"/>
    <s v="Newer"/>
  </r>
  <r>
    <n v="24151829"/>
    <n v="2415182901"/>
    <n v="1"/>
    <x v="4"/>
    <x v="0"/>
    <n v="106.11"/>
    <n v="519.23"/>
    <x v="0"/>
    <n v="21"/>
    <s v="Very Old"/>
  </r>
  <r>
    <n v="24151830"/>
    <n v="2415183001"/>
    <n v="1"/>
    <x v="11"/>
    <x v="0"/>
    <n v="56.32"/>
    <n v="142.72999999999999"/>
    <x v="0"/>
    <n v="8"/>
    <s v="Mid-age"/>
  </r>
  <r>
    <n v="24151835"/>
    <n v="2415183501"/>
    <n v="1"/>
    <x v="8"/>
    <x v="0"/>
    <n v="318.75"/>
    <n v="711.92"/>
    <x v="0"/>
    <n v="9"/>
    <s v="Mid-age"/>
  </r>
  <r>
    <n v="24151857"/>
    <n v="2415185701"/>
    <n v="1"/>
    <x v="27"/>
    <x v="0"/>
    <n v="14.75"/>
    <n v="729.7"/>
    <x v="0"/>
    <n v="20"/>
    <s v="Very Old"/>
  </r>
  <r>
    <n v="24151858"/>
    <n v="2415185801"/>
    <n v="1"/>
    <x v="10"/>
    <x v="0"/>
    <n v="317.66000000000003"/>
    <n v="906.16"/>
    <x v="0"/>
    <n v="5"/>
    <s v="Mid-age"/>
  </r>
  <r>
    <n v="24151859"/>
    <n v="2415185901"/>
    <n v="1"/>
    <x v="6"/>
    <x v="0"/>
    <n v="811.77"/>
    <n v="869.23"/>
    <x v="0"/>
    <n v="7"/>
    <s v="Mid-age"/>
  </r>
  <r>
    <n v="24151864"/>
    <n v="2415186401"/>
    <n v="1"/>
    <x v="24"/>
    <x v="0"/>
    <n v="0.92"/>
    <n v="518.82000000000005"/>
    <x v="0"/>
    <n v="15"/>
    <s v="Older"/>
  </r>
  <r>
    <n v="24151867"/>
    <n v="2415186701"/>
    <n v="1"/>
    <x v="11"/>
    <x v="0"/>
    <n v="410.71"/>
    <n v="335.5"/>
    <x v="0"/>
    <n v="8"/>
    <s v="Mid-age"/>
  </r>
  <r>
    <n v="24151870"/>
    <n v="2415187001"/>
    <n v="1"/>
    <x v="3"/>
    <x v="0"/>
    <n v="144.66999999999999"/>
    <n v="232.01"/>
    <x v="0"/>
    <n v="4"/>
    <s v="Mid-age"/>
  </r>
  <r>
    <n v="24151872"/>
    <n v="2415187201"/>
    <n v="1"/>
    <x v="26"/>
    <x v="0"/>
    <n v="0.92"/>
    <n v="232.14"/>
    <x v="0"/>
    <n v="1"/>
    <s v="Newer"/>
  </r>
  <r>
    <n v="24151877"/>
    <n v="2415187701"/>
    <n v="1"/>
    <x v="12"/>
    <x v="0"/>
    <n v="1.83"/>
    <n v="214.58"/>
    <x v="0"/>
    <n v="19"/>
    <s v="Older"/>
  </r>
  <r>
    <n v="24151878"/>
    <n v="2415187801"/>
    <n v="1"/>
    <x v="9"/>
    <x v="0"/>
    <n v="1055.83"/>
    <n v="1711.92"/>
    <x v="0"/>
    <n v="2"/>
    <s v="Newer"/>
  </r>
  <r>
    <n v="24151894"/>
    <n v="2415189401"/>
    <n v="1"/>
    <x v="22"/>
    <x v="0"/>
    <n v="1321.28"/>
    <n v="1301.3599999999999"/>
    <x v="0"/>
    <n v="18"/>
    <s v="Older"/>
  </r>
  <r>
    <n v="24151898"/>
    <n v="2415189801"/>
    <n v="1"/>
    <x v="11"/>
    <x v="0"/>
    <n v="0.92"/>
    <n v="445.56"/>
    <x v="0"/>
    <n v="8"/>
    <s v="Mid-age"/>
  </r>
  <r>
    <n v="24151899"/>
    <n v="2415189901"/>
    <n v="1"/>
    <x v="24"/>
    <x v="0"/>
    <n v="1437.98"/>
    <n v="2161.21"/>
    <x v="0"/>
    <n v="15"/>
    <s v="Older"/>
  </r>
  <r>
    <n v="24151911"/>
    <n v="2415191101"/>
    <n v="1"/>
    <x v="11"/>
    <x v="0"/>
    <n v="4730.04"/>
    <n v="1752.49"/>
    <x v="0"/>
    <n v="8"/>
    <s v="Mid-age"/>
  </r>
  <r>
    <n v="24151912"/>
    <n v="2415191201"/>
    <n v="1"/>
    <x v="8"/>
    <x v="0"/>
    <n v="1022.01"/>
    <n v="436"/>
    <x v="0"/>
    <n v="9"/>
    <s v="Mid-age"/>
  </r>
  <r>
    <n v="24151913"/>
    <n v="2415191301"/>
    <n v="1"/>
    <x v="5"/>
    <x v="0"/>
    <n v="6.48"/>
    <n v="217.25"/>
    <x v="0"/>
    <n v="6"/>
    <s v="Mid-age"/>
  </r>
  <r>
    <n v="24151925"/>
    <n v="2415192501"/>
    <n v="1"/>
    <x v="10"/>
    <x v="0"/>
    <n v="1196.08"/>
    <n v="445.56"/>
    <x v="0"/>
    <n v="5"/>
    <s v="Mid-age"/>
  </r>
  <r>
    <n v="24151954"/>
    <n v="2415195401"/>
    <n v="1"/>
    <x v="2"/>
    <x v="0"/>
    <n v="0.92"/>
    <n v="729.7"/>
    <x v="0"/>
    <n v="12"/>
    <s v="Older"/>
  </r>
  <r>
    <n v="24151955"/>
    <n v="2415195501"/>
    <n v="1"/>
    <x v="14"/>
    <x v="0"/>
    <n v="742.27"/>
    <n v="1220"/>
    <x v="0"/>
    <n v="10"/>
    <s v="Older"/>
  </r>
  <r>
    <n v="24151957"/>
    <n v="2415195701"/>
    <n v="1"/>
    <x v="6"/>
    <x v="0"/>
    <n v="121.86"/>
    <n v="148.16999999999999"/>
    <x v="0"/>
    <n v="7"/>
    <s v="Mid-age"/>
  </r>
  <r>
    <n v="24151960"/>
    <n v="2415196001"/>
    <n v="1"/>
    <x v="9"/>
    <x v="0"/>
    <n v="155.4"/>
    <n v="279.64999999999998"/>
    <x v="0"/>
    <n v="2"/>
    <s v="Newer"/>
  </r>
  <r>
    <n v="24151961"/>
    <n v="2415196101"/>
    <n v="1"/>
    <x v="5"/>
    <x v="0"/>
    <n v="202.54"/>
    <n v="212.19"/>
    <x v="0"/>
    <n v="6"/>
    <s v="Mid-age"/>
  </r>
  <r>
    <n v="24151962"/>
    <n v="2415196201"/>
    <n v="1"/>
    <x v="11"/>
    <x v="0"/>
    <n v="0.92"/>
    <n v="310.39"/>
    <x v="0"/>
    <n v="8"/>
    <s v="Mid-age"/>
  </r>
  <r>
    <n v="24151968"/>
    <n v="2415196801"/>
    <n v="1"/>
    <x v="6"/>
    <x v="0"/>
    <n v="384.06"/>
    <n v="370.2"/>
    <x v="0"/>
    <n v="7"/>
    <s v="Mid-age"/>
  </r>
  <r>
    <n v="24151971"/>
    <n v="2415197101"/>
    <n v="1"/>
    <x v="12"/>
    <x v="0"/>
    <n v="1024.32"/>
    <n v="863.32"/>
    <x v="0"/>
    <n v="19"/>
    <s v="Older"/>
  </r>
  <r>
    <n v="24151972"/>
    <n v="2415197201"/>
    <n v="1"/>
    <x v="3"/>
    <x v="0"/>
    <n v="0.92"/>
    <n v="445.56"/>
    <x v="0"/>
    <n v="4"/>
    <s v="Mid-age"/>
  </r>
  <r>
    <n v="24151984"/>
    <n v="2415198401"/>
    <n v="1"/>
    <x v="6"/>
    <x v="0"/>
    <n v="1196.08"/>
    <n v="445.56"/>
    <x v="0"/>
    <n v="7"/>
    <s v="Mid-age"/>
  </r>
  <r>
    <n v="24151987"/>
    <n v="2415198701"/>
    <n v="1"/>
    <x v="4"/>
    <x v="0"/>
    <n v="0.92"/>
    <n v="141.28"/>
    <x v="0"/>
    <n v="21"/>
    <s v="Very Old"/>
  </r>
  <r>
    <n v="24151997"/>
    <n v="2415199701"/>
    <n v="1"/>
    <x v="5"/>
    <x v="0"/>
    <n v="558.39"/>
    <n v="701.5"/>
    <x v="0"/>
    <n v="6"/>
    <s v="Mid-age"/>
  </r>
  <r>
    <n v="24152005"/>
    <n v="2415200501"/>
    <n v="1"/>
    <x v="9"/>
    <x v="0"/>
    <n v="400.81"/>
    <n v="595.41999999999996"/>
    <x v="0"/>
    <n v="2"/>
    <s v="Newer"/>
  </r>
  <r>
    <n v="24152006"/>
    <n v="2415200601"/>
    <n v="1"/>
    <x v="24"/>
    <x v="0"/>
    <n v="5.5"/>
    <n v="220.49"/>
    <x v="0"/>
    <n v="15"/>
    <s v="Older"/>
  </r>
  <r>
    <n v="24152014"/>
    <n v="2415201401"/>
    <n v="1"/>
    <x v="8"/>
    <x v="0"/>
    <n v="2993.36"/>
    <n v="1449.08"/>
    <x v="0"/>
    <n v="9"/>
    <s v="Mid-age"/>
  </r>
  <r>
    <n v="24152016"/>
    <n v="2415201601"/>
    <n v="1"/>
    <x v="6"/>
    <x v="0"/>
    <n v="227.72"/>
    <n v="588.41"/>
    <x v="0"/>
    <n v="7"/>
    <s v="Mid-age"/>
  </r>
  <r>
    <n v="24152027"/>
    <n v="2415202701"/>
    <n v="1"/>
    <x v="10"/>
    <x v="0"/>
    <n v="114.27"/>
    <n v="218.63"/>
    <x v="0"/>
    <n v="5"/>
    <s v="Mid-age"/>
  </r>
  <r>
    <n v="24152047"/>
    <n v="2415204701"/>
    <n v="1"/>
    <x v="16"/>
    <x v="0"/>
    <n v="1463.01"/>
    <n v="2450.66"/>
    <x v="0"/>
    <n v="14"/>
    <s v="Older"/>
  </r>
  <r>
    <n v="24152051"/>
    <n v="2415205101"/>
    <n v="1"/>
    <x v="20"/>
    <x v="0"/>
    <n v="5478.14"/>
    <n v="1855.05"/>
    <x v="0"/>
    <n v="22"/>
    <s v="Very Old"/>
  </r>
  <r>
    <n v="24152073"/>
    <n v="2415207301"/>
    <n v="1"/>
    <x v="28"/>
    <x v="0"/>
    <n v="192.72"/>
    <n v="528.6"/>
    <x v="0"/>
    <n v="29"/>
    <s v="Very Old"/>
  </r>
  <r>
    <n v="24152083"/>
    <n v="2415208301"/>
    <n v="1"/>
    <x v="18"/>
    <x v="0"/>
    <n v="159.76"/>
    <n v="529.22"/>
    <x v="0"/>
    <n v="11"/>
    <s v="Older"/>
  </r>
  <r>
    <n v="24152084"/>
    <n v="2415208401"/>
    <n v="1"/>
    <x v="6"/>
    <x v="0"/>
    <n v="125.7"/>
    <n v="765.78"/>
    <x v="0"/>
    <n v="7"/>
    <s v="Mid-age"/>
  </r>
  <r>
    <n v="24152114"/>
    <n v="2415211401"/>
    <n v="1"/>
    <x v="1"/>
    <x v="0"/>
    <n v="1373.01"/>
    <n v="1197.81"/>
    <x v="0"/>
    <n v="3"/>
    <s v="Newer"/>
  </r>
  <r>
    <n v="24152122"/>
    <n v="2415212201"/>
    <n v="1"/>
    <x v="0"/>
    <x v="0"/>
    <n v="3653.1"/>
    <n v="2481.09"/>
    <x v="0"/>
    <n v="13"/>
    <s v="Older"/>
  </r>
  <r>
    <n v="24152135"/>
    <n v="2415213501"/>
    <n v="1"/>
    <x v="22"/>
    <x v="0"/>
    <n v="1409.53"/>
    <n v="1162.9100000000001"/>
    <x v="0"/>
    <n v="18"/>
    <s v="Older"/>
  </r>
  <r>
    <n v="24152147"/>
    <n v="2415214701"/>
    <n v="1"/>
    <x v="0"/>
    <x v="0"/>
    <n v="93.74"/>
    <n v="306.68"/>
    <x v="0"/>
    <n v="13"/>
    <s v="Older"/>
  </r>
  <r>
    <n v="24152149"/>
    <n v="2415214901"/>
    <n v="1"/>
    <x v="6"/>
    <x v="0"/>
    <n v="1068.8900000000001"/>
    <n v="572.54"/>
    <x v="0"/>
    <n v="7"/>
    <s v="Mid-age"/>
  </r>
  <r>
    <n v="24152157"/>
    <n v="2415215701"/>
    <n v="1"/>
    <x v="3"/>
    <x v="1"/>
    <n v="612.30999999999995"/>
    <n v="1015.95"/>
    <x v="1"/>
    <n v="4"/>
    <s v="Mid-age"/>
  </r>
  <r>
    <n v="24152164"/>
    <n v="2415216401"/>
    <n v="1"/>
    <x v="8"/>
    <x v="0"/>
    <n v="2290.37"/>
    <n v="707.96"/>
    <x v="0"/>
    <n v="9"/>
    <s v="Mid-age"/>
  </r>
  <r>
    <n v="24152165"/>
    <n v="2415216501"/>
    <n v="1"/>
    <x v="9"/>
    <x v="0"/>
    <n v="50.07"/>
    <n v="195.98"/>
    <x v="0"/>
    <n v="2"/>
    <s v="Newer"/>
  </r>
  <r>
    <n v="24152171"/>
    <n v="2415217101"/>
    <n v="1"/>
    <x v="11"/>
    <x v="0"/>
    <n v="71.92"/>
    <n v="262.04000000000002"/>
    <x v="0"/>
    <n v="8"/>
    <s v="Mid-age"/>
  </r>
  <r>
    <n v="24152178"/>
    <n v="2415217801"/>
    <n v="1"/>
    <x v="9"/>
    <x v="0"/>
    <n v="395.65"/>
    <n v="342.53"/>
    <x v="0"/>
    <n v="2"/>
    <s v="Newer"/>
  </r>
  <r>
    <n v="24152186"/>
    <n v="2415218601"/>
    <n v="1"/>
    <x v="14"/>
    <x v="0"/>
    <n v="370.62"/>
    <n v="615.77"/>
    <x v="0"/>
    <n v="10"/>
    <s v="Older"/>
  </r>
  <r>
    <n v="24152188"/>
    <n v="2415218801"/>
    <n v="1"/>
    <x v="10"/>
    <x v="0"/>
    <n v="238.13"/>
    <n v="503.29"/>
    <x v="0"/>
    <n v="5"/>
    <s v="Mid-age"/>
  </r>
  <r>
    <n v="24152199"/>
    <n v="2415219901"/>
    <n v="1"/>
    <x v="3"/>
    <x v="0"/>
    <n v="125.54"/>
    <n v="220.49"/>
    <x v="0"/>
    <n v="4"/>
    <s v="Mid-age"/>
  </r>
  <r>
    <n v="24152204"/>
    <n v="2415220401"/>
    <n v="1"/>
    <x v="10"/>
    <x v="0"/>
    <n v="505.01"/>
    <n v="839.54"/>
    <x v="0"/>
    <n v="5"/>
    <s v="Mid-age"/>
  </r>
  <r>
    <n v="24152210"/>
    <n v="2415221001"/>
    <n v="1"/>
    <x v="0"/>
    <x v="0"/>
    <n v="4.54"/>
    <n v="138.04"/>
    <x v="0"/>
    <n v="13"/>
    <s v="Older"/>
  </r>
  <r>
    <n v="24152229"/>
    <n v="2415222901"/>
    <n v="1"/>
    <x v="1"/>
    <x v="0"/>
    <n v="1609.46"/>
    <n v="3043.15"/>
    <x v="0"/>
    <n v="3"/>
    <s v="Newer"/>
  </r>
  <r>
    <n v="24152234"/>
    <n v="2415223401"/>
    <n v="1"/>
    <x v="19"/>
    <x v="0"/>
    <n v="576.86"/>
    <n v="1007.52"/>
    <x v="0"/>
    <n v="17"/>
    <s v="Older"/>
  </r>
  <r>
    <n v="24152238"/>
    <n v="2415223801"/>
    <n v="1"/>
    <x v="29"/>
    <x v="0"/>
    <n v="1.84"/>
    <n v="254.03"/>
    <x v="0"/>
    <n v="28"/>
    <s v="Very Old"/>
  </r>
  <r>
    <n v="24152258"/>
    <n v="2415225801"/>
    <n v="1"/>
    <x v="10"/>
    <x v="1"/>
    <n v="222.06"/>
    <n v="785.94"/>
    <x v="1"/>
    <n v="5"/>
    <s v="Mid-age"/>
  </r>
  <r>
    <n v="24152272"/>
    <n v="2415227201"/>
    <n v="1"/>
    <x v="19"/>
    <x v="0"/>
    <n v="0.92"/>
    <n v="708.01"/>
    <x v="0"/>
    <n v="17"/>
    <s v="Older"/>
  </r>
  <r>
    <n v="24152283"/>
    <n v="2415228301"/>
    <n v="1"/>
    <x v="8"/>
    <x v="0"/>
    <n v="556.16999999999996"/>
    <n v="708.01"/>
    <x v="0"/>
    <n v="9"/>
    <s v="Mid-age"/>
  </r>
  <r>
    <n v="24152284"/>
    <n v="2415228401"/>
    <n v="1"/>
    <x v="11"/>
    <x v="0"/>
    <n v="1756.98"/>
    <n v="3223.21"/>
    <x v="0"/>
    <n v="8"/>
    <s v="Mid-age"/>
  </r>
  <r>
    <n v="24152290"/>
    <n v="2415229001"/>
    <n v="1"/>
    <x v="2"/>
    <x v="0"/>
    <n v="3032.18"/>
    <n v="3008.35"/>
    <x v="0"/>
    <n v="12"/>
    <s v="Older"/>
  </r>
  <r>
    <n v="24152294"/>
    <n v="2415229401"/>
    <n v="1"/>
    <x v="15"/>
    <x v="0"/>
    <n v="113.05"/>
    <n v="257.54000000000002"/>
    <x v="0"/>
    <n v="26"/>
    <s v="Very Old"/>
  </r>
  <r>
    <n v="24152302"/>
    <n v="2415230201"/>
    <n v="1"/>
    <x v="11"/>
    <x v="0"/>
    <n v="749.43"/>
    <n v="665.59"/>
    <x v="0"/>
    <n v="8"/>
    <s v="Mid-age"/>
  </r>
  <r>
    <n v="24152325"/>
    <n v="2415232501"/>
    <n v="1"/>
    <x v="10"/>
    <x v="0"/>
    <n v="261.23"/>
    <n v="356.14"/>
    <x v="0"/>
    <n v="5"/>
    <s v="Mid-age"/>
  </r>
  <r>
    <n v="24152347"/>
    <n v="2415234701"/>
    <n v="1"/>
    <x v="14"/>
    <x v="0"/>
    <n v="246.55"/>
    <n v="594.72"/>
    <x v="0"/>
    <n v="10"/>
    <s v="Older"/>
  </r>
  <r>
    <n v="24152349"/>
    <n v="2415234901"/>
    <n v="1"/>
    <x v="10"/>
    <x v="0"/>
    <n v="562.5"/>
    <n v="595.75"/>
    <x v="0"/>
    <n v="5"/>
    <s v="Mid-age"/>
  </r>
  <r>
    <n v="24152353"/>
    <n v="2415235301"/>
    <n v="1"/>
    <x v="18"/>
    <x v="0"/>
    <n v="3031.44"/>
    <n v="3008.35"/>
    <x v="0"/>
    <n v="11"/>
    <s v="Older"/>
  </r>
  <r>
    <n v="24152360"/>
    <n v="2415236001"/>
    <n v="1"/>
    <x v="7"/>
    <x v="0"/>
    <n v="428.33"/>
    <n v="506.94"/>
    <x v="0"/>
    <n v="23"/>
    <s v="Very Old"/>
  </r>
  <r>
    <n v="24152370"/>
    <n v="2415237001"/>
    <n v="1"/>
    <x v="3"/>
    <x v="0"/>
    <n v="424.36"/>
    <n v="595.41999999999996"/>
    <x v="0"/>
    <n v="4"/>
    <s v="Mid-age"/>
  </r>
  <r>
    <n v="24152375"/>
    <n v="2415237501"/>
    <n v="1"/>
    <x v="10"/>
    <x v="0"/>
    <n v="1031.19"/>
    <n v="1449.89"/>
    <x v="0"/>
    <n v="5"/>
    <s v="Mid-age"/>
  </r>
  <r>
    <n v="24152376"/>
    <n v="2415237601"/>
    <n v="1"/>
    <x v="14"/>
    <x v="0"/>
    <n v="198.96"/>
    <n v="345.82"/>
    <x v="0"/>
    <n v="10"/>
    <s v="Older"/>
  </r>
  <r>
    <n v="24152389"/>
    <n v="2415238901"/>
    <n v="1"/>
    <x v="22"/>
    <x v="0"/>
    <n v="211.12"/>
    <n v="217.63"/>
    <x v="0"/>
    <n v="18"/>
    <s v="Older"/>
  </r>
  <r>
    <n v="24152402"/>
    <n v="2415240201"/>
    <n v="1"/>
    <x v="5"/>
    <x v="0"/>
    <n v="196.32"/>
    <n v="229.24"/>
    <x v="0"/>
    <n v="6"/>
    <s v="Mid-age"/>
  </r>
  <r>
    <n v="24152410"/>
    <n v="2415241001"/>
    <n v="1"/>
    <x v="2"/>
    <x v="0"/>
    <n v="742.27"/>
    <n v="1220"/>
    <x v="0"/>
    <n v="12"/>
    <s v="Older"/>
  </r>
  <r>
    <n v="24152414"/>
    <n v="2415241401"/>
    <n v="1"/>
    <x v="11"/>
    <x v="0"/>
    <n v="0.92"/>
    <n v="169.27"/>
    <x v="0"/>
    <n v="8"/>
    <s v="Mid-age"/>
  </r>
  <r>
    <n v="24152417"/>
    <n v="2415241701"/>
    <n v="1"/>
    <x v="17"/>
    <x v="0"/>
    <n v="1697.52"/>
    <n v="1722.45"/>
    <x v="0"/>
    <n v="16"/>
    <s v="Older"/>
  </r>
  <r>
    <n v="24152440"/>
    <n v="2415244001"/>
    <n v="1"/>
    <x v="17"/>
    <x v="0"/>
    <n v="871.61"/>
    <n v="646.35"/>
    <x v="0"/>
    <n v="16"/>
    <s v="Older"/>
  </r>
  <r>
    <n v="24152444"/>
    <n v="2415244401"/>
    <n v="1"/>
    <x v="3"/>
    <x v="0"/>
    <n v="32.83"/>
    <n v="128.83000000000001"/>
    <x v="0"/>
    <n v="4"/>
    <s v="Mid-age"/>
  </r>
  <r>
    <n v="24152446"/>
    <n v="2415244601"/>
    <n v="1"/>
    <x v="11"/>
    <x v="0"/>
    <n v="1500.21"/>
    <n v="4138.33"/>
    <x v="0"/>
    <n v="8"/>
    <s v="Mid-age"/>
  </r>
  <r>
    <n v="24152454"/>
    <n v="2415245401"/>
    <n v="1"/>
    <x v="3"/>
    <x v="0"/>
    <n v="0.61"/>
    <n v="275.12"/>
    <x v="0"/>
    <n v="4"/>
    <s v="Mid-age"/>
  </r>
  <r>
    <n v="24152456"/>
    <n v="2415245601"/>
    <n v="1"/>
    <x v="10"/>
    <x v="0"/>
    <n v="5476.2"/>
    <n v="1449.89"/>
    <x v="0"/>
    <n v="5"/>
    <s v="Mid-age"/>
  </r>
  <r>
    <n v="24152463"/>
    <n v="2415246301"/>
    <n v="1"/>
    <x v="5"/>
    <x v="0"/>
    <n v="117.7"/>
    <n v="317.44"/>
    <x v="0"/>
    <n v="6"/>
    <s v="Mid-age"/>
  </r>
  <r>
    <n v="24152468"/>
    <n v="2415246801"/>
    <n v="1"/>
    <x v="5"/>
    <x v="0"/>
    <n v="2061.63"/>
    <n v="680.42"/>
    <x v="0"/>
    <n v="6"/>
    <s v="Mid-age"/>
  </r>
  <r>
    <n v="24152472"/>
    <n v="2415247201"/>
    <n v="1"/>
    <x v="6"/>
    <x v="0"/>
    <n v="1087.98"/>
    <n v="952.6"/>
    <x v="0"/>
    <n v="7"/>
    <s v="Mid-age"/>
  </r>
  <r>
    <n v="24152477"/>
    <n v="2415247701"/>
    <n v="1"/>
    <x v="10"/>
    <x v="2"/>
    <n v="754.27"/>
    <n v="595.41999999999996"/>
    <x v="2"/>
    <n v="5"/>
    <s v="Mid-age"/>
  </r>
  <r>
    <n v="24152485"/>
    <n v="2415248501"/>
    <n v="1"/>
    <x v="3"/>
    <x v="0"/>
    <n v="31.63"/>
    <n v="452.94"/>
    <x v="0"/>
    <n v="4"/>
    <s v="Mid-age"/>
  </r>
  <r>
    <n v="24152489"/>
    <n v="2415248901"/>
    <n v="1"/>
    <x v="17"/>
    <x v="0"/>
    <n v="29.91"/>
    <n v="290.49"/>
    <x v="0"/>
    <n v="16"/>
    <s v="Older"/>
  </r>
  <r>
    <n v="24152493"/>
    <n v="2415249301"/>
    <n v="1"/>
    <x v="1"/>
    <x v="0"/>
    <n v="2635.73"/>
    <n v="1654.74"/>
    <x v="0"/>
    <n v="3"/>
    <s v="Newer"/>
  </r>
  <r>
    <n v="24152523"/>
    <n v="2415252301"/>
    <n v="1"/>
    <x v="10"/>
    <x v="0"/>
    <n v="0.92"/>
    <n v="446.27"/>
    <x v="0"/>
    <n v="5"/>
    <s v="Mid-age"/>
  </r>
  <r>
    <n v="24152526"/>
    <n v="2415252601"/>
    <n v="1"/>
    <x v="27"/>
    <x v="0"/>
    <n v="0.92"/>
    <n v="245.66"/>
    <x v="0"/>
    <n v="20"/>
    <s v="Very Old"/>
  </r>
  <r>
    <n v="24152531"/>
    <n v="2415253101"/>
    <n v="1"/>
    <x v="4"/>
    <x v="0"/>
    <n v="1041.6099999999999"/>
    <n v="585.38"/>
    <x v="0"/>
    <n v="21"/>
    <s v="Very Old"/>
  </r>
  <r>
    <n v="24152544"/>
    <n v="2415254401"/>
    <n v="1"/>
    <x v="19"/>
    <x v="0"/>
    <n v="928.7"/>
    <n v="635.28"/>
    <x v="0"/>
    <n v="17"/>
    <s v="Older"/>
  </r>
  <r>
    <n v="24152549"/>
    <n v="2415254901"/>
    <n v="1"/>
    <x v="1"/>
    <x v="0"/>
    <n v="614"/>
    <n v="762.49"/>
    <x v="0"/>
    <n v="3"/>
    <s v="Newer"/>
  </r>
  <r>
    <n v="24152551"/>
    <n v="2415255101"/>
    <n v="1"/>
    <x v="16"/>
    <x v="0"/>
    <n v="19.850000000000001"/>
    <n v="613.28"/>
    <x v="0"/>
    <n v="14"/>
    <s v="Older"/>
  </r>
  <r>
    <n v="24152561"/>
    <n v="2415256101"/>
    <n v="1"/>
    <x v="14"/>
    <x v="0"/>
    <n v="648.29999999999995"/>
    <n v="673.32"/>
    <x v="0"/>
    <n v="10"/>
    <s v="Older"/>
  </r>
  <r>
    <n v="24152563"/>
    <n v="2415256301"/>
    <n v="1"/>
    <x v="3"/>
    <x v="0"/>
    <n v="45.83"/>
    <n v="252.03"/>
    <x v="0"/>
    <n v="4"/>
    <s v="Mid-age"/>
  </r>
  <r>
    <n v="24152569"/>
    <n v="2415256901"/>
    <n v="1"/>
    <x v="19"/>
    <x v="0"/>
    <n v="1611.96"/>
    <n v="506.94"/>
    <x v="0"/>
    <n v="17"/>
    <s v="Older"/>
  </r>
  <r>
    <n v="24152592"/>
    <n v="2415259201"/>
    <n v="1"/>
    <x v="3"/>
    <x v="0"/>
    <n v="260.83999999999997"/>
    <n v="706.79"/>
    <x v="0"/>
    <n v="4"/>
    <s v="Mid-age"/>
  </r>
  <r>
    <n v="24152601"/>
    <n v="2415260101"/>
    <n v="1"/>
    <x v="6"/>
    <x v="0"/>
    <n v="772.25"/>
    <n v="430.86"/>
    <x v="0"/>
    <n v="7"/>
    <s v="Mid-age"/>
  </r>
  <r>
    <n v="24152605"/>
    <n v="2415260501"/>
    <n v="1"/>
    <x v="10"/>
    <x v="0"/>
    <n v="840.24"/>
    <n v="1377.16"/>
    <x v="0"/>
    <n v="5"/>
    <s v="Mid-age"/>
  </r>
  <r>
    <n v="24152606"/>
    <n v="2415260601"/>
    <n v="1"/>
    <x v="30"/>
    <x v="0"/>
    <n v="25.91"/>
    <n v="190.54"/>
    <x v="0"/>
    <n v="25"/>
    <s v="Very Old"/>
  </r>
  <r>
    <n v="24152612"/>
    <n v="2415261201"/>
    <n v="1"/>
    <x v="4"/>
    <x v="0"/>
    <n v="425.22"/>
    <n v="445.56"/>
    <x v="0"/>
    <n v="21"/>
    <s v="Very Old"/>
  </r>
  <r>
    <n v="24152613"/>
    <n v="2415261301"/>
    <n v="1"/>
    <x v="10"/>
    <x v="0"/>
    <n v="707.44"/>
    <n v="445.31"/>
    <x v="0"/>
    <n v="5"/>
    <s v="Mid-age"/>
  </r>
  <r>
    <n v="24152617"/>
    <n v="2415261701"/>
    <n v="1"/>
    <x v="10"/>
    <x v="0"/>
    <n v="385.12"/>
    <n v="523.44000000000005"/>
    <x v="0"/>
    <n v="5"/>
    <s v="Mid-age"/>
  </r>
  <r>
    <n v="24152619"/>
    <n v="2415261901"/>
    <n v="1"/>
    <x v="14"/>
    <x v="2"/>
    <n v="1.67"/>
    <n v="566.55999999999995"/>
    <x v="2"/>
    <n v="10"/>
    <s v="Older"/>
  </r>
  <r>
    <n v="24152626"/>
    <n v="2415262601"/>
    <n v="1"/>
    <x v="10"/>
    <x v="1"/>
    <n v="1011.03"/>
    <n v="1139.99"/>
    <x v="1"/>
    <n v="5"/>
    <s v="Mid-age"/>
  </r>
  <r>
    <n v="24152630"/>
    <n v="2415263001"/>
    <n v="1"/>
    <x v="18"/>
    <x v="0"/>
    <n v="1115.98"/>
    <n v="3813.35"/>
    <x v="0"/>
    <n v="11"/>
    <s v="Older"/>
  </r>
  <r>
    <n v="24152632"/>
    <n v="2415263201"/>
    <n v="1"/>
    <x v="1"/>
    <x v="0"/>
    <n v="42.68"/>
    <n v="290.83"/>
    <x v="0"/>
    <n v="3"/>
    <s v="Newer"/>
  </r>
  <r>
    <n v="24152645"/>
    <n v="2415264501"/>
    <n v="1"/>
    <x v="9"/>
    <x v="0"/>
    <n v="55.81"/>
    <n v="217.4"/>
    <x v="0"/>
    <n v="2"/>
    <s v="Newer"/>
  </r>
  <r>
    <n v="24152653"/>
    <n v="2415265301"/>
    <n v="1"/>
    <x v="11"/>
    <x v="0"/>
    <n v="86.34"/>
    <n v="355.8"/>
    <x v="0"/>
    <n v="8"/>
    <s v="Mid-age"/>
  </r>
  <r>
    <n v="24152654"/>
    <n v="2415265401"/>
    <n v="1"/>
    <x v="6"/>
    <x v="0"/>
    <n v="425.22"/>
    <n v="445.56"/>
    <x v="0"/>
    <n v="7"/>
    <s v="Mid-age"/>
  </r>
  <r>
    <n v="24152658"/>
    <n v="2415265801"/>
    <n v="1"/>
    <x v="0"/>
    <x v="0"/>
    <n v="2782.46"/>
    <n v="2889.37"/>
    <x v="0"/>
    <n v="13"/>
    <s v="Older"/>
  </r>
  <r>
    <n v="24152663"/>
    <n v="2415266301"/>
    <n v="1"/>
    <x v="18"/>
    <x v="0"/>
    <n v="563.74"/>
    <n v="744.67"/>
    <x v="0"/>
    <n v="11"/>
    <s v="Older"/>
  </r>
  <r>
    <n v="24152665"/>
    <n v="2415266501"/>
    <n v="1"/>
    <x v="8"/>
    <x v="0"/>
    <n v="394.12"/>
    <n v="436.52"/>
    <x v="0"/>
    <n v="9"/>
    <s v="Mid-age"/>
  </r>
  <r>
    <n v="24152673"/>
    <n v="2415267301"/>
    <n v="1"/>
    <x v="10"/>
    <x v="1"/>
    <n v="201.3"/>
    <n v="290.99"/>
    <x v="1"/>
    <n v="5"/>
    <s v="Mid-age"/>
  </r>
  <r>
    <n v="24152674"/>
    <n v="2415267401"/>
    <n v="1"/>
    <x v="6"/>
    <x v="0"/>
    <n v="199.04"/>
    <n v="345.82"/>
    <x v="0"/>
    <n v="7"/>
    <s v="Mid-age"/>
  </r>
  <r>
    <n v="24152685"/>
    <n v="2415268501"/>
    <n v="1"/>
    <x v="22"/>
    <x v="0"/>
    <n v="229.39"/>
    <n v="304.58"/>
    <x v="0"/>
    <n v="18"/>
    <s v="Older"/>
  </r>
  <r>
    <n v="24152686"/>
    <n v="2415268601"/>
    <n v="1"/>
    <x v="11"/>
    <x v="0"/>
    <n v="836.23"/>
    <n v="635.13"/>
    <x v="0"/>
    <n v="8"/>
    <s v="Mid-age"/>
  </r>
  <r>
    <n v="24152687"/>
    <n v="2415268701"/>
    <n v="1"/>
    <x v="5"/>
    <x v="1"/>
    <n v="5254.02"/>
    <n v="3332.86"/>
    <x v="1"/>
    <n v="6"/>
    <s v="Mid-age"/>
  </r>
  <r>
    <n v="24152689"/>
    <n v="2415268901"/>
    <n v="1"/>
    <x v="0"/>
    <x v="0"/>
    <n v="3378.94"/>
    <n v="4561.45"/>
    <x v="0"/>
    <n v="13"/>
    <s v="Older"/>
  </r>
  <r>
    <n v="24152698"/>
    <n v="2415269801"/>
    <n v="1"/>
    <x v="5"/>
    <x v="0"/>
    <n v="251.51"/>
    <n v="270.97000000000003"/>
    <x v="0"/>
    <n v="6"/>
    <s v="Mid-age"/>
  </r>
  <r>
    <n v="24152702"/>
    <n v="2415270201"/>
    <n v="1"/>
    <x v="19"/>
    <x v="0"/>
    <n v="460.5"/>
    <n v="1220"/>
    <x v="0"/>
    <n v="17"/>
    <s v="Older"/>
  </r>
  <r>
    <n v="24152718"/>
    <n v="2415271801"/>
    <n v="1"/>
    <x v="1"/>
    <x v="0"/>
    <n v="0.92"/>
    <n v="475.27"/>
    <x v="0"/>
    <n v="3"/>
    <s v="Newer"/>
  </r>
  <r>
    <n v="24152723"/>
    <n v="2415272301"/>
    <n v="1"/>
    <x v="5"/>
    <x v="0"/>
    <n v="387.18"/>
    <n v="677.44"/>
    <x v="0"/>
    <n v="6"/>
    <s v="Mid-age"/>
  </r>
  <r>
    <n v="24152724"/>
    <n v="2415272401"/>
    <n v="1"/>
    <x v="11"/>
    <x v="0"/>
    <n v="70.55"/>
    <n v="445.42"/>
    <x v="0"/>
    <n v="8"/>
    <s v="Mid-age"/>
  </r>
  <r>
    <n v="24152727"/>
    <n v="2415272701"/>
    <n v="1"/>
    <x v="2"/>
    <x v="0"/>
    <n v="503.16"/>
    <n v="1310"/>
    <x v="0"/>
    <n v="12"/>
    <s v="Older"/>
  </r>
  <r>
    <n v="24152739"/>
    <n v="2415273901"/>
    <n v="1"/>
    <x v="20"/>
    <x v="0"/>
    <n v="1052.6099999999999"/>
    <n v="765.87"/>
    <x v="0"/>
    <n v="22"/>
    <s v="Very Old"/>
  </r>
  <r>
    <n v="24152741"/>
    <n v="2415274101"/>
    <n v="1"/>
    <x v="16"/>
    <x v="0"/>
    <n v="370.33"/>
    <n v="839.16"/>
    <x v="0"/>
    <n v="14"/>
    <s v="Older"/>
  </r>
  <r>
    <n v="24152745"/>
    <n v="2415274501"/>
    <n v="1"/>
    <x v="10"/>
    <x v="0"/>
    <n v="121.54"/>
    <n v="175.9"/>
    <x v="0"/>
    <n v="5"/>
    <s v="Mid-age"/>
  </r>
  <r>
    <n v="24152751"/>
    <n v="2415275101"/>
    <n v="1"/>
    <x v="11"/>
    <x v="0"/>
    <n v="648.72"/>
    <n v="633.83000000000004"/>
    <x v="0"/>
    <n v="8"/>
    <s v="Mid-age"/>
  </r>
  <r>
    <n v="24152754"/>
    <n v="2415275401"/>
    <n v="1"/>
    <x v="22"/>
    <x v="0"/>
    <n v="518.54"/>
    <n v="672.12"/>
    <x v="0"/>
    <n v="18"/>
    <s v="Older"/>
  </r>
  <r>
    <n v="24152761"/>
    <n v="2415276101"/>
    <n v="1"/>
    <x v="9"/>
    <x v="1"/>
    <n v="888.21"/>
    <n v="834.53"/>
    <x v="1"/>
    <n v="2"/>
    <s v="Newer"/>
  </r>
  <r>
    <n v="24152779"/>
    <n v="2415277901"/>
    <n v="1"/>
    <x v="2"/>
    <x v="2"/>
    <n v="241.24"/>
    <n v="673.32"/>
    <x v="2"/>
    <n v="12"/>
    <s v="Older"/>
  </r>
  <r>
    <n v="24152788"/>
    <n v="2415278801"/>
    <n v="1"/>
    <x v="10"/>
    <x v="0"/>
    <n v="0.92"/>
    <n v="475.27"/>
    <x v="0"/>
    <n v="5"/>
    <s v="Mid-age"/>
  </r>
  <r>
    <n v="24152793"/>
    <n v="2415279301"/>
    <n v="1"/>
    <x v="22"/>
    <x v="0"/>
    <n v="2.8"/>
    <n v="470.89"/>
    <x v="0"/>
    <n v="18"/>
    <s v="Older"/>
  </r>
  <r>
    <n v="24152802"/>
    <n v="2415280201"/>
    <n v="1"/>
    <x v="1"/>
    <x v="0"/>
    <n v="1120.32"/>
    <n v="721.9"/>
    <x v="0"/>
    <n v="3"/>
    <s v="Newer"/>
  </r>
  <r>
    <n v="24152805"/>
    <n v="2415280501"/>
    <n v="1"/>
    <x v="5"/>
    <x v="0"/>
    <n v="937.28"/>
    <n v="890.69"/>
    <x v="0"/>
    <n v="6"/>
    <s v="Mid-age"/>
  </r>
  <r>
    <n v="24152814"/>
    <n v="2415281401"/>
    <n v="1"/>
    <x v="17"/>
    <x v="0"/>
    <n v="2334.65"/>
    <n v="2134.58"/>
    <x v="0"/>
    <n v="16"/>
    <s v="Older"/>
  </r>
  <r>
    <n v="24152815"/>
    <n v="2415281501"/>
    <n v="1"/>
    <x v="16"/>
    <x v="0"/>
    <n v="1015.22"/>
    <n v="304.58"/>
    <x v="0"/>
    <n v="14"/>
    <s v="Older"/>
  </r>
  <r>
    <n v="24152817"/>
    <n v="2415281701"/>
    <n v="1"/>
    <x v="27"/>
    <x v="0"/>
    <n v="211.12"/>
    <n v="217.63"/>
    <x v="0"/>
    <n v="20"/>
    <s v="Very Old"/>
  </r>
  <r>
    <n v="24152822"/>
    <n v="2415282201"/>
    <n v="1"/>
    <x v="0"/>
    <x v="0"/>
    <n v="496.88"/>
    <n v="433.41"/>
    <x v="0"/>
    <n v="13"/>
    <s v="Older"/>
  </r>
  <r>
    <n v="24152825"/>
    <n v="2415282501"/>
    <n v="1"/>
    <x v="3"/>
    <x v="2"/>
    <n v="34.33"/>
    <n v="216.78"/>
    <x v="2"/>
    <n v="4"/>
    <s v="Mid-age"/>
  </r>
  <r>
    <n v="24152841"/>
    <n v="2415284101"/>
    <n v="1"/>
    <x v="1"/>
    <x v="0"/>
    <n v="127.79"/>
    <n v="1002.9"/>
    <x v="0"/>
    <n v="3"/>
    <s v="Newer"/>
  </r>
  <r>
    <n v="24152852"/>
    <n v="2415285201"/>
    <n v="1"/>
    <x v="6"/>
    <x v="0"/>
    <n v="629.67999999999995"/>
    <n v="620.92999999999995"/>
    <x v="0"/>
    <n v="7"/>
    <s v="Mid-age"/>
  </r>
  <r>
    <n v="24152859"/>
    <n v="2415285901"/>
    <n v="1"/>
    <x v="11"/>
    <x v="0"/>
    <n v="627.70000000000005"/>
    <n v="376.2"/>
    <x v="0"/>
    <n v="8"/>
    <s v="Mid-age"/>
  </r>
  <r>
    <n v="24152862"/>
    <n v="2415286201"/>
    <n v="1"/>
    <x v="8"/>
    <x v="0"/>
    <n v="4.2699999999999996"/>
    <n v="1217.0999999999999"/>
    <x v="0"/>
    <n v="9"/>
    <s v="Mid-age"/>
  </r>
  <r>
    <n v="24152863"/>
    <n v="2415286301"/>
    <n v="1"/>
    <x v="2"/>
    <x v="0"/>
    <n v="2550.46"/>
    <n v="4257.84"/>
    <x v="0"/>
    <n v="12"/>
    <s v="Older"/>
  </r>
  <r>
    <n v="24152864"/>
    <n v="2415286401"/>
    <n v="1"/>
    <x v="3"/>
    <x v="1"/>
    <n v="0.92"/>
    <n v="475.27"/>
    <x v="1"/>
    <n v="4"/>
    <s v="Mid-age"/>
  </r>
  <r>
    <n v="24152872"/>
    <n v="2415287201"/>
    <n v="1"/>
    <x v="0"/>
    <x v="0"/>
    <n v="605.04999999999995"/>
    <n v="1700.81"/>
    <x v="0"/>
    <n v="13"/>
    <s v="Older"/>
  </r>
  <r>
    <n v="24152895"/>
    <n v="2415289501"/>
    <n v="1"/>
    <x v="18"/>
    <x v="0"/>
    <n v="193.02"/>
    <n v="290.49"/>
    <x v="0"/>
    <n v="11"/>
    <s v="Older"/>
  </r>
  <r>
    <n v="24152907"/>
    <n v="2415290701"/>
    <n v="1"/>
    <x v="5"/>
    <x v="0"/>
    <n v="301.66000000000003"/>
    <n v="232.14"/>
    <x v="0"/>
    <n v="6"/>
    <s v="Mid-age"/>
  </r>
  <r>
    <n v="24152910"/>
    <n v="2415291001"/>
    <n v="1"/>
    <x v="6"/>
    <x v="0"/>
    <n v="1584.09"/>
    <n v="455.99"/>
    <x v="0"/>
    <n v="7"/>
    <s v="Mid-age"/>
  </r>
  <r>
    <n v="24152914"/>
    <n v="2415291401"/>
    <n v="1"/>
    <x v="17"/>
    <x v="0"/>
    <n v="437.07"/>
    <n v="626.6"/>
    <x v="0"/>
    <n v="16"/>
    <s v="Older"/>
  </r>
  <r>
    <n v="24152917"/>
    <n v="2415291701"/>
    <n v="1"/>
    <x v="0"/>
    <x v="0"/>
    <n v="109.48"/>
    <n v="403.66"/>
    <x v="0"/>
    <n v="13"/>
    <s v="Older"/>
  </r>
  <r>
    <n v="24152923"/>
    <n v="2415292301"/>
    <n v="1"/>
    <x v="2"/>
    <x v="2"/>
    <n v="4.63"/>
    <n v="644.09"/>
    <x v="2"/>
    <n v="12"/>
    <s v="Older"/>
  </r>
  <r>
    <n v="24152924"/>
    <n v="2415292401"/>
    <n v="1"/>
    <x v="5"/>
    <x v="0"/>
    <n v="26.97"/>
    <n v="81.5"/>
    <x v="0"/>
    <n v="6"/>
    <s v="Mid-age"/>
  </r>
  <r>
    <n v="24152925"/>
    <n v="2415292501"/>
    <n v="1"/>
    <x v="12"/>
    <x v="0"/>
    <n v="318.27"/>
    <n v="177.96"/>
    <x v="0"/>
    <n v="19"/>
    <s v="Older"/>
  </r>
  <r>
    <n v="24152929"/>
    <n v="2415292901"/>
    <n v="1"/>
    <x v="10"/>
    <x v="2"/>
    <n v="562.5"/>
    <n v="595.75"/>
    <x v="2"/>
    <n v="5"/>
    <s v="Mid-age"/>
  </r>
  <r>
    <n v="24152936"/>
    <n v="2415293601"/>
    <n v="1"/>
    <x v="4"/>
    <x v="0"/>
    <n v="196.47"/>
    <n v="258.49"/>
    <x v="0"/>
    <n v="21"/>
    <s v="Very Old"/>
  </r>
  <r>
    <n v="24152943"/>
    <n v="2415294301"/>
    <n v="1"/>
    <x v="7"/>
    <x v="0"/>
    <n v="1.84"/>
    <n v="247.68"/>
    <x v="0"/>
    <n v="23"/>
    <s v="Very Old"/>
  </r>
  <r>
    <n v="24152944"/>
    <n v="2415294401"/>
    <n v="1"/>
    <x v="1"/>
    <x v="0"/>
    <n v="0.92"/>
    <n v="192.94"/>
    <x v="0"/>
    <n v="3"/>
    <s v="Newer"/>
  </r>
  <r>
    <n v="24152996"/>
    <n v="2415299601"/>
    <n v="1"/>
    <x v="6"/>
    <x v="0"/>
    <n v="982.19"/>
    <n v="2165.17"/>
    <x v="0"/>
    <n v="7"/>
    <s v="Mid-age"/>
  </r>
  <r>
    <n v="24153009"/>
    <n v="2415300901"/>
    <n v="1"/>
    <x v="1"/>
    <x v="0"/>
    <n v="644.24"/>
    <n v="560.42999999999995"/>
    <x v="0"/>
    <n v="3"/>
    <s v="Newer"/>
  </r>
  <r>
    <n v="24153018"/>
    <n v="2415301801"/>
    <n v="1"/>
    <x v="5"/>
    <x v="0"/>
    <n v="882.6"/>
    <n v="1775.82"/>
    <x v="0"/>
    <n v="6"/>
    <s v="Mid-age"/>
  </r>
  <r>
    <n v="24153020"/>
    <n v="2415302001"/>
    <n v="1"/>
    <x v="18"/>
    <x v="0"/>
    <n v="183.94"/>
    <n v="296.13"/>
    <x v="0"/>
    <n v="11"/>
    <s v="Older"/>
  </r>
  <r>
    <n v="24153022"/>
    <n v="2415302201"/>
    <n v="1"/>
    <x v="11"/>
    <x v="0"/>
    <n v="3901.69"/>
    <n v="3113.16"/>
    <x v="0"/>
    <n v="8"/>
    <s v="Mid-age"/>
  </r>
  <r>
    <n v="24153024"/>
    <n v="2415302401"/>
    <n v="1"/>
    <x v="2"/>
    <x v="0"/>
    <n v="13.26"/>
    <n v="769.22"/>
    <x v="0"/>
    <n v="12"/>
    <s v="Older"/>
  </r>
  <r>
    <n v="24153025"/>
    <n v="2415302501"/>
    <n v="1"/>
    <x v="22"/>
    <x v="0"/>
    <n v="305.48"/>
    <n v="896.69"/>
    <x v="0"/>
    <n v="18"/>
    <s v="Older"/>
  </r>
  <r>
    <n v="24153033"/>
    <n v="2415303301"/>
    <n v="1"/>
    <x v="9"/>
    <x v="0"/>
    <n v="0.92"/>
    <n v="476.56"/>
    <x v="0"/>
    <n v="2"/>
    <s v="Newer"/>
  </r>
  <r>
    <n v="24153048"/>
    <n v="2415304801"/>
    <n v="1"/>
    <x v="8"/>
    <x v="0"/>
    <n v="1160.0899999999999"/>
    <n v="1000.25"/>
    <x v="0"/>
    <n v="9"/>
    <s v="Mid-age"/>
  </r>
  <r>
    <n v="24153052"/>
    <n v="2415305201"/>
    <n v="1"/>
    <x v="11"/>
    <x v="0"/>
    <n v="979.54"/>
    <n v="595.75"/>
    <x v="0"/>
    <n v="8"/>
    <s v="Mid-age"/>
  </r>
  <r>
    <n v="24153063"/>
    <n v="2415306301"/>
    <n v="1"/>
    <x v="14"/>
    <x v="0"/>
    <n v="30.13"/>
    <n v="231.74"/>
    <x v="0"/>
    <n v="10"/>
    <s v="Older"/>
  </r>
  <r>
    <n v="24153067"/>
    <n v="2415306701"/>
    <n v="1"/>
    <x v="27"/>
    <x v="0"/>
    <n v="92.69"/>
    <n v="176.99"/>
    <x v="0"/>
    <n v="20"/>
    <s v="Very Old"/>
  </r>
  <r>
    <n v="24153075"/>
    <n v="2415307501"/>
    <n v="1"/>
    <x v="18"/>
    <x v="0"/>
    <n v="595.98"/>
    <n v="729.3"/>
    <x v="0"/>
    <n v="11"/>
    <s v="Older"/>
  </r>
  <r>
    <n v="24153078"/>
    <n v="2415307801"/>
    <n v="1"/>
    <x v="14"/>
    <x v="0"/>
    <n v="239.2"/>
    <n v="367.87"/>
    <x v="0"/>
    <n v="10"/>
    <s v="Older"/>
  </r>
  <r>
    <n v="24153082"/>
    <n v="2415308201"/>
    <n v="1"/>
    <x v="10"/>
    <x v="0"/>
    <n v="90.62"/>
    <n v="742.43"/>
    <x v="0"/>
    <n v="5"/>
    <s v="Mid-age"/>
  </r>
  <r>
    <n v="24153083"/>
    <n v="2415308301"/>
    <n v="1"/>
    <x v="0"/>
    <x v="0"/>
    <n v="91.97"/>
    <n v="403.66"/>
    <x v="0"/>
    <n v="13"/>
    <s v="Older"/>
  </r>
  <r>
    <n v="24153093"/>
    <n v="2415309301"/>
    <n v="1"/>
    <x v="27"/>
    <x v="0"/>
    <n v="397.9"/>
    <n v="331.02"/>
    <x v="0"/>
    <n v="20"/>
    <s v="Very Old"/>
  </r>
  <r>
    <n v="24153098"/>
    <n v="2415309801"/>
    <n v="1"/>
    <x v="2"/>
    <x v="0"/>
    <n v="75.17"/>
    <n v="188.9"/>
    <x v="0"/>
    <n v="12"/>
    <s v="Older"/>
  </r>
  <r>
    <n v="24153106"/>
    <n v="2415310601"/>
    <n v="1"/>
    <x v="10"/>
    <x v="0"/>
    <n v="123.86"/>
    <n v="445.31"/>
    <x v="0"/>
    <n v="5"/>
    <s v="Mid-age"/>
  </r>
  <r>
    <n v="24153112"/>
    <n v="2415311201"/>
    <n v="1"/>
    <x v="14"/>
    <x v="0"/>
    <n v="12.82"/>
    <n v="192.84"/>
    <x v="0"/>
    <n v="10"/>
    <s v="Older"/>
  </r>
  <r>
    <n v="24153125"/>
    <n v="2415312501"/>
    <n v="1"/>
    <x v="16"/>
    <x v="0"/>
    <n v="27.34"/>
    <n v="711"/>
    <x v="0"/>
    <n v="14"/>
    <s v="Older"/>
  </r>
  <r>
    <n v="24153126"/>
    <n v="2415312601"/>
    <n v="1"/>
    <x v="10"/>
    <x v="0"/>
    <n v="783.17"/>
    <n v="744.67"/>
    <x v="0"/>
    <n v="5"/>
    <s v="Mid-age"/>
  </r>
  <r>
    <n v="24153132"/>
    <n v="2415313201"/>
    <n v="1"/>
    <x v="10"/>
    <x v="0"/>
    <n v="106.92"/>
    <n v="245.52"/>
    <x v="0"/>
    <n v="5"/>
    <s v="Mid-age"/>
  </r>
  <r>
    <n v="24153146"/>
    <n v="2415314601"/>
    <n v="1"/>
    <x v="1"/>
    <x v="0"/>
    <n v="845.93"/>
    <n v="4235.3500000000004"/>
    <x v="0"/>
    <n v="3"/>
    <s v="Newer"/>
  </r>
  <r>
    <n v="24153155"/>
    <n v="2415315501"/>
    <n v="1"/>
    <x v="12"/>
    <x v="0"/>
    <n v="9354.69"/>
    <n v="9055.9"/>
    <x v="0"/>
    <n v="19"/>
    <s v="Older"/>
  </r>
  <r>
    <n v="24153168"/>
    <n v="2415316801"/>
    <n v="1"/>
    <x v="3"/>
    <x v="0"/>
    <n v="808.36"/>
    <n v="1390.41"/>
    <x v="0"/>
    <n v="4"/>
    <s v="Mid-age"/>
  </r>
  <r>
    <n v="24153169"/>
    <n v="2415316901"/>
    <n v="1"/>
    <x v="10"/>
    <x v="0"/>
    <n v="395.65"/>
    <n v="342.53"/>
    <x v="0"/>
    <n v="5"/>
    <s v="Mid-age"/>
  </r>
  <r>
    <n v="24153175"/>
    <n v="2415317501"/>
    <n v="1"/>
    <x v="17"/>
    <x v="0"/>
    <n v="10969.09"/>
    <n v="9143.69"/>
    <x v="0"/>
    <n v="16"/>
    <s v="Older"/>
  </r>
  <r>
    <n v="24153186"/>
    <n v="2415318601"/>
    <n v="1"/>
    <x v="11"/>
    <x v="0"/>
    <n v="595.41"/>
    <n v="1254.53"/>
    <x v="0"/>
    <n v="8"/>
    <s v="Mid-age"/>
  </r>
  <r>
    <n v="24153190"/>
    <n v="2415319001"/>
    <n v="1"/>
    <x v="14"/>
    <x v="0"/>
    <n v="1892.76"/>
    <n v="2497.75"/>
    <x v="0"/>
    <n v="10"/>
    <s v="Older"/>
  </r>
  <r>
    <n v="24153204"/>
    <n v="2415320401"/>
    <n v="1"/>
    <x v="0"/>
    <x v="0"/>
    <n v="106.24"/>
    <n v="635.13"/>
    <x v="0"/>
    <n v="13"/>
    <s v="Older"/>
  </r>
  <r>
    <n v="24153205"/>
    <n v="2415320501"/>
    <n v="1"/>
    <x v="10"/>
    <x v="0"/>
    <n v="2119.5100000000002"/>
    <n v="3039.1"/>
    <x v="0"/>
    <n v="5"/>
    <s v="Mid-age"/>
  </r>
  <r>
    <n v="24153215"/>
    <n v="2415321501"/>
    <n v="1"/>
    <x v="7"/>
    <x v="0"/>
    <n v="436.81"/>
    <n v="284.02"/>
    <x v="0"/>
    <n v="23"/>
    <s v="Very Old"/>
  </r>
  <r>
    <n v="24153219"/>
    <n v="2415321901"/>
    <n v="1"/>
    <x v="6"/>
    <x v="0"/>
    <n v="630.37"/>
    <n v="1159.94"/>
    <x v="0"/>
    <n v="7"/>
    <s v="Mid-age"/>
  </r>
  <r>
    <n v="24153222"/>
    <n v="2415322201"/>
    <n v="1"/>
    <x v="0"/>
    <x v="0"/>
    <n v="495.55"/>
    <n v="595.75"/>
    <x v="0"/>
    <n v="13"/>
    <s v="Older"/>
  </r>
  <r>
    <n v="24153227"/>
    <n v="2415322701"/>
    <n v="1"/>
    <x v="6"/>
    <x v="0"/>
    <n v="663.68"/>
    <n v="553.14"/>
    <x v="0"/>
    <n v="7"/>
    <s v="Mid-age"/>
  </r>
  <r>
    <n v="24153229"/>
    <n v="2415322901"/>
    <n v="1"/>
    <x v="8"/>
    <x v="0"/>
    <n v="892.62"/>
    <n v="911.92"/>
    <x v="0"/>
    <n v="9"/>
    <s v="Mid-age"/>
  </r>
  <r>
    <n v="24153241"/>
    <n v="2415324101"/>
    <n v="1"/>
    <x v="6"/>
    <x v="0"/>
    <n v="742.27"/>
    <n v="1220"/>
    <x v="0"/>
    <n v="7"/>
    <s v="Mid-age"/>
  </r>
  <r>
    <n v="24153268"/>
    <n v="2415326801"/>
    <n v="1"/>
    <x v="11"/>
    <x v="0"/>
    <n v="798.96"/>
    <n v="738.33"/>
    <x v="0"/>
    <n v="8"/>
    <s v="Mid-age"/>
  </r>
  <r>
    <n v="24153271"/>
    <n v="2415327101"/>
    <n v="1"/>
    <x v="5"/>
    <x v="0"/>
    <n v="14.64"/>
    <n v="150.69999999999999"/>
    <x v="0"/>
    <n v="6"/>
    <s v="Mid-age"/>
  </r>
  <r>
    <n v="24153272"/>
    <n v="2415327201"/>
    <n v="1"/>
    <x v="16"/>
    <x v="0"/>
    <n v="3657.44"/>
    <n v="1117.99"/>
    <x v="0"/>
    <n v="14"/>
    <s v="Older"/>
  </r>
  <r>
    <n v="24153282"/>
    <n v="2415328201"/>
    <n v="1"/>
    <x v="6"/>
    <x v="0"/>
    <n v="62.07"/>
    <n v="290.99"/>
    <x v="0"/>
    <n v="7"/>
    <s v="Mid-age"/>
  </r>
  <r>
    <n v="24153284"/>
    <n v="2415328401"/>
    <n v="1"/>
    <x v="5"/>
    <x v="0"/>
    <n v="3651.8"/>
    <n v="3043.96"/>
    <x v="0"/>
    <n v="6"/>
    <s v="Mid-age"/>
  </r>
  <r>
    <n v="24153289"/>
    <n v="2415328901"/>
    <n v="1"/>
    <x v="0"/>
    <x v="0"/>
    <n v="3503.74"/>
    <n v="3039.03"/>
    <x v="0"/>
    <n v="13"/>
    <s v="Older"/>
  </r>
  <r>
    <n v="24153300"/>
    <n v="2415330001"/>
    <n v="1"/>
    <x v="3"/>
    <x v="0"/>
    <n v="1022.59"/>
    <n v="278.76"/>
    <x v="0"/>
    <n v="4"/>
    <s v="Mid-age"/>
  </r>
  <r>
    <n v="24153311"/>
    <n v="2415331101"/>
    <n v="1"/>
    <x v="3"/>
    <x v="0"/>
    <n v="2065.2800000000002"/>
    <n v="481.95"/>
    <x v="0"/>
    <n v="4"/>
    <s v="Mid-age"/>
  </r>
  <r>
    <n v="24153324"/>
    <n v="2415332401"/>
    <n v="1"/>
    <x v="6"/>
    <x v="0"/>
    <n v="2.77"/>
    <n v="183.52"/>
    <x v="0"/>
    <n v="7"/>
    <s v="Mid-age"/>
  </r>
  <r>
    <n v="24153327"/>
    <n v="2415332701"/>
    <n v="1"/>
    <x v="11"/>
    <x v="0"/>
    <n v="1531.91"/>
    <n v="1216.02"/>
    <x v="0"/>
    <n v="8"/>
    <s v="Mid-age"/>
  </r>
  <r>
    <n v="24153328"/>
    <n v="2415332801"/>
    <n v="1"/>
    <x v="18"/>
    <x v="0"/>
    <n v="2127.29"/>
    <n v="952.4"/>
    <x v="0"/>
    <n v="11"/>
    <s v="Older"/>
  </r>
  <r>
    <n v="24153337"/>
    <n v="2415333701"/>
    <n v="1"/>
    <x v="10"/>
    <x v="0"/>
    <n v="420.94"/>
    <n v="1110.7"/>
    <x v="0"/>
    <n v="5"/>
    <s v="Mid-age"/>
  </r>
  <r>
    <n v="24153340"/>
    <n v="2415334001"/>
    <n v="1"/>
    <x v="12"/>
    <x v="0"/>
    <n v="1.84"/>
    <n v="208.33"/>
    <x v="0"/>
    <n v="19"/>
    <s v="Older"/>
  </r>
  <r>
    <n v="24153352"/>
    <n v="2415335201"/>
    <n v="1"/>
    <x v="0"/>
    <x v="0"/>
    <n v="1166.24"/>
    <n v="622.03"/>
    <x v="0"/>
    <n v="13"/>
    <s v="Older"/>
  </r>
  <r>
    <n v="24153360"/>
    <n v="2415336001"/>
    <n v="1"/>
    <x v="22"/>
    <x v="0"/>
    <n v="0.92"/>
    <n v="149.16"/>
    <x v="0"/>
    <n v="18"/>
    <s v="Older"/>
  </r>
  <r>
    <n v="24153369"/>
    <n v="2415336901"/>
    <n v="1"/>
    <x v="3"/>
    <x v="0"/>
    <n v="1805.86"/>
    <n v="1278.58"/>
    <x v="0"/>
    <n v="4"/>
    <s v="Mid-age"/>
  </r>
  <r>
    <n v="24153373"/>
    <n v="2415337301"/>
    <n v="1"/>
    <x v="10"/>
    <x v="0"/>
    <n v="494.7"/>
    <n v="677.71"/>
    <x v="0"/>
    <n v="5"/>
    <s v="Mid-age"/>
  </r>
  <r>
    <n v="24153376"/>
    <n v="2415337601"/>
    <n v="1"/>
    <x v="1"/>
    <x v="0"/>
    <n v="1.5"/>
    <n v="232.01"/>
    <x v="0"/>
    <n v="3"/>
    <s v="Newer"/>
  </r>
  <r>
    <n v="24153385"/>
    <n v="2415338501"/>
    <n v="1"/>
    <x v="3"/>
    <x v="0"/>
    <n v="1.84"/>
    <n v="270.97000000000003"/>
    <x v="0"/>
    <n v="4"/>
    <s v="Mid-age"/>
  </r>
  <r>
    <n v="24153386"/>
    <n v="2415338601"/>
    <n v="1"/>
    <x v="8"/>
    <x v="0"/>
    <n v="430.81"/>
    <n v="592.28"/>
    <x v="0"/>
    <n v="9"/>
    <s v="Mid-age"/>
  </r>
  <r>
    <n v="24153388"/>
    <n v="2415338801"/>
    <n v="1"/>
    <x v="11"/>
    <x v="0"/>
    <n v="0.92"/>
    <n v="231.74"/>
    <x v="0"/>
    <n v="8"/>
    <s v="Mid-age"/>
  </r>
  <r>
    <n v="24153392"/>
    <n v="2415339201"/>
    <n v="1"/>
    <x v="5"/>
    <x v="1"/>
    <n v="486.01"/>
    <n v="217.63"/>
    <x v="1"/>
    <n v="6"/>
    <s v="Mid-age"/>
  </r>
  <r>
    <n v="24153397"/>
    <n v="2415339701"/>
    <n v="1"/>
    <x v="6"/>
    <x v="0"/>
    <n v="35.04"/>
    <n v="340.17"/>
    <x v="0"/>
    <n v="7"/>
    <s v="Mid-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147CC-7F5A-4BF6-B306-990B18E2E4D3}"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location ref="A3:B11" firstHeaderRow="1" firstDataRow="1" firstDataCol="1"/>
  <pivotFields count="10">
    <pivotField showAll="0"/>
    <pivotField dataField="1" showAll="0"/>
    <pivotField showAll="0"/>
    <pivotField showAll="0">
      <items count="37">
        <item x="23"/>
        <item x="35"/>
        <item x="13"/>
        <item x="33"/>
        <item x="32"/>
        <item x="34"/>
        <item x="31"/>
        <item x="28"/>
        <item x="29"/>
        <item x="25"/>
        <item x="15"/>
        <item x="30"/>
        <item x="21"/>
        <item x="7"/>
        <item x="20"/>
        <item x="4"/>
        <item x="27"/>
        <item x="12"/>
        <item x="22"/>
        <item x="19"/>
        <item x="17"/>
        <item x="24"/>
        <item x="16"/>
        <item x="0"/>
        <item x="2"/>
        <item x="18"/>
        <item x="14"/>
        <item x="8"/>
        <item x="11"/>
        <item x="6"/>
        <item x="5"/>
        <item x="10"/>
        <item x="3"/>
        <item x="1"/>
        <item x="9"/>
        <item x="26"/>
        <item t="default"/>
      </items>
    </pivotField>
    <pivotField showAll="0">
      <items count="8">
        <item x="0"/>
        <item x="2"/>
        <item x="4"/>
        <item x="1"/>
        <item x="6"/>
        <item x="3"/>
        <item x="5"/>
        <item t="default"/>
      </items>
    </pivotField>
    <pivotField showAll="0"/>
    <pivotField showAll="0"/>
    <pivotField axis="axisRow" showAll="0" sortType="descending">
      <items count="8">
        <item x="2"/>
        <item x="5"/>
        <item x="1"/>
        <item x="0"/>
        <item x="4"/>
        <item x="3"/>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8">
    <i>
      <x v="3"/>
    </i>
    <i>
      <x/>
    </i>
    <i>
      <x v="2"/>
    </i>
    <i>
      <x v="4"/>
    </i>
    <i>
      <x v="5"/>
    </i>
    <i>
      <x v="1"/>
    </i>
    <i>
      <x v="6"/>
    </i>
    <i t="grand">
      <x/>
    </i>
  </rowItems>
  <colItems count="1">
    <i/>
  </colItems>
  <dataFields count="1">
    <dataField name="Count of vehicle_id" fld="1" subtotal="count" baseField="4" baseItem="0"/>
  </dataFields>
  <chartFormats count="4">
    <chartFormat chart="19"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2C393-6B5B-4EAF-8F65-E987F9A873C1}"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B11" firstHeaderRow="1" firstDataRow="1" firstDataCol="1"/>
  <pivotFields count="10">
    <pivotField showAll="0"/>
    <pivotField showAll="0"/>
    <pivotField showAll="0"/>
    <pivotField showAll="0"/>
    <pivotField showAll="0"/>
    <pivotField showAll="0"/>
    <pivotField showAll="0"/>
    <pivotField axis="axisRow" showAll="0" sortType="descending">
      <items count="8">
        <item x="2"/>
        <item x="5"/>
        <item x="1"/>
        <item x="0"/>
        <item x="4"/>
        <item x="3"/>
        <item x="6"/>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7"/>
  </rowFields>
  <rowItems count="8">
    <i>
      <x v="1"/>
    </i>
    <i>
      <x v="6"/>
    </i>
    <i>
      <x v="5"/>
    </i>
    <i>
      <x v="3"/>
    </i>
    <i>
      <x/>
    </i>
    <i>
      <x v="2"/>
    </i>
    <i>
      <x v="4"/>
    </i>
    <i t="grand">
      <x/>
    </i>
  </rowItems>
  <colItems count="1">
    <i/>
  </colItems>
  <dataFields count="1">
    <dataField name="Average of vehicle_age" fld="8" subtotal="average" baseField="7" baseItem="3"/>
  </dataFields>
  <formats count="1">
    <format dxfId="13">
      <pivotArea collapsedLevelsAreSubtotals="1" fieldPosition="0">
        <references count="1">
          <reference field="7" count="0"/>
        </references>
      </pivotArea>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27107-520A-4408-A52F-1E57A85D7FA1}"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10">
    <pivotField showAll="0"/>
    <pivotField showAll="0"/>
    <pivotField showAll="0"/>
    <pivotField showAll="0"/>
    <pivotField showAll="0"/>
    <pivotField showAll="0"/>
    <pivotField dataField="1" showAll="0"/>
    <pivotField axis="axisRow" showAll="0" sortType="descending">
      <items count="8">
        <item x="2"/>
        <item x="5"/>
        <item x="1"/>
        <item x="0"/>
        <item x="4"/>
        <item x="3"/>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8">
    <i>
      <x v="6"/>
    </i>
    <i>
      <x v="3"/>
    </i>
    <i>
      <x v="5"/>
    </i>
    <i>
      <x/>
    </i>
    <i>
      <x v="2"/>
    </i>
    <i>
      <x v="4"/>
    </i>
    <i>
      <x v="1"/>
    </i>
    <i t="grand">
      <x/>
    </i>
  </rowItems>
  <colItems count="1">
    <i/>
  </colItems>
  <dataFields count="1">
    <dataField name="Average of hh_weight_citywide" fld="6" subtotal="average" baseField="7" baseItem="0"/>
  </dataFields>
  <formats count="1">
    <format dxfId="12">
      <pivotArea collapsedLevelsAreSubtotals="1" fieldPosition="0">
        <references count="1">
          <reference field="7"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561ABB-E171-456D-A84C-248FB1596722}" autoFormatId="16" applyNumberFormats="0" applyBorderFormats="0" applyFontFormats="0" applyPatternFormats="0" applyAlignmentFormats="0" applyWidthHeightFormats="0">
  <queryTableRefresh nextId="11" unboundColumnsRight="3">
    <queryTableFields count="10">
      <queryTableField id="1" name="hh_id" tableColumnId="1"/>
      <queryTableField id="2" name="vehicle_id" tableColumnId="2"/>
      <queryTableField id="3" name="vehicle_num" tableColumnId="3"/>
      <queryTableField id="4" name="year" tableColumnId="4"/>
      <queryTableField id="5" name="fuel_type" tableColumnId="5"/>
      <queryTableField id="6" name="hh_weight_zonal" tableColumnId="6"/>
      <queryTableField id="7" name="hh_weight_citywide" tableColumnId="7"/>
      <queryTableField id="8" dataBound="0"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_label" xr10:uid="{B71D4BA0-6A11-44EF-ADD4-69E2830A393F}" sourceName="fuel_type_label">
  <pivotTables>
    <pivotTable tabId="3" name="PivotTable1"/>
    <pivotTable tabId="5" name="PivotTable1"/>
    <pivotTable tabId="6" name="PivotTable2"/>
  </pivotTables>
  <data>
    <tabular pivotCacheId="225028542">
      <items count="7">
        <i x="2" s="1"/>
        <i x="5" s="1"/>
        <i x="1" s="1"/>
        <i x="0" s="1"/>
        <i x="4"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_label 1" xr10:uid="{2443E23C-52B7-46B5-AD64-E98438AB1405}" cache="Slicer_fuel_type_label" caption="fuel_type_label" style="SlicerStyleOther1"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_label" xr10:uid="{55E47F3E-2FE5-4676-BC36-3038ED0D2550}" cache="Slicer_fuel_type_label" caption="fuel_type_lab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33F836-C5A2-44CF-AC05-11E86DA337BE}" name="qhkz_4dqm" displayName="qhkz_4dqm" ref="A1:J1785" tableType="queryTable" totalsRowShown="0" headerRowDxfId="28" dataDxfId="27">
  <autoFilter ref="A1:J1785" xr:uid="{FD7EFB67-E983-4DD7-A034-A1DE6A05D6A4}"/>
  <tableColumns count="10">
    <tableColumn id="1" xr3:uid="{464F2A9E-7520-4C03-91BF-74F7C485256E}" uniqueName="1" name="hh_id" queryTableFieldId="1" dataDxfId="26"/>
    <tableColumn id="2" xr3:uid="{AB3951FC-5E0E-4A8D-B944-3973E4781C95}" uniqueName="2" name="vehicle_id" queryTableFieldId="2" dataDxfId="25"/>
    <tableColumn id="3" xr3:uid="{E23846FF-E67D-41ED-A58F-04728C084BAF}" uniqueName="3" name="vehicle_num" queryTableFieldId="3" dataDxfId="24"/>
    <tableColumn id="4" xr3:uid="{724DC9A3-2F03-4394-A3E3-CE4A993EB9F5}" uniqueName="4" name="year" queryTableFieldId="4" dataDxfId="23"/>
    <tableColumn id="5" xr3:uid="{8590803D-9648-48A5-A864-10FC05BDA707}" uniqueName="5" name="fuel_type" queryTableFieldId="5" dataDxfId="22"/>
    <tableColumn id="6" xr3:uid="{D1A2511B-F90B-4A76-93B9-C45C013BD657}" uniqueName="6" name="hh_weight_zonal" queryTableFieldId="6" dataDxfId="21"/>
    <tableColumn id="7" xr3:uid="{209C55D7-AD47-413D-8B0C-62437A9D82F4}" uniqueName="7" name="hh_weight_citywide" queryTableFieldId="7" dataDxfId="20"/>
    <tableColumn id="8" xr3:uid="{7B2C04BE-6624-4CD5-92E1-35A00D03B006}" uniqueName="8" name="fuel_type_label" queryTableFieldId="8" dataDxfId="19">
      <calculatedColumnFormula>VLOOKUP(qhkz_4dqm[[#This Row],[fuel_type]],lookup!A:B,2,FALSE)</calculatedColumnFormula>
    </tableColumn>
    <tableColumn id="9" xr3:uid="{E6C24BB8-4789-4331-877C-0CC71CE5001C}" uniqueName="9" name="vehicle_age" queryTableFieldId="9" dataDxfId="18">
      <calculatedColumnFormula>YEAR(TODAY())-qhkz_4dqm[[#This Row],[year]]</calculatedColumnFormula>
    </tableColumn>
    <tableColumn id="10" xr3:uid="{79872209-ACD9-4A20-B4F1-F7D44C2199B7}" uniqueName="10" name="age_group" queryTableFieldId="10" dataDxfId="17">
      <calculatedColumnFormula array="1">_xlfn.IFS(qhkz_4dqm[[#This Row],[vehicle_age]]&lt;=3,"Newer",qhkz_4dqm[[#This Row],[vehicle_age]]&lt;=9,"Mid-age",qhkz_4dqm[[#This Row],[vehicle_age]]&lt;=19,"Older",qhkz_4dqm[[#This Row],[vehicle_age]]&gt;=20,"Very Old")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D27AD3-7D1F-41F9-A837-2A5ADB7224A5}" name="Table2" displayName="Table2" ref="A1:B8" totalsRowShown="0" dataDxfId="16">
  <autoFilter ref="A1:B8" xr:uid="{FB01158A-7CFC-4E6B-BAED-A4BB2DAEB094}"/>
  <tableColumns count="2">
    <tableColumn id="1" xr3:uid="{A993554E-0A8F-4CCF-AEB0-9616E4724CB3}" name="code" dataDxfId="15"/>
    <tableColumn id="2" xr3:uid="{F73AC5E3-27A8-4D5E-8A3E-627FC3056A1D}" name="name" dataDxfId="14"/>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078D-A9AC-4CAD-A7E8-37806BFB5368}">
  <dimension ref="A1:J1785"/>
  <sheetViews>
    <sheetView workbookViewId="0">
      <selection activeCell="J2" sqref="J2"/>
    </sheetView>
  </sheetViews>
  <sheetFormatPr defaultRowHeight="14.25"/>
  <cols>
    <col min="1" max="1" width="9.75" customWidth="1"/>
    <col min="2" max="2" width="14" customWidth="1"/>
    <col min="3" max="3" width="16.125" customWidth="1"/>
    <col min="4" max="4" width="8.625" customWidth="1"/>
    <col min="5" max="5" width="13" customWidth="1"/>
    <col min="6" max="6" width="19.875" customWidth="1"/>
    <col min="7" max="7" width="22.375" customWidth="1"/>
    <col min="8" max="8" width="22.875" customWidth="1"/>
    <col min="9" max="9" width="14.5" customWidth="1"/>
    <col min="10" max="10" width="14.375" customWidth="1"/>
  </cols>
  <sheetData>
    <row r="1" spans="1:10">
      <c r="A1" s="1" t="s">
        <v>0</v>
      </c>
      <c r="B1" s="1" t="s">
        <v>1</v>
      </c>
      <c r="C1" s="1" t="s">
        <v>2</v>
      </c>
      <c r="D1" s="1" t="s">
        <v>3</v>
      </c>
      <c r="E1" s="1" t="s">
        <v>4</v>
      </c>
      <c r="F1" s="1" t="s">
        <v>5</v>
      </c>
      <c r="G1" s="1" t="s">
        <v>6</v>
      </c>
      <c r="H1" s="1" t="s">
        <v>19</v>
      </c>
      <c r="I1" s="6" t="s">
        <v>20</v>
      </c>
      <c r="J1" s="1" t="s">
        <v>21</v>
      </c>
    </row>
    <row r="2" spans="1:10">
      <c r="A2" s="2">
        <v>24000108</v>
      </c>
      <c r="B2" s="2">
        <v>2400010801</v>
      </c>
      <c r="C2" s="2">
        <v>1</v>
      </c>
      <c r="D2" s="2">
        <v>2013</v>
      </c>
      <c r="E2" s="2">
        <v>1</v>
      </c>
      <c r="F2" s="2">
        <v>2263.81</v>
      </c>
      <c r="G2" s="2">
        <v>2432.14</v>
      </c>
      <c r="H2" s="2" t="str">
        <f>VLOOKUP(qhkz_4dqm[[#This Row],[fuel_type]],lookup!A:B,2,FALSE)</f>
        <v>Gasoline</v>
      </c>
      <c r="I2" s="2">
        <f ca="1">YEAR(TODAY())-qhkz_4dqm[[#This Row],[year]]</f>
        <v>13</v>
      </c>
      <c r="J2" s="2" t="str" cm="1">
        <f t="array" aca="1" ref="J2" ca="1">_xlfn.IFS(qhkz_4dqm[[#This Row],[vehicle_age]]&lt;=3,"Newer",qhkz_4dqm[[#This Row],[vehicle_age]]&lt;=9,"Mid-age",qhkz_4dqm[[#This Row],[vehicle_age]]&lt;=19,"Older",qhkz_4dqm[[#This Row],[vehicle_age]]&gt;=20,"Very Old")</f>
        <v>Older</v>
      </c>
    </row>
    <row r="3" spans="1:10">
      <c r="A3" s="2">
        <v>24000305</v>
      </c>
      <c r="B3" s="2">
        <v>2400030501</v>
      </c>
      <c r="C3" s="2">
        <v>1</v>
      </c>
      <c r="D3" s="2">
        <v>2023</v>
      </c>
      <c r="E3" s="2">
        <v>1</v>
      </c>
      <c r="F3" s="2">
        <v>1870.22</v>
      </c>
      <c r="G3" s="2">
        <v>2655.76</v>
      </c>
      <c r="H3" s="2" t="str">
        <f>VLOOKUP(qhkz_4dqm[[#This Row],[fuel_type]],lookup!A:B,2,FALSE)</f>
        <v>Gasoline</v>
      </c>
      <c r="I3" s="2">
        <f ca="1">YEAR(TODAY())-qhkz_4dqm[[#This Row],[year]]</f>
        <v>3</v>
      </c>
      <c r="J3" s="2" t="str" cm="1">
        <f t="array" aca="1" ref="J3" ca="1">_xlfn.IFS(qhkz_4dqm[[#This Row],[vehicle_age]]&lt;=3,"Newer",qhkz_4dqm[[#This Row],[vehicle_age]]&lt;=9,"Mid-age",qhkz_4dqm[[#This Row],[vehicle_age]]&lt;=19,"Older",qhkz_4dqm[[#This Row],[vehicle_age]]&gt;=20,"Very Old")</f>
        <v>Newer</v>
      </c>
    </row>
    <row r="4" spans="1:10">
      <c r="A4" s="2">
        <v>24000347</v>
      </c>
      <c r="B4" s="2">
        <v>2400034701</v>
      </c>
      <c r="C4" s="2">
        <v>1</v>
      </c>
      <c r="D4" s="2">
        <v>2014</v>
      </c>
      <c r="E4" s="2">
        <v>1</v>
      </c>
      <c r="F4" s="2">
        <v>766.65</v>
      </c>
      <c r="G4" s="2">
        <v>1063.24</v>
      </c>
      <c r="H4" s="2" t="str">
        <f>VLOOKUP(qhkz_4dqm[[#This Row],[fuel_type]],lookup!A:B,2,FALSE)</f>
        <v>Gasoline</v>
      </c>
      <c r="I4" s="2">
        <f ca="1">YEAR(TODAY())-qhkz_4dqm[[#This Row],[year]]</f>
        <v>12</v>
      </c>
      <c r="J4" s="2" t="str" cm="1">
        <f t="array" aca="1" ref="J4" ca="1">_xlfn.IFS(qhkz_4dqm[[#This Row],[vehicle_age]]&lt;=3,"Newer",qhkz_4dqm[[#This Row],[vehicle_age]]&lt;=9,"Mid-age",qhkz_4dqm[[#This Row],[vehicle_age]]&lt;=19,"Older",qhkz_4dqm[[#This Row],[vehicle_age]]&gt;=20,"Very Old")</f>
        <v>Older</v>
      </c>
    </row>
    <row r="5" spans="1:10">
      <c r="A5" s="2">
        <v>24000381</v>
      </c>
      <c r="B5" s="2">
        <v>2400038101</v>
      </c>
      <c r="C5" s="2">
        <v>1</v>
      </c>
      <c r="D5" s="2">
        <v>2022</v>
      </c>
      <c r="E5" s="2">
        <v>1</v>
      </c>
      <c r="F5" s="2">
        <v>436.44</v>
      </c>
      <c r="G5" s="2">
        <v>454.51</v>
      </c>
      <c r="H5" s="2" t="str">
        <f>VLOOKUP(qhkz_4dqm[[#This Row],[fuel_type]],lookup!A:B,2,FALSE)</f>
        <v>Gasoline</v>
      </c>
      <c r="I5" s="2">
        <f ca="1">YEAR(TODAY())-qhkz_4dqm[[#This Row],[year]]</f>
        <v>4</v>
      </c>
      <c r="J5" s="2" t="str" cm="1">
        <f t="array" aca="1" ref="J5" ca="1">_xlfn.IFS(qhkz_4dqm[[#This Row],[vehicle_age]]&lt;=3,"Newer",qhkz_4dqm[[#This Row],[vehicle_age]]&lt;=9,"Mid-age",qhkz_4dqm[[#This Row],[vehicle_age]]&lt;=19,"Older",qhkz_4dqm[[#This Row],[vehicle_age]]&gt;=20,"Very Old")</f>
        <v>Mid-age</v>
      </c>
    </row>
    <row r="6" spans="1:10">
      <c r="A6" s="2">
        <v>24000504</v>
      </c>
      <c r="B6" s="2">
        <v>2400050401</v>
      </c>
      <c r="C6" s="2">
        <v>1</v>
      </c>
      <c r="D6" s="2">
        <v>2023</v>
      </c>
      <c r="E6" s="2">
        <v>1</v>
      </c>
      <c r="F6" s="2">
        <v>312.06</v>
      </c>
      <c r="G6" s="2">
        <v>212.53</v>
      </c>
      <c r="H6" s="2" t="str">
        <f>VLOOKUP(qhkz_4dqm[[#This Row],[fuel_type]],lookup!A:B,2,FALSE)</f>
        <v>Gasoline</v>
      </c>
      <c r="I6" s="2">
        <f ca="1">YEAR(TODAY())-qhkz_4dqm[[#This Row],[year]]</f>
        <v>3</v>
      </c>
      <c r="J6" s="2" t="str" cm="1">
        <f t="array" aca="1" ref="J6" ca="1">_xlfn.IFS(qhkz_4dqm[[#This Row],[vehicle_age]]&lt;=3,"Newer",qhkz_4dqm[[#This Row],[vehicle_age]]&lt;=9,"Mid-age",qhkz_4dqm[[#This Row],[vehicle_age]]&lt;=19,"Older",qhkz_4dqm[[#This Row],[vehicle_age]]&gt;=20,"Very Old")</f>
        <v>Newer</v>
      </c>
    </row>
    <row r="7" spans="1:10">
      <c r="A7" s="2">
        <v>24000545</v>
      </c>
      <c r="B7" s="2">
        <v>2400054501</v>
      </c>
      <c r="C7" s="2">
        <v>1</v>
      </c>
      <c r="D7" s="2">
        <v>2023</v>
      </c>
      <c r="E7" s="2">
        <v>4</v>
      </c>
      <c r="F7" s="2">
        <v>768.13</v>
      </c>
      <c r="G7" s="2">
        <v>2286.79</v>
      </c>
      <c r="H7" s="2" t="str">
        <f>VLOOKUP(qhkz_4dqm[[#This Row],[fuel_type]],lookup!A:B,2,FALSE)</f>
        <v>Electric</v>
      </c>
      <c r="I7" s="2">
        <f ca="1">YEAR(TODAY())-qhkz_4dqm[[#This Row],[year]]</f>
        <v>3</v>
      </c>
      <c r="J7" s="2" t="str" cm="1">
        <f t="array" aca="1" ref="J7" ca="1">_xlfn.IFS(qhkz_4dqm[[#This Row],[vehicle_age]]&lt;=3,"Newer",qhkz_4dqm[[#This Row],[vehicle_age]]&lt;=9,"Mid-age",qhkz_4dqm[[#This Row],[vehicle_age]]&lt;=19,"Older",qhkz_4dqm[[#This Row],[vehicle_age]]&gt;=20,"Very Old")</f>
        <v>Newer</v>
      </c>
    </row>
    <row r="8" spans="1:10">
      <c r="A8" s="2">
        <v>24000698</v>
      </c>
      <c r="B8" s="2">
        <v>2400069801</v>
      </c>
      <c r="C8" s="2">
        <v>1</v>
      </c>
      <c r="D8" s="2">
        <v>2005</v>
      </c>
      <c r="E8" s="2">
        <v>1</v>
      </c>
      <c r="F8" s="2">
        <v>67.319999999999993</v>
      </c>
      <c r="G8" s="2">
        <v>184.06</v>
      </c>
      <c r="H8" s="2" t="str">
        <f>VLOOKUP(qhkz_4dqm[[#This Row],[fuel_type]],lookup!A:B,2,FALSE)</f>
        <v>Gasoline</v>
      </c>
      <c r="I8" s="2">
        <f ca="1">YEAR(TODAY())-qhkz_4dqm[[#This Row],[year]]</f>
        <v>21</v>
      </c>
      <c r="J8" s="2" t="str" cm="1">
        <f t="array" aca="1" ref="J8" ca="1">_xlfn.IFS(qhkz_4dqm[[#This Row],[vehicle_age]]&lt;=3,"Newer",qhkz_4dqm[[#This Row],[vehicle_age]]&lt;=9,"Mid-age",qhkz_4dqm[[#This Row],[vehicle_age]]&lt;=19,"Older",qhkz_4dqm[[#This Row],[vehicle_age]]&gt;=20,"Very Old")</f>
        <v>Very Old</v>
      </c>
    </row>
    <row r="9" spans="1:10">
      <c r="A9" s="2">
        <v>24001323</v>
      </c>
      <c r="B9" s="2">
        <v>2400132301</v>
      </c>
      <c r="C9" s="2">
        <v>1</v>
      </c>
      <c r="D9" s="2">
        <v>2020</v>
      </c>
      <c r="E9" s="2">
        <v>1</v>
      </c>
      <c r="F9" s="2">
        <v>266.42</v>
      </c>
      <c r="G9" s="2">
        <v>316.61</v>
      </c>
      <c r="H9" s="2" t="str">
        <f>VLOOKUP(qhkz_4dqm[[#This Row],[fuel_type]],lookup!A:B,2,FALSE)</f>
        <v>Gasoline</v>
      </c>
      <c r="I9" s="2">
        <f ca="1">YEAR(TODAY())-qhkz_4dqm[[#This Row],[year]]</f>
        <v>6</v>
      </c>
      <c r="J9" s="2" t="str" cm="1">
        <f t="array" aca="1" ref="J9" ca="1">_xlfn.IFS(qhkz_4dqm[[#This Row],[vehicle_age]]&lt;=3,"Newer",qhkz_4dqm[[#This Row],[vehicle_age]]&lt;=9,"Mid-age",qhkz_4dqm[[#This Row],[vehicle_age]]&lt;=19,"Older",qhkz_4dqm[[#This Row],[vehicle_age]]&gt;=20,"Very Old")</f>
        <v>Mid-age</v>
      </c>
    </row>
    <row r="10" spans="1:10">
      <c r="A10" s="2">
        <v>24001415</v>
      </c>
      <c r="B10" s="2">
        <v>2400141501</v>
      </c>
      <c r="C10" s="2">
        <v>1</v>
      </c>
      <c r="D10" s="2">
        <v>2019</v>
      </c>
      <c r="E10" s="2">
        <v>1</v>
      </c>
      <c r="F10" s="2">
        <v>251.48</v>
      </c>
      <c r="G10" s="2">
        <v>564.69000000000005</v>
      </c>
      <c r="H10" s="2" t="str">
        <f>VLOOKUP(qhkz_4dqm[[#This Row],[fuel_type]],lookup!A:B,2,FALSE)</f>
        <v>Gasoline</v>
      </c>
      <c r="I10" s="2">
        <f ca="1">YEAR(TODAY())-qhkz_4dqm[[#This Row],[year]]</f>
        <v>7</v>
      </c>
      <c r="J10" s="2" t="str" cm="1">
        <f t="array" aca="1" ref="J10" ca="1">_xlfn.IFS(qhkz_4dqm[[#This Row],[vehicle_age]]&lt;=3,"Newer",qhkz_4dqm[[#This Row],[vehicle_age]]&lt;=9,"Mid-age",qhkz_4dqm[[#This Row],[vehicle_age]]&lt;=19,"Older",qhkz_4dqm[[#This Row],[vehicle_age]]&gt;=20,"Very Old")</f>
        <v>Mid-age</v>
      </c>
    </row>
    <row r="11" spans="1:10">
      <c r="A11" s="2">
        <v>24001425</v>
      </c>
      <c r="B11" s="2">
        <v>2400142501</v>
      </c>
      <c r="C11" s="2">
        <v>1</v>
      </c>
      <c r="D11" s="2">
        <v>2019</v>
      </c>
      <c r="E11" s="2">
        <v>1</v>
      </c>
      <c r="F11" s="2">
        <v>82.52</v>
      </c>
      <c r="G11" s="2">
        <v>110.81</v>
      </c>
      <c r="H11" s="2" t="str">
        <f>VLOOKUP(qhkz_4dqm[[#This Row],[fuel_type]],lookup!A:B,2,FALSE)</f>
        <v>Gasoline</v>
      </c>
      <c r="I11" s="2">
        <f ca="1">YEAR(TODAY())-qhkz_4dqm[[#This Row],[year]]</f>
        <v>7</v>
      </c>
      <c r="J11" s="2" t="str" cm="1">
        <f t="array" aca="1" ref="J11" ca="1">_xlfn.IFS(qhkz_4dqm[[#This Row],[vehicle_age]]&lt;=3,"Newer",qhkz_4dqm[[#This Row],[vehicle_age]]&lt;=9,"Mid-age",qhkz_4dqm[[#This Row],[vehicle_age]]&lt;=19,"Older",qhkz_4dqm[[#This Row],[vehicle_age]]&gt;=20,"Very Old")</f>
        <v>Mid-age</v>
      </c>
    </row>
    <row r="12" spans="1:10">
      <c r="A12" s="2">
        <v>24001655</v>
      </c>
      <c r="B12" s="2">
        <v>2400165501</v>
      </c>
      <c r="C12" s="2">
        <v>1</v>
      </c>
      <c r="D12" s="2">
        <v>2003</v>
      </c>
      <c r="E12" s="2">
        <v>1</v>
      </c>
      <c r="F12" s="2">
        <v>74.66</v>
      </c>
      <c r="G12" s="2">
        <v>148.16</v>
      </c>
      <c r="H12" s="2" t="str">
        <f>VLOOKUP(qhkz_4dqm[[#This Row],[fuel_type]],lookup!A:B,2,FALSE)</f>
        <v>Gasoline</v>
      </c>
      <c r="I12" s="2">
        <f ca="1">YEAR(TODAY())-qhkz_4dqm[[#This Row],[year]]</f>
        <v>23</v>
      </c>
      <c r="J12" s="2" t="str" cm="1">
        <f t="array" aca="1" ref="J12" ca="1">_xlfn.IFS(qhkz_4dqm[[#This Row],[vehicle_age]]&lt;=3,"Newer",qhkz_4dqm[[#This Row],[vehicle_age]]&lt;=9,"Mid-age",qhkz_4dqm[[#This Row],[vehicle_age]]&lt;=19,"Older",qhkz_4dqm[[#This Row],[vehicle_age]]&gt;=20,"Very Old")</f>
        <v>Very Old</v>
      </c>
    </row>
    <row r="13" spans="1:10">
      <c r="A13" s="2">
        <v>24001752</v>
      </c>
      <c r="B13" s="2">
        <v>2400175201</v>
      </c>
      <c r="C13" s="2">
        <v>1</v>
      </c>
      <c r="D13" s="2">
        <v>2017</v>
      </c>
      <c r="E13" s="2">
        <v>1</v>
      </c>
      <c r="F13" s="2">
        <v>248.24</v>
      </c>
      <c r="G13" s="2">
        <v>292.11</v>
      </c>
      <c r="H13" s="2" t="str">
        <f>VLOOKUP(qhkz_4dqm[[#This Row],[fuel_type]],lookup!A:B,2,FALSE)</f>
        <v>Gasoline</v>
      </c>
      <c r="I13" s="2">
        <f ca="1">YEAR(TODAY())-qhkz_4dqm[[#This Row],[year]]</f>
        <v>9</v>
      </c>
      <c r="J13" s="2" t="str" cm="1">
        <f t="array" aca="1" ref="J13" ca="1">_xlfn.IFS(qhkz_4dqm[[#This Row],[vehicle_age]]&lt;=3,"Newer",qhkz_4dqm[[#This Row],[vehicle_age]]&lt;=9,"Mid-age",qhkz_4dqm[[#This Row],[vehicle_age]]&lt;=19,"Older",qhkz_4dqm[[#This Row],[vehicle_age]]&gt;=20,"Very Old")</f>
        <v>Mid-age</v>
      </c>
    </row>
    <row r="14" spans="1:10">
      <c r="A14" s="2">
        <v>24001879</v>
      </c>
      <c r="B14" s="2">
        <v>2400187901</v>
      </c>
      <c r="C14" s="2">
        <v>1</v>
      </c>
      <c r="D14" s="2">
        <v>2023</v>
      </c>
      <c r="E14" s="2">
        <v>1</v>
      </c>
      <c r="F14" s="2">
        <v>803.42</v>
      </c>
      <c r="G14" s="2">
        <v>677.13</v>
      </c>
      <c r="H14" s="2" t="str">
        <f>VLOOKUP(qhkz_4dqm[[#This Row],[fuel_type]],lookup!A:B,2,FALSE)</f>
        <v>Gasoline</v>
      </c>
      <c r="I14" s="2">
        <f ca="1">YEAR(TODAY())-qhkz_4dqm[[#This Row],[year]]</f>
        <v>3</v>
      </c>
      <c r="J14" s="2" t="str" cm="1">
        <f t="array" aca="1" ref="J14" ca="1">_xlfn.IFS(qhkz_4dqm[[#This Row],[vehicle_age]]&lt;=3,"Newer",qhkz_4dqm[[#This Row],[vehicle_age]]&lt;=9,"Mid-age",qhkz_4dqm[[#This Row],[vehicle_age]]&lt;=19,"Older",qhkz_4dqm[[#This Row],[vehicle_age]]&gt;=20,"Very Old")</f>
        <v>Newer</v>
      </c>
    </row>
    <row r="15" spans="1:10">
      <c r="A15" s="2">
        <v>24002089</v>
      </c>
      <c r="B15" s="2">
        <v>2400208901</v>
      </c>
      <c r="C15" s="2">
        <v>1</v>
      </c>
      <c r="D15" s="2">
        <v>2014</v>
      </c>
      <c r="E15" s="2">
        <v>1</v>
      </c>
      <c r="F15" s="2">
        <v>34.950000000000003</v>
      </c>
      <c r="G15" s="2">
        <v>306.27</v>
      </c>
      <c r="H15" s="2" t="str">
        <f>VLOOKUP(qhkz_4dqm[[#This Row],[fuel_type]],lookup!A:B,2,FALSE)</f>
        <v>Gasoline</v>
      </c>
      <c r="I15" s="2">
        <f ca="1">YEAR(TODAY())-qhkz_4dqm[[#This Row],[year]]</f>
        <v>12</v>
      </c>
      <c r="J15" s="2" t="str" cm="1">
        <f t="array" aca="1" ref="J15" ca="1">_xlfn.IFS(qhkz_4dqm[[#This Row],[vehicle_age]]&lt;=3,"Newer",qhkz_4dqm[[#This Row],[vehicle_age]]&lt;=9,"Mid-age",qhkz_4dqm[[#This Row],[vehicle_age]]&lt;=19,"Older",qhkz_4dqm[[#This Row],[vehicle_age]]&gt;=20,"Very Old")</f>
        <v>Older</v>
      </c>
    </row>
    <row r="16" spans="1:10">
      <c r="A16" s="2">
        <v>24002132</v>
      </c>
      <c r="B16" s="2">
        <v>2400213201</v>
      </c>
      <c r="C16" s="2">
        <v>1</v>
      </c>
      <c r="D16" s="2">
        <v>2024</v>
      </c>
      <c r="E16" s="2">
        <v>1</v>
      </c>
      <c r="F16" s="2">
        <v>1959.22</v>
      </c>
      <c r="G16" s="2">
        <v>3550.35</v>
      </c>
      <c r="H16" s="2" t="str">
        <f>VLOOKUP(qhkz_4dqm[[#This Row],[fuel_type]],lookup!A:B,2,FALSE)</f>
        <v>Gasoline</v>
      </c>
      <c r="I16" s="2">
        <f ca="1">YEAR(TODAY())-qhkz_4dqm[[#This Row],[year]]</f>
        <v>2</v>
      </c>
      <c r="J16" s="2" t="str" cm="1">
        <f t="array" aca="1" ref="J16" ca="1">_xlfn.IFS(qhkz_4dqm[[#This Row],[vehicle_age]]&lt;=3,"Newer",qhkz_4dqm[[#This Row],[vehicle_age]]&lt;=9,"Mid-age",qhkz_4dqm[[#This Row],[vehicle_age]]&lt;=19,"Older",qhkz_4dqm[[#This Row],[vehicle_age]]&gt;=20,"Very Old")</f>
        <v>Newer</v>
      </c>
    </row>
    <row r="17" spans="1:10">
      <c r="A17" s="2">
        <v>24002323</v>
      </c>
      <c r="B17" s="2">
        <v>2400232301</v>
      </c>
      <c r="C17" s="2">
        <v>1</v>
      </c>
      <c r="D17" s="2">
        <v>2017</v>
      </c>
      <c r="E17" s="2">
        <v>1</v>
      </c>
      <c r="F17" s="2">
        <v>264.02999999999997</v>
      </c>
      <c r="G17" s="2">
        <v>637.92999999999995</v>
      </c>
      <c r="H17" s="2" t="str">
        <f>VLOOKUP(qhkz_4dqm[[#This Row],[fuel_type]],lookup!A:B,2,FALSE)</f>
        <v>Gasoline</v>
      </c>
      <c r="I17" s="2">
        <f ca="1">YEAR(TODAY())-qhkz_4dqm[[#This Row],[year]]</f>
        <v>9</v>
      </c>
      <c r="J17" s="2" t="str" cm="1">
        <f t="array" aca="1" ref="J17" ca="1">_xlfn.IFS(qhkz_4dqm[[#This Row],[vehicle_age]]&lt;=3,"Newer",qhkz_4dqm[[#This Row],[vehicle_age]]&lt;=9,"Mid-age",qhkz_4dqm[[#This Row],[vehicle_age]]&lt;=19,"Older",qhkz_4dqm[[#This Row],[vehicle_age]]&gt;=20,"Very Old")</f>
        <v>Mid-age</v>
      </c>
    </row>
    <row r="18" spans="1:10">
      <c r="A18" s="2">
        <v>24002413</v>
      </c>
      <c r="B18" s="2">
        <v>2400241301</v>
      </c>
      <c r="C18" s="2">
        <v>1</v>
      </c>
      <c r="D18" s="2">
        <v>2021</v>
      </c>
      <c r="E18" s="2">
        <v>1</v>
      </c>
      <c r="F18" s="2">
        <v>1192.1099999999999</v>
      </c>
      <c r="G18" s="2">
        <v>3513.41</v>
      </c>
      <c r="H18" s="2" t="str">
        <f>VLOOKUP(qhkz_4dqm[[#This Row],[fuel_type]],lookup!A:B,2,FALSE)</f>
        <v>Gasoline</v>
      </c>
      <c r="I18" s="2">
        <f ca="1">YEAR(TODAY())-qhkz_4dqm[[#This Row],[year]]</f>
        <v>5</v>
      </c>
      <c r="J18" s="2" t="str" cm="1">
        <f t="array" aca="1" ref="J18" ca="1">_xlfn.IFS(qhkz_4dqm[[#This Row],[vehicle_age]]&lt;=3,"Newer",qhkz_4dqm[[#This Row],[vehicle_age]]&lt;=9,"Mid-age",qhkz_4dqm[[#This Row],[vehicle_age]]&lt;=19,"Older",qhkz_4dqm[[#This Row],[vehicle_age]]&gt;=20,"Very Old")</f>
        <v>Mid-age</v>
      </c>
    </row>
    <row r="19" spans="1:10">
      <c r="A19" s="2">
        <v>24002447</v>
      </c>
      <c r="B19" s="2">
        <v>2400244701</v>
      </c>
      <c r="C19" s="2">
        <v>1</v>
      </c>
      <c r="D19" s="2">
        <v>2018</v>
      </c>
      <c r="E19" s="2">
        <v>1</v>
      </c>
      <c r="F19" s="2">
        <v>223.28</v>
      </c>
      <c r="G19" s="2">
        <v>202.86</v>
      </c>
      <c r="H19" s="2" t="str">
        <f>VLOOKUP(qhkz_4dqm[[#This Row],[fuel_type]],lookup!A:B,2,FALSE)</f>
        <v>Gasoline</v>
      </c>
      <c r="I19" s="2">
        <f ca="1">YEAR(TODAY())-qhkz_4dqm[[#This Row],[year]]</f>
        <v>8</v>
      </c>
      <c r="J19" s="2" t="str" cm="1">
        <f t="array" aca="1" ref="J19" ca="1">_xlfn.IFS(qhkz_4dqm[[#This Row],[vehicle_age]]&lt;=3,"Newer",qhkz_4dqm[[#This Row],[vehicle_age]]&lt;=9,"Mid-age",qhkz_4dqm[[#This Row],[vehicle_age]]&lt;=19,"Older",qhkz_4dqm[[#This Row],[vehicle_age]]&gt;=20,"Very Old")</f>
        <v>Mid-age</v>
      </c>
    </row>
    <row r="20" spans="1:10">
      <c r="A20" s="2">
        <v>24002550</v>
      </c>
      <c r="B20" s="2">
        <v>2400255001</v>
      </c>
      <c r="C20" s="2">
        <v>1</v>
      </c>
      <c r="D20" s="2">
        <v>2007</v>
      </c>
      <c r="E20" s="2">
        <v>1</v>
      </c>
      <c r="F20" s="2">
        <v>803.42</v>
      </c>
      <c r="G20" s="2">
        <v>677.13</v>
      </c>
      <c r="H20" s="2" t="str">
        <f>VLOOKUP(qhkz_4dqm[[#This Row],[fuel_type]],lookup!A:B,2,FALSE)</f>
        <v>Gasoline</v>
      </c>
      <c r="I20" s="2">
        <f ca="1">YEAR(TODAY())-qhkz_4dqm[[#This Row],[year]]</f>
        <v>19</v>
      </c>
      <c r="J20" s="2" t="str" cm="1">
        <f t="array" aca="1" ref="J20" ca="1">_xlfn.IFS(qhkz_4dqm[[#This Row],[vehicle_age]]&lt;=3,"Newer",qhkz_4dqm[[#This Row],[vehicle_age]]&lt;=9,"Mid-age",qhkz_4dqm[[#This Row],[vehicle_age]]&lt;=19,"Older",qhkz_4dqm[[#This Row],[vehicle_age]]&gt;=20,"Very Old")</f>
        <v>Older</v>
      </c>
    </row>
    <row r="21" spans="1:10">
      <c r="A21" s="2">
        <v>24002558</v>
      </c>
      <c r="B21" s="2">
        <v>2400255801</v>
      </c>
      <c r="C21" s="2">
        <v>1</v>
      </c>
      <c r="D21" s="2">
        <v>2021</v>
      </c>
      <c r="E21" s="2">
        <v>1</v>
      </c>
      <c r="F21" s="2">
        <v>202</v>
      </c>
      <c r="G21" s="2">
        <v>271.24</v>
      </c>
      <c r="H21" s="2" t="str">
        <f>VLOOKUP(qhkz_4dqm[[#This Row],[fuel_type]],lookup!A:B,2,FALSE)</f>
        <v>Gasoline</v>
      </c>
      <c r="I21" s="2">
        <f ca="1">YEAR(TODAY())-qhkz_4dqm[[#This Row],[year]]</f>
        <v>5</v>
      </c>
      <c r="J21" s="2" t="str" cm="1">
        <f t="array" aca="1" ref="J21" ca="1">_xlfn.IFS(qhkz_4dqm[[#This Row],[vehicle_age]]&lt;=3,"Newer",qhkz_4dqm[[#This Row],[vehicle_age]]&lt;=9,"Mid-age",qhkz_4dqm[[#This Row],[vehicle_age]]&lt;=19,"Older",qhkz_4dqm[[#This Row],[vehicle_age]]&gt;=20,"Very Old")</f>
        <v>Mid-age</v>
      </c>
    </row>
    <row r="22" spans="1:10">
      <c r="A22" s="2">
        <v>24002573</v>
      </c>
      <c r="B22" s="2">
        <v>2400257301</v>
      </c>
      <c r="C22" s="2">
        <v>1</v>
      </c>
      <c r="D22" s="2">
        <v>2021</v>
      </c>
      <c r="E22" s="2">
        <v>1</v>
      </c>
      <c r="F22" s="2">
        <v>768.43</v>
      </c>
      <c r="G22" s="2">
        <v>799.42</v>
      </c>
      <c r="H22" s="2" t="str">
        <f>VLOOKUP(qhkz_4dqm[[#This Row],[fuel_type]],lookup!A:B,2,FALSE)</f>
        <v>Gasoline</v>
      </c>
      <c r="I22" s="2">
        <f ca="1">YEAR(TODAY())-qhkz_4dqm[[#This Row],[year]]</f>
        <v>5</v>
      </c>
      <c r="J22" s="2" t="str" cm="1">
        <f t="array" aca="1" ref="J22" ca="1">_xlfn.IFS(qhkz_4dqm[[#This Row],[vehicle_age]]&lt;=3,"Newer",qhkz_4dqm[[#This Row],[vehicle_age]]&lt;=9,"Mid-age",qhkz_4dqm[[#This Row],[vehicle_age]]&lt;=19,"Older",qhkz_4dqm[[#This Row],[vehicle_age]]&gt;=20,"Very Old")</f>
        <v>Mid-age</v>
      </c>
    </row>
    <row r="23" spans="1:10">
      <c r="A23" s="2">
        <v>24002932</v>
      </c>
      <c r="B23" s="2">
        <v>2400293201</v>
      </c>
      <c r="C23" s="2">
        <v>1</v>
      </c>
      <c r="D23" s="2">
        <v>2023</v>
      </c>
      <c r="E23" s="2">
        <v>1</v>
      </c>
      <c r="F23" s="2">
        <v>190.44</v>
      </c>
      <c r="G23" s="2">
        <v>485.45</v>
      </c>
      <c r="H23" s="2" t="str">
        <f>VLOOKUP(qhkz_4dqm[[#This Row],[fuel_type]],lookup!A:B,2,FALSE)</f>
        <v>Gasoline</v>
      </c>
      <c r="I23" s="2">
        <f ca="1">YEAR(TODAY())-qhkz_4dqm[[#This Row],[year]]</f>
        <v>3</v>
      </c>
      <c r="J23" s="2" t="str" cm="1">
        <f t="array" aca="1" ref="J23" ca="1">_xlfn.IFS(qhkz_4dqm[[#This Row],[vehicle_age]]&lt;=3,"Newer",qhkz_4dqm[[#This Row],[vehicle_age]]&lt;=9,"Mid-age",qhkz_4dqm[[#This Row],[vehicle_age]]&lt;=19,"Older",qhkz_4dqm[[#This Row],[vehicle_age]]&gt;=20,"Very Old")</f>
        <v>Newer</v>
      </c>
    </row>
    <row r="24" spans="1:10">
      <c r="A24" s="2">
        <v>24003278</v>
      </c>
      <c r="B24" s="2">
        <v>2400327801</v>
      </c>
      <c r="C24" s="2">
        <v>1</v>
      </c>
      <c r="D24" s="2">
        <v>1992</v>
      </c>
      <c r="E24" s="2">
        <v>1</v>
      </c>
      <c r="F24" s="2">
        <v>35.950000000000003</v>
      </c>
      <c r="G24" s="2">
        <v>212.89</v>
      </c>
      <c r="H24" s="2" t="str">
        <f>VLOOKUP(qhkz_4dqm[[#This Row],[fuel_type]],lookup!A:B,2,FALSE)</f>
        <v>Gasoline</v>
      </c>
      <c r="I24" s="2">
        <f ca="1">YEAR(TODAY())-qhkz_4dqm[[#This Row],[year]]</f>
        <v>34</v>
      </c>
      <c r="J24" s="2" t="str" cm="1">
        <f t="array" aca="1" ref="J24" ca="1">_xlfn.IFS(qhkz_4dqm[[#This Row],[vehicle_age]]&lt;=3,"Newer",qhkz_4dqm[[#This Row],[vehicle_age]]&lt;=9,"Mid-age",qhkz_4dqm[[#This Row],[vehicle_age]]&lt;=19,"Older",qhkz_4dqm[[#This Row],[vehicle_age]]&gt;=20,"Very Old")</f>
        <v>Very Old</v>
      </c>
    </row>
    <row r="25" spans="1:10">
      <c r="A25" s="2">
        <v>24003280</v>
      </c>
      <c r="B25" s="2">
        <v>2400328001</v>
      </c>
      <c r="C25" s="2">
        <v>1</v>
      </c>
      <c r="D25" s="2">
        <v>2024</v>
      </c>
      <c r="E25" s="2">
        <v>1</v>
      </c>
      <c r="F25" s="2">
        <v>1049.2</v>
      </c>
      <c r="G25" s="2">
        <v>1191.45</v>
      </c>
      <c r="H25" s="2" t="str">
        <f>VLOOKUP(qhkz_4dqm[[#This Row],[fuel_type]],lookup!A:B,2,FALSE)</f>
        <v>Gasoline</v>
      </c>
      <c r="I25" s="2">
        <f ca="1">YEAR(TODAY())-qhkz_4dqm[[#This Row],[year]]</f>
        <v>2</v>
      </c>
      <c r="J25" s="2" t="str" cm="1">
        <f t="array" aca="1" ref="J25" ca="1">_xlfn.IFS(qhkz_4dqm[[#This Row],[vehicle_age]]&lt;=3,"Newer",qhkz_4dqm[[#This Row],[vehicle_age]]&lt;=9,"Mid-age",qhkz_4dqm[[#This Row],[vehicle_age]]&lt;=19,"Older",qhkz_4dqm[[#This Row],[vehicle_age]]&gt;=20,"Very Old")</f>
        <v>Newer</v>
      </c>
    </row>
    <row r="26" spans="1:10">
      <c r="A26" s="2">
        <v>24003320</v>
      </c>
      <c r="B26" s="2">
        <v>2400332001</v>
      </c>
      <c r="C26" s="2">
        <v>1</v>
      </c>
      <c r="D26" s="2">
        <v>2005</v>
      </c>
      <c r="E26" s="2">
        <v>1</v>
      </c>
      <c r="F26" s="2">
        <v>62.76</v>
      </c>
      <c r="G26" s="2">
        <v>175.64</v>
      </c>
      <c r="H26" s="2" t="str">
        <f>VLOOKUP(qhkz_4dqm[[#This Row],[fuel_type]],lookup!A:B,2,FALSE)</f>
        <v>Gasoline</v>
      </c>
      <c r="I26" s="2">
        <f ca="1">YEAR(TODAY())-qhkz_4dqm[[#This Row],[year]]</f>
        <v>21</v>
      </c>
      <c r="J26" s="2" t="str" cm="1">
        <f t="array" aca="1" ref="J26" ca="1">_xlfn.IFS(qhkz_4dqm[[#This Row],[vehicle_age]]&lt;=3,"Newer",qhkz_4dqm[[#This Row],[vehicle_age]]&lt;=9,"Mid-age",qhkz_4dqm[[#This Row],[vehicle_age]]&lt;=19,"Older",qhkz_4dqm[[#This Row],[vehicle_age]]&gt;=20,"Very Old")</f>
        <v>Very Old</v>
      </c>
    </row>
    <row r="27" spans="1:10">
      <c r="A27" s="2">
        <v>24003338</v>
      </c>
      <c r="B27" s="2">
        <v>2400333801</v>
      </c>
      <c r="C27" s="2">
        <v>1</v>
      </c>
      <c r="D27" s="2">
        <v>2019</v>
      </c>
      <c r="E27" s="2">
        <v>1</v>
      </c>
      <c r="F27" s="2">
        <v>244.46</v>
      </c>
      <c r="G27" s="2">
        <v>232.26</v>
      </c>
      <c r="H27" s="2" t="str">
        <f>VLOOKUP(qhkz_4dqm[[#This Row],[fuel_type]],lookup!A:B,2,FALSE)</f>
        <v>Gasoline</v>
      </c>
      <c r="I27" s="2">
        <f ca="1">YEAR(TODAY())-qhkz_4dqm[[#This Row],[year]]</f>
        <v>7</v>
      </c>
      <c r="J27" s="2" t="str" cm="1">
        <f t="array" aca="1" ref="J27" ca="1">_xlfn.IFS(qhkz_4dqm[[#This Row],[vehicle_age]]&lt;=3,"Newer",qhkz_4dqm[[#This Row],[vehicle_age]]&lt;=9,"Mid-age",qhkz_4dqm[[#This Row],[vehicle_age]]&lt;=19,"Older",qhkz_4dqm[[#This Row],[vehicle_age]]&gt;=20,"Very Old")</f>
        <v>Mid-age</v>
      </c>
    </row>
    <row r="28" spans="1:10">
      <c r="A28" s="2">
        <v>24003543</v>
      </c>
      <c r="B28" s="2">
        <v>2400354301</v>
      </c>
      <c r="C28" s="2">
        <v>1</v>
      </c>
      <c r="D28" s="2">
        <v>2023</v>
      </c>
      <c r="E28" s="2">
        <v>1</v>
      </c>
      <c r="F28" s="2">
        <v>393.79</v>
      </c>
      <c r="G28" s="2">
        <v>170.6</v>
      </c>
      <c r="H28" s="2" t="str">
        <f>VLOOKUP(qhkz_4dqm[[#This Row],[fuel_type]],lookup!A:B,2,FALSE)</f>
        <v>Gasoline</v>
      </c>
      <c r="I28" s="2">
        <f ca="1">YEAR(TODAY())-qhkz_4dqm[[#This Row],[year]]</f>
        <v>3</v>
      </c>
      <c r="J28" s="2" t="str" cm="1">
        <f t="array" aca="1" ref="J28" ca="1">_xlfn.IFS(qhkz_4dqm[[#This Row],[vehicle_age]]&lt;=3,"Newer",qhkz_4dqm[[#This Row],[vehicle_age]]&lt;=9,"Mid-age",qhkz_4dqm[[#This Row],[vehicle_age]]&lt;=19,"Older",qhkz_4dqm[[#This Row],[vehicle_age]]&gt;=20,"Very Old")</f>
        <v>Newer</v>
      </c>
    </row>
    <row r="29" spans="1:10">
      <c r="A29" s="2">
        <v>24003658</v>
      </c>
      <c r="B29" s="2">
        <v>2400365801</v>
      </c>
      <c r="C29" s="2">
        <v>1</v>
      </c>
      <c r="D29" s="2">
        <v>2019</v>
      </c>
      <c r="E29" s="2">
        <v>4</v>
      </c>
      <c r="F29" s="2">
        <v>142.58000000000001</v>
      </c>
      <c r="G29" s="2">
        <v>168.6</v>
      </c>
      <c r="H29" s="2" t="str">
        <f>VLOOKUP(qhkz_4dqm[[#This Row],[fuel_type]],lookup!A:B,2,FALSE)</f>
        <v>Electric</v>
      </c>
      <c r="I29" s="2">
        <f ca="1">YEAR(TODAY())-qhkz_4dqm[[#This Row],[year]]</f>
        <v>7</v>
      </c>
      <c r="J29" s="2" t="str" cm="1">
        <f t="array" aca="1" ref="J29" ca="1">_xlfn.IFS(qhkz_4dqm[[#This Row],[vehicle_age]]&lt;=3,"Newer",qhkz_4dqm[[#This Row],[vehicle_age]]&lt;=9,"Mid-age",qhkz_4dqm[[#This Row],[vehicle_age]]&lt;=19,"Older",qhkz_4dqm[[#This Row],[vehicle_age]]&gt;=20,"Very Old")</f>
        <v>Mid-age</v>
      </c>
    </row>
    <row r="30" spans="1:10">
      <c r="A30" s="2">
        <v>24004176</v>
      </c>
      <c r="B30" s="2">
        <v>2400417601</v>
      </c>
      <c r="C30" s="2">
        <v>1</v>
      </c>
      <c r="D30" s="2">
        <v>2016</v>
      </c>
      <c r="E30" s="2">
        <v>1</v>
      </c>
      <c r="F30" s="2">
        <v>277.45999999999998</v>
      </c>
      <c r="G30" s="2">
        <v>621.17999999999995</v>
      </c>
      <c r="H30" s="2" t="str">
        <f>VLOOKUP(qhkz_4dqm[[#This Row],[fuel_type]],lookup!A:B,2,FALSE)</f>
        <v>Gasoline</v>
      </c>
      <c r="I30" s="2">
        <f ca="1">YEAR(TODAY())-qhkz_4dqm[[#This Row],[year]]</f>
        <v>10</v>
      </c>
      <c r="J30" s="2" t="str" cm="1">
        <f t="array" aca="1" ref="J30" ca="1">_xlfn.IFS(qhkz_4dqm[[#This Row],[vehicle_age]]&lt;=3,"Newer",qhkz_4dqm[[#This Row],[vehicle_age]]&lt;=9,"Mid-age",qhkz_4dqm[[#This Row],[vehicle_age]]&lt;=19,"Older",qhkz_4dqm[[#This Row],[vehicle_age]]&gt;=20,"Very Old")</f>
        <v>Older</v>
      </c>
    </row>
    <row r="31" spans="1:10">
      <c r="A31" s="2">
        <v>24004291</v>
      </c>
      <c r="B31" s="2">
        <v>2400429101</v>
      </c>
      <c r="C31" s="2">
        <v>1</v>
      </c>
      <c r="D31" s="2">
        <v>2019</v>
      </c>
      <c r="E31" s="2">
        <v>1</v>
      </c>
      <c r="F31" s="2">
        <v>316.27999999999997</v>
      </c>
      <c r="G31" s="2">
        <v>400.15</v>
      </c>
      <c r="H31" s="2" t="str">
        <f>VLOOKUP(qhkz_4dqm[[#This Row],[fuel_type]],lookup!A:B,2,FALSE)</f>
        <v>Gasoline</v>
      </c>
      <c r="I31" s="2">
        <f ca="1">YEAR(TODAY())-qhkz_4dqm[[#This Row],[year]]</f>
        <v>7</v>
      </c>
      <c r="J31" s="2" t="str" cm="1">
        <f t="array" aca="1" ref="J31" ca="1">_xlfn.IFS(qhkz_4dqm[[#This Row],[vehicle_age]]&lt;=3,"Newer",qhkz_4dqm[[#This Row],[vehicle_age]]&lt;=9,"Mid-age",qhkz_4dqm[[#This Row],[vehicle_age]]&lt;=19,"Older",qhkz_4dqm[[#This Row],[vehicle_age]]&gt;=20,"Very Old")</f>
        <v>Mid-age</v>
      </c>
    </row>
    <row r="32" spans="1:10">
      <c r="A32" s="2">
        <v>24004548</v>
      </c>
      <c r="B32" s="2">
        <v>2400454801</v>
      </c>
      <c r="C32" s="2">
        <v>1</v>
      </c>
      <c r="D32" s="2">
        <v>2021</v>
      </c>
      <c r="E32" s="2">
        <v>1</v>
      </c>
      <c r="F32" s="2">
        <v>417.14</v>
      </c>
      <c r="G32" s="2">
        <v>221.69</v>
      </c>
      <c r="H32" s="2" t="str">
        <f>VLOOKUP(qhkz_4dqm[[#This Row],[fuel_type]],lookup!A:B,2,FALSE)</f>
        <v>Gasoline</v>
      </c>
      <c r="I32" s="2">
        <f ca="1">YEAR(TODAY())-qhkz_4dqm[[#This Row],[year]]</f>
        <v>5</v>
      </c>
      <c r="J32" s="2" t="str" cm="1">
        <f t="array" aca="1" ref="J32" ca="1">_xlfn.IFS(qhkz_4dqm[[#This Row],[vehicle_age]]&lt;=3,"Newer",qhkz_4dqm[[#This Row],[vehicle_age]]&lt;=9,"Mid-age",qhkz_4dqm[[#This Row],[vehicle_age]]&lt;=19,"Older",qhkz_4dqm[[#This Row],[vehicle_age]]&gt;=20,"Very Old")</f>
        <v>Mid-age</v>
      </c>
    </row>
    <row r="33" spans="1:10">
      <c r="A33" s="2">
        <v>24004585</v>
      </c>
      <c r="B33" s="2">
        <v>2400458501</v>
      </c>
      <c r="C33" s="2">
        <v>1</v>
      </c>
      <c r="D33" s="2">
        <v>2014</v>
      </c>
      <c r="E33" s="2">
        <v>1</v>
      </c>
      <c r="F33" s="2">
        <v>164.82</v>
      </c>
      <c r="G33" s="2">
        <v>351.09</v>
      </c>
      <c r="H33" s="2" t="str">
        <f>VLOOKUP(qhkz_4dqm[[#This Row],[fuel_type]],lookup!A:B,2,FALSE)</f>
        <v>Gasoline</v>
      </c>
      <c r="I33" s="2">
        <f ca="1">YEAR(TODAY())-qhkz_4dqm[[#This Row],[year]]</f>
        <v>12</v>
      </c>
      <c r="J33" s="2" t="str" cm="1">
        <f t="array" aca="1" ref="J33" ca="1">_xlfn.IFS(qhkz_4dqm[[#This Row],[vehicle_age]]&lt;=3,"Newer",qhkz_4dqm[[#This Row],[vehicle_age]]&lt;=9,"Mid-age",qhkz_4dqm[[#This Row],[vehicle_age]]&lt;=19,"Older",qhkz_4dqm[[#This Row],[vehicle_age]]&gt;=20,"Very Old")</f>
        <v>Older</v>
      </c>
    </row>
    <row r="34" spans="1:10">
      <c r="A34" s="2">
        <v>24004617</v>
      </c>
      <c r="B34" s="2">
        <v>2400461701</v>
      </c>
      <c r="C34" s="2">
        <v>1</v>
      </c>
      <c r="D34" s="2">
        <v>2021</v>
      </c>
      <c r="E34" s="2">
        <v>1</v>
      </c>
      <c r="F34" s="2">
        <v>419.48</v>
      </c>
      <c r="G34" s="2">
        <v>1761.39</v>
      </c>
      <c r="H34" s="2" t="str">
        <f>VLOOKUP(qhkz_4dqm[[#This Row],[fuel_type]],lookup!A:B,2,FALSE)</f>
        <v>Gasoline</v>
      </c>
      <c r="I34" s="2">
        <f ca="1">YEAR(TODAY())-qhkz_4dqm[[#This Row],[year]]</f>
        <v>5</v>
      </c>
      <c r="J34" s="2" t="str" cm="1">
        <f t="array" aca="1" ref="J34" ca="1">_xlfn.IFS(qhkz_4dqm[[#This Row],[vehicle_age]]&lt;=3,"Newer",qhkz_4dqm[[#This Row],[vehicle_age]]&lt;=9,"Mid-age",qhkz_4dqm[[#This Row],[vehicle_age]]&lt;=19,"Older",qhkz_4dqm[[#This Row],[vehicle_age]]&gt;=20,"Very Old")</f>
        <v>Mid-age</v>
      </c>
    </row>
    <row r="35" spans="1:10">
      <c r="A35" s="2">
        <v>24004629</v>
      </c>
      <c r="B35" s="2">
        <v>2400462901</v>
      </c>
      <c r="C35" s="2">
        <v>1</v>
      </c>
      <c r="D35" s="2">
        <v>2022</v>
      </c>
      <c r="E35" s="2">
        <v>2</v>
      </c>
      <c r="F35" s="2">
        <v>202</v>
      </c>
      <c r="G35" s="2">
        <v>271.24</v>
      </c>
      <c r="H35" s="2" t="str">
        <f>VLOOKUP(qhkz_4dqm[[#This Row],[fuel_type]],lookup!A:B,2,FALSE)</f>
        <v>Diesel</v>
      </c>
      <c r="I35" s="2">
        <f ca="1">YEAR(TODAY())-qhkz_4dqm[[#This Row],[year]]</f>
        <v>4</v>
      </c>
      <c r="J35" s="2" t="str" cm="1">
        <f t="array" aca="1" ref="J35" ca="1">_xlfn.IFS(qhkz_4dqm[[#This Row],[vehicle_age]]&lt;=3,"Newer",qhkz_4dqm[[#This Row],[vehicle_age]]&lt;=9,"Mid-age",qhkz_4dqm[[#This Row],[vehicle_age]]&lt;=19,"Older",qhkz_4dqm[[#This Row],[vehicle_age]]&gt;=20,"Very Old")</f>
        <v>Mid-age</v>
      </c>
    </row>
    <row r="36" spans="1:10">
      <c r="A36" s="2">
        <v>24004647</v>
      </c>
      <c r="B36" s="2">
        <v>2400464701</v>
      </c>
      <c r="C36" s="2">
        <v>1</v>
      </c>
      <c r="D36" s="2">
        <v>2023</v>
      </c>
      <c r="E36" s="2">
        <v>1</v>
      </c>
      <c r="F36" s="2">
        <v>416.84</v>
      </c>
      <c r="G36" s="2">
        <v>704.64</v>
      </c>
      <c r="H36" s="2" t="str">
        <f>VLOOKUP(qhkz_4dqm[[#This Row],[fuel_type]],lookup!A:B,2,FALSE)</f>
        <v>Gasoline</v>
      </c>
      <c r="I36" s="2">
        <f ca="1">YEAR(TODAY())-qhkz_4dqm[[#This Row],[year]]</f>
        <v>3</v>
      </c>
      <c r="J36" s="2" t="str" cm="1">
        <f t="array" aca="1" ref="J36" ca="1">_xlfn.IFS(qhkz_4dqm[[#This Row],[vehicle_age]]&lt;=3,"Newer",qhkz_4dqm[[#This Row],[vehicle_age]]&lt;=9,"Mid-age",qhkz_4dqm[[#This Row],[vehicle_age]]&lt;=19,"Older",qhkz_4dqm[[#This Row],[vehicle_age]]&gt;=20,"Very Old")</f>
        <v>Newer</v>
      </c>
    </row>
    <row r="37" spans="1:10">
      <c r="A37" s="2">
        <v>24004707</v>
      </c>
      <c r="B37" s="2">
        <v>2400470701</v>
      </c>
      <c r="C37" s="2">
        <v>1</v>
      </c>
      <c r="D37" s="2">
        <v>2021</v>
      </c>
      <c r="E37" s="2">
        <v>6</v>
      </c>
      <c r="F37" s="2">
        <v>564.22</v>
      </c>
      <c r="G37" s="2">
        <v>1127.79</v>
      </c>
      <c r="H37" s="2" t="str">
        <f>VLOOKUP(qhkz_4dqm[[#This Row],[fuel_type]],lookup!A:B,2,FALSE)</f>
        <v>Other</v>
      </c>
      <c r="I37" s="2">
        <f ca="1">YEAR(TODAY())-qhkz_4dqm[[#This Row],[year]]</f>
        <v>5</v>
      </c>
      <c r="J37" s="2" t="str" cm="1">
        <f t="array" aca="1" ref="J37" ca="1">_xlfn.IFS(qhkz_4dqm[[#This Row],[vehicle_age]]&lt;=3,"Newer",qhkz_4dqm[[#This Row],[vehicle_age]]&lt;=9,"Mid-age",qhkz_4dqm[[#This Row],[vehicle_age]]&lt;=19,"Older",qhkz_4dqm[[#This Row],[vehicle_age]]&gt;=20,"Very Old")</f>
        <v>Mid-age</v>
      </c>
    </row>
    <row r="38" spans="1:10">
      <c r="A38" s="2">
        <v>24004956</v>
      </c>
      <c r="B38" s="2">
        <v>2400495601</v>
      </c>
      <c r="C38" s="2">
        <v>1</v>
      </c>
      <c r="D38" s="2">
        <v>2000</v>
      </c>
      <c r="E38" s="2">
        <v>1</v>
      </c>
      <c r="F38" s="2">
        <v>384.98</v>
      </c>
      <c r="G38" s="2">
        <v>1705.66</v>
      </c>
      <c r="H38" s="2" t="str">
        <f>VLOOKUP(qhkz_4dqm[[#This Row],[fuel_type]],lookup!A:B,2,FALSE)</f>
        <v>Gasoline</v>
      </c>
      <c r="I38" s="2">
        <f ca="1">YEAR(TODAY())-qhkz_4dqm[[#This Row],[year]]</f>
        <v>26</v>
      </c>
      <c r="J38" s="2" t="str" cm="1">
        <f t="array" aca="1" ref="J38" ca="1">_xlfn.IFS(qhkz_4dqm[[#This Row],[vehicle_age]]&lt;=3,"Newer",qhkz_4dqm[[#This Row],[vehicle_age]]&lt;=9,"Mid-age",qhkz_4dqm[[#This Row],[vehicle_age]]&lt;=19,"Older",qhkz_4dqm[[#This Row],[vehicle_age]]&gt;=20,"Very Old")</f>
        <v>Very Old</v>
      </c>
    </row>
    <row r="39" spans="1:10">
      <c r="A39" s="2">
        <v>24005254</v>
      </c>
      <c r="B39" s="2">
        <v>2400525401</v>
      </c>
      <c r="C39" s="2">
        <v>1</v>
      </c>
      <c r="D39" s="2">
        <v>2023</v>
      </c>
      <c r="E39" s="2">
        <v>1</v>
      </c>
      <c r="F39" s="2">
        <v>781.93</v>
      </c>
      <c r="G39" s="2">
        <v>1736.12</v>
      </c>
      <c r="H39" s="2" t="str">
        <f>VLOOKUP(qhkz_4dqm[[#This Row],[fuel_type]],lookup!A:B,2,FALSE)</f>
        <v>Gasoline</v>
      </c>
      <c r="I39" s="2">
        <f ca="1">YEAR(TODAY())-qhkz_4dqm[[#This Row],[year]]</f>
        <v>3</v>
      </c>
      <c r="J39" s="2" t="str" cm="1">
        <f t="array" aca="1" ref="J39" ca="1">_xlfn.IFS(qhkz_4dqm[[#This Row],[vehicle_age]]&lt;=3,"Newer",qhkz_4dqm[[#This Row],[vehicle_age]]&lt;=9,"Mid-age",qhkz_4dqm[[#This Row],[vehicle_age]]&lt;=19,"Older",qhkz_4dqm[[#This Row],[vehicle_age]]&gt;=20,"Very Old")</f>
        <v>Newer</v>
      </c>
    </row>
    <row r="40" spans="1:10">
      <c r="A40" s="2">
        <v>24005300</v>
      </c>
      <c r="B40" s="2">
        <v>2400530001</v>
      </c>
      <c r="C40" s="2">
        <v>1</v>
      </c>
      <c r="D40" s="2">
        <v>2013</v>
      </c>
      <c r="E40" s="2">
        <v>1</v>
      </c>
      <c r="F40" s="2">
        <v>1517.25</v>
      </c>
      <c r="G40" s="2">
        <v>3571.42</v>
      </c>
      <c r="H40" s="2" t="str">
        <f>VLOOKUP(qhkz_4dqm[[#This Row],[fuel_type]],lookup!A:B,2,FALSE)</f>
        <v>Gasoline</v>
      </c>
      <c r="I40" s="2">
        <f ca="1">YEAR(TODAY())-qhkz_4dqm[[#This Row],[year]]</f>
        <v>13</v>
      </c>
      <c r="J40" s="2" t="str" cm="1">
        <f t="array" aca="1" ref="J40" ca="1">_xlfn.IFS(qhkz_4dqm[[#This Row],[vehicle_age]]&lt;=3,"Newer",qhkz_4dqm[[#This Row],[vehicle_age]]&lt;=9,"Mid-age",qhkz_4dqm[[#This Row],[vehicle_age]]&lt;=19,"Older",qhkz_4dqm[[#This Row],[vehicle_age]]&gt;=20,"Very Old")</f>
        <v>Older</v>
      </c>
    </row>
    <row r="41" spans="1:10">
      <c r="A41" s="2">
        <v>24005346</v>
      </c>
      <c r="B41" s="2">
        <v>2400534601</v>
      </c>
      <c r="C41" s="2">
        <v>1</v>
      </c>
      <c r="D41" s="2">
        <v>2012</v>
      </c>
      <c r="E41" s="2">
        <v>1</v>
      </c>
      <c r="F41" s="2">
        <v>169.47</v>
      </c>
      <c r="G41" s="2">
        <v>358.37</v>
      </c>
      <c r="H41" s="2" t="str">
        <f>VLOOKUP(qhkz_4dqm[[#This Row],[fuel_type]],lookup!A:B,2,FALSE)</f>
        <v>Gasoline</v>
      </c>
      <c r="I41" s="2">
        <f ca="1">YEAR(TODAY())-qhkz_4dqm[[#This Row],[year]]</f>
        <v>14</v>
      </c>
      <c r="J41" s="2" t="str" cm="1">
        <f t="array" aca="1" ref="J41" ca="1">_xlfn.IFS(qhkz_4dqm[[#This Row],[vehicle_age]]&lt;=3,"Newer",qhkz_4dqm[[#This Row],[vehicle_age]]&lt;=9,"Mid-age",qhkz_4dqm[[#This Row],[vehicle_age]]&lt;=19,"Older",qhkz_4dqm[[#This Row],[vehicle_age]]&gt;=20,"Very Old")</f>
        <v>Older</v>
      </c>
    </row>
    <row r="42" spans="1:10">
      <c r="A42" s="2">
        <v>24005381</v>
      </c>
      <c r="B42" s="2">
        <v>2400538101</v>
      </c>
      <c r="C42" s="2">
        <v>1</v>
      </c>
      <c r="D42" s="2">
        <v>2010</v>
      </c>
      <c r="E42" s="2">
        <v>1</v>
      </c>
      <c r="F42" s="2">
        <v>750.69</v>
      </c>
      <c r="G42" s="2">
        <v>1137.21</v>
      </c>
      <c r="H42" s="2" t="str">
        <f>VLOOKUP(qhkz_4dqm[[#This Row],[fuel_type]],lookup!A:B,2,FALSE)</f>
        <v>Gasoline</v>
      </c>
      <c r="I42" s="2">
        <f ca="1">YEAR(TODAY())-qhkz_4dqm[[#This Row],[year]]</f>
        <v>16</v>
      </c>
      <c r="J42" s="2" t="str" cm="1">
        <f t="array" aca="1" ref="J42" ca="1">_xlfn.IFS(qhkz_4dqm[[#This Row],[vehicle_age]]&lt;=3,"Newer",qhkz_4dqm[[#This Row],[vehicle_age]]&lt;=9,"Mid-age",qhkz_4dqm[[#This Row],[vehicle_age]]&lt;=19,"Older",qhkz_4dqm[[#This Row],[vehicle_age]]&gt;=20,"Very Old")</f>
        <v>Older</v>
      </c>
    </row>
    <row r="43" spans="1:10">
      <c r="A43" s="2">
        <v>24005455</v>
      </c>
      <c r="B43" s="2">
        <v>2400545501</v>
      </c>
      <c r="C43" s="2">
        <v>1</v>
      </c>
      <c r="D43" s="2">
        <v>2014</v>
      </c>
      <c r="E43" s="2">
        <v>1</v>
      </c>
      <c r="F43" s="2">
        <v>206.99</v>
      </c>
      <c r="G43" s="2">
        <v>369.52</v>
      </c>
      <c r="H43" s="2" t="str">
        <f>VLOOKUP(qhkz_4dqm[[#This Row],[fuel_type]],lookup!A:B,2,FALSE)</f>
        <v>Gasoline</v>
      </c>
      <c r="I43" s="2">
        <f ca="1">YEAR(TODAY())-qhkz_4dqm[[#This Row],[year]]</f>
        <v>12</v>
      </c>
      <c r="J43" s="2" t="str" cm="1">
        <f t="array" aca="1" ref="J43" ca="1">_xlfn.IFS(qhkz_4dqm[[#This Row],[vehicle_age]]&lt;=3,"Newer",qhkz_4dqm[[#This Row],[vehicle_age]]&lt;=9,"Mid-age",qhkz_4dqm[[#This Row],[vehicle_age]]&lt;=19,"Older",qhkz_4dqm[[#This Row],[vehicle_age]]&gt;=20,"Very Old")</f>
        <v>Older</v>
      </c>
    </row>
    <row r="44" spans="1:10">
      <c r="A44" s="2">
        <v>24005576</v>
      </c>
      <c r="B44" s="2">
        <v>2400557601</v>
      </c>
      <c r="C44" s="2">
        <v>1</v>
      </c>
      <c r="D44" s="2">
        <v>2019</v>
      </c>
      <c r="E44" s="2">
        <v>1</v>
      </c>
      <c r="F44" s="2">
        <v>149.58000000000001</v>
      </c>
      <c r="G44" s="2">
        <v>221.42</v>
      </c>
      <c r="H44" s="2" t="str">
        <f>VLOOKUP(qhkz_4dqm[[#This Row],[fuel_type]],lookup!A:B,2,FALSE)</f>
        <v>Gasoline</v>
      </c>
      <c r="I44" s="2">
        <f ca="1">YEAR(TODAY())-qhkz_4dqm[[#This Row],[year]]</f>
        <v>7</v>
      </c>
      <c r="J44" s="2" t="str" cm="1">
        <f t="array" aca="1" ref="J44" ca="1">_xlfn.IFS(qhkz_4dqm[[#This Row],[vehicle_age]]&lt;=3,"Newer",qhkz_4dqm[[#This Row],[vehicle_age]]&lt;=9,"Mid-age",qhkz_4dqm[[#This Row],[vehicle_age]]&lt;=19,"Older",qhkz_4dqm[[#This Row],[vehicle_age]]&gt;=20,"Very Old")</f>
        <v>Mid-age</v>
      </c>
    </row>
    <row r="45" spans="1:10">
      <c r="A45" s="2">
        <v>24005606</v>
      </c>
      <c r="B45" s="2">
        <v>2400560601</v>
      </c>
      <c r="C45" s="2">
        <v>1</v>
      </c>
      <c r="D45" s="2">
        <v>2015</v>
      </c>
      <c r="E45" s="2">
        <v>1</v>
      </c>
      <c r="F45" s="2">
        <v>101.14</v>
      </c>
      <c r="G45" s="2">
        <v>208.79</v>
      </c>
      <c r="H45" s="2" t="str">
        <f>VLOOKUP(qhkz_4dqm[[#This Row],[fuel_type]],lookup!A:B,2,FALSE)</f>
        <v>Gasoline</v>
      </c>
      <c r="I45" s="2">
        <f ca="1">YEAR(TODAY())-qhkz_4dqm[[#This Row],[year]]</f>
        <v>11</v>
      </c>
      <c r="J45" s="2" t="str" cm="1">
        <f t="array" aca="1" ref="J45" ca="1">_xlfn.IFS(qhkz_4dqm[[#This Row],[vehicle_age]]&lt;=3,"Newer",qhkz_4dqm[[#This Row],[vehicle_age]]&lt;=9,"Mid-age",qhkz_4dqm[[#This Row],[vehicle_age]]&lt;=19,"Older",qhkz_4dqm[[#This Row],[vehicle_age]]&gt;=20,"Very Old")</f>
        <v>Older</v>
      </c>
    </row>
    <row r="46" spans="1:10">
      <c r="A46" s="2">
        <v>24005642</v>
      </c>
      <c r="B46" s="2">
        <v>2400564201</v>
      </c>
      <c r="C46" s="2">
        <v>1</v>
      </c>
      <c r="D46" s="2">
        <v>2007</v>
      </c>
      <c r="E46" s="2">
        <v>1</v>
      </c>
      <c r="F46" s="2">
        <v>205.14</v>
      </c>
      <c r="G46" s="2">
        <v>730.08</v>
      </c>
      <c r="H46" s="2" t="str">
        <f>VLOOKUP(qhkz_4dqm[[#This Row],[fuel_type]],lookup!A:B,2,FALSE)</f>
        <v>Gasoline</v>
      </c>
      <c r="I46" s="2">
        <f ca="1">YEAR(TODAY())-qhkz_4dqm[[#This Row],[year]]</f>
        <v>19</v>
      </c>
      <c r="J46" s="2" t="str" cm="1">
        <f t="array" aca="1" ref="J46" ca="1">_xlfn.IFS(qhkz_4dqm[[#This Row],[vehicle_age]]&lt;=3,"Newer",qhkz_4dqm[[#This Row],[vehicle_age]]&lt;=9,"Mid-age",qhkz_4dqm[[#This Row],[vehicle_age]]&lt;=19,"Older",qhkz_4dqm[[#This Row],[vehicle_age]]&gt;=20,"Very Old")</f>
        <v>Older</v>
      </c>
    </row>
    <row r="47" spans="1:10">
      <c r="A47" s="2">
        <v>24005920</v>
      </c>
      <c r="B47" s="2">
        <v>2400592001</v>
      </c>
      <c r="C47" s="2">
        <v>1</v>
      </c>
      <c r="D47" s="2">
        <v>2015</v>
      </c>
      <c r="E47" s="2">
        <v>1</v>
      </c>
      <c r="F47" s="2">
        <v>233.18</v>
      </c>
      <c r="G47" s="2">
        <v>1219.7</v>
      </c>
      <c r="H47" s="2" t="str">
        <f>VLOOKUP(qhkz_4dqm[[#This Row],[fuel_type]],lookup!A:B,2,FALSE)</f>
        <v>Gasoline</v>
      </c>
      <c r="I47" s="2">
        <f ca="1">YEAR(TODAY())-qhkz_4dqm[[#This Row],[year]]</f>
        <v>11</v>
      </c>
      <c r="J47" s="2" t="str" cm="1">
        <f t="array" aca="1" ref="J47" ca="1">_xlfn.IFS(qhkz_4dqm[[#This Row],[vehicle_age]]&lt;=3,"Newer",qhkz_4dqm[[#This Row],[vehicle_age]]&lt;=9,"Mid-age",qhkz_4dqm[[#This Row],[vehicle_age]]&lt;=19,"Older",qhkz_4dqm[[#This Row],[vehicle_age]]&gt;=20,"Very Old")</f>
        <v>Older</v>
      </c>
    </row>
    <row r="48" spans="1:10">
      <c r="A48" s="2">
        <v>24005977</v>
      </c>
      <c r="B48" s="2">
        <v>2400597701</v>
      </c>
      <c r="C48" s="2">
        <v>1</v>
      </c>
      <c r="D48" s="2">
        <v>2019</v>
      </c>
      <c r="E48" s="2">
        <v>1</v>
      </c>
      <c r="F48" s="2">
        <v>112.58</v>
      </c>
      <c r="G48" s="2">
        <v>219.83</v>
      </c>
      <c r="H48" s="2" t="str">
        <f>VLOOKUP(qhkz_4dqm[[#This Row],[fuel_type]],lookup!A:B,2,FALSE)</f>
        <v>Gasoline</v>
      </c>
      <c r="I48" s="2">
        <f ca="1">YEAR(TODAY())-qhkz_4dqm[[#This Row],[year]]</f>
        <v>7</v>
      </c>
      <c r="J48" s="2" t="str" cm="1">
        <f t="array" aca="1" ref="J48" ca="1">_xlfn.IFS(qhkz_4dqm[[#This Row],[vehicle_age]]&lt;=3,"Newer",qhkz_4dqm[[#This Row],[vehicle_age]]&lt;=9,"Mid-age",qhkz_4dqm[[#This Row],[vehicle_age]]&lt;=19,"Older",qhkz_4dqm[[#This Row],[vehicle_age]]&gt;=20,"Very Old")</f>
        <v>Mid-age</v>
      </c>
    </row>
    <row r="49" spans="1:10">
      <c r="A49" s="2">
        <v>24006095</v>
      </c>
      <c r="B49" s="2">
        <v>2400609501</v>
      </c>
      <c r="C49" s="2">
        <v>1</v>
      </c>
      <c r="D49" s="2">
        <v>2024</v>
      </c>
      <c r="E49" s="2">
        <v>1</v>
      </c>
      <c r="F49" s="2">
        <v>93.86</v>
      </c>
      <c r="G49" s="2">
        <v>131.69</v>
      </c>
      <c r="H49" s="2" t="str">
        <f>VLOOKUP(qhkz_4dqm[[#This Row],[fuel_type]],lookup!A:B,2,FALSE)</f>
        <v>Gasoline</v>
      </c>
      <c r="I49" s="2">
        <f ca="1">YEAR(TODAY())-qhkz_4dqm[[#This Row],[year]]</f>
        <v>2</v>
      </c>
      <c r="J49" s="2" t="str" cm="1">
        <f t="array" aca="1" ref="J49" ca="1">_xlfn.IFS(qhkz_4dqm[[#This Row],[vehicle_age]]&lt;=3,"Newer",qhkz_4dqm[[#This Row],[vehicle_age]]&lt;=9,"Mid-age",qhkz_4dqm[[#This Row],[vehicle_age]]&lt;=19,"Older",qhkz_4dqm[[#This Row],[vehicle_age]]&gt;=20,"Very Old")</f>
        <v>Newer</v>
      </c>
    </row>
    <row r="50" spans="1:10">
      <c r="A50" s="2">
        <v>24006137</v>
      </c>
      <c r="B50" s="2">
        <v>2400613701</v>
      </c>
      <c r="C50" s="2">
        <v>1</v>
      </c>
      <c r="D50" s="2">
        <v>2009</v>
      </c>
      <c r="E50" s="2">
        <v>1</v>
      </c>
      <c r="F50" s="2">
        <v>416.23</v>
      </c>
      <c r="G50" s="2">
        <v>861.71</v>
      </c>
      <c r="H50" s="2" t="str">
        <f>VLOOKUP(qhkz_4dqm[[#This Row],[fuel_type]],lookup!A:B,2,FALSE)</f>
        <v>Gasoline</v>
      </c>
      <c r="I50" s="2">
        <f ca="1">YEAR(TODAY())-qhkz_4dqm[[#This Row],[year]]</f>
        <v>17</v>
      </c>
      <c r="J50" s="2" t="str" cm="1">
        <f t="array" aca="1" ref="J50" ca="1">_xlfn.IFS(qhkz_4dqm[[#This Row],[vehicle_age]]&lt;=3,"Newer",qhkz_4dqm[[#This Row],[vehicle_age]]&lt;=9,"Mid-age",qhkz_4dqm[[#This Row],[vehicle_age]]&lt;=19,"Older",qhkz_4dqm[[#This Row],[vehicle_age]]&gt;=20,"Very Old")</f>
        <v>Older</v>
      </c>
    </row>
    <row r="51" spans="1:10">
      <c r="A51" s="2">
        <v>24006317</v>
      </c>
      <c r="B51" s="2">
        <v>2400631701</v>
      </c>
      <c r="C51" s="2">
        <v>1</v>
      </c>
      <c r="D51" s="2">
        <v>2018</v>
      </c>
      <c r="E51" s="2">
        <v>1</v>
      </c>
      <c r="F51" s="2">
        <v>192.75</v>
      </c>
      <c r="G51" s="2">
        <v>425.9</v>
      </c>
      <c r="H51" s="2" t="str">
        <f>VLOOKUP(qhkz_4dqm[[#This Row],[fuel_type]],lookup!A:B,2,FALSE)</f>
        <v>Gasoline</v>
      </c>
      <c r="I51" s="2">
        <f ca="1">YEAR(TODAY())-qhkz_4dqm[[#This Row],[year]]</f>
        <v>8</v>
      </c>
      <c r="J51" s="2" t="str" cm="1">
        <f t="array" aca="1" ref="J51" ca="1">_xlfn.IFS(qhkz_4dqm[[#This Row],[vehicle_age]]&lt;=3,"Newer",qhkz_4dqm[[#This Row],[vehicle_age]]&lt;=9,"Mid-age",qhkz_4dqm[[#This Row],[vehicle_age]]&lt;=19,"Older",qhkz_4dqm[[#This Row],[vehicle_age]]&gt;=20,"Very Old")</f>
        <v>Mid-age</v>
      </c>
    </row>
    <row r="52" spans="1:10">
      <c r="A52" s="2">
        <v>24006881</v>
      </c>
      <c r="B52" s="2">
        <v>2400688101</v>
      </c>
      <c r="C52" s="2">
        <v>1</v>
      </c>
      <c r="D52" s="2">
        <v>2010</v>
      </c>
      <c r="E52" s="2">
        <v>1</v>
      </c>
      <c r="F52" s="2">
        <v>915</v>
      </c>
      <c r="G52" s="2">
        <v>1279.99</v>
      </c>
      <c r="H52" s="2" t="str">
        <f>VLOOKUP(qhkz_4dqm[[#This Row],[fuel_type]],lookup!A:B,2,FALSE)</f>
        <v>Gasoline</v>
      </c>
      <c r="I52" s="2">
        <f ca="1">YEAR(TODAY())-qhkz_4dqm[[#This Row],[year]]</f>
        <v>16</v>
      </c>
      <c r="J52" s="2" t="str" cm="1">
        <f t="array" aca="1" ref="J52" ca="1">_xlfn.IFS(qhkz_4dqm[[#This Row],[vehicle_age]]&lt;=3,"Newer",qhkz_4dqm[[#This Row],[vehicle_age]]&lt;=9,"Mid-age",qhkz_4dqm[[#This Row],[vehicle_age]]&lt;=19,"Older",qhkz_4dqm[[#This Row],[vehicle_age]]&gt;=20,"Very Old")</f>
        <v>Older</v>
      </c>
    </row>
    <row r="53" spans="1:10">
      <c r="A53" s="2">
        <v>24006949</v>
      </c>
      <c r="B53" s="2">
        <v>2400694901</v>
      </c>
      <c r="C53" s="2">
        <v>1</v>
      </c>
      <c r="D53" s="2">
        <v>2023</v>
      </c>
      <c r="E53" s="2">
        <v>1</v>
      </c>
      <c r="F53" s="2">
        <v>1730.37</v>
      </c>
      <c r="G53" s="2">
        <v>2885.17</v>
      </c>
      <c r="H53" s="2" t="str">
        <f>VLOOKUP(qhkz_4dqm[[#This Row],[fuel_type]],lookup!A:B,2,FALSE)</f>
        <v>Gasoline</v>
      </c>
      <c r="I53" s="2">
        <f ca="1">YEAR(TODAY())-qhkz_4dqm[[#This Row],[year]]</f>
        <v>3</v>
      </c>
      <c r="J53" s="2" t="str" cm="1">
        <f t="array" aca="1" ref="J53" ca="1">_xlfn.IFS(qhkz_4dqm[[#This Row],[vehicle_age]]&lt;=3,"Newer",qhkz_4dqm[[#This Row],[vehicle_age]]&lt;=9,"Mid-age",qhkz_4dqm[[#This Row],[vehicle_age]]&lt;=19,"Older",qhkz_4dqm[[#This Row],[vehicle_age]]&gt;=20,"Very Old")</f>
        <v>Newer</v>
      </c>
    </row>
    <row r="54" spans="1:10">
      <c r="A54" s="2">
        <v>24007173</v>
      </c>
      <c r="B54" s="2">
        <v>2400717301</v>
      </c>
      <c r="C54" s="2">
        <v>1</v>
      </c>
      <c r="D54" s="2">
        <v>2005</v>
      </c>
      <c r="E54" s="2">
        <v>1</v>
      </c>
      <c r="F54" s="2">
        <v>590.79</v>
      </c>
      <c r="G54" s="2">
        <v>1504.34</v>
      </c>
      <c r="H54" s="2" t="str">
        <f>VLOOKUP(qhkz_4dqm[[#This Row],[fuel_type]],lookup!A:B,2,FALSE)</f>
        <v>Gasoline</v>
      </c>
      <c r="I54" s="2">
        <f ca="1">YEAR(TODAY())-qhkz_4dqm[[#This Row],[year]]</f>
        <v>21</v>
      </c>
      <c r="J54" s="2" t="str" cm="1">
        <f t="array" aca="1" ref="J54" ca="1">_xlfn.IFS(qhkz_4dqm[[#This Row],[vehicle_age]]&lt;=3,"Newer",qhkz_4dqm[[#This Row],[vehicle_age]]&lt;=9,"Mid-age",qhkz_4dqm[[#This Row],[vehicle_age]]&lt;=19,"Older",qhkz_4dqm[[#This Row],[vehicle_age]]&gt;=20,"Very Old")</f>
        <v>Very Old</v>
      </c>
    </row>
    <row r="55" spans="1:10">
      <c r="A55" s="2">
        <v>24007194</v>
      </c>
      <c r="B55" s="2">
        <v>2400719401</v>
      </c>
      <c r="C55" s="2">
        <v>1</v>
      </c>
      <c r="D55" s="2">
        <v>2004</v>
      </c>
      <c r="E55" s="2">
        <v>1</v>
      </c>
      <c r="F55" s="2">
        <v>342.07</v>
      </c>
      <c r="G55" s="2">
        <v>1155.08</v>
      </c>
      <c r="H55" s="2" t="str">
        <f>VLOOKUP(qhkz_4dqm[[#This Row],[fuel_type]],lookup!A:B,2,FALSE)</f>
        <v>Gasoline</v>
      </c>
      <c r="I55" s="2">
        <f ca="1">YEAR(TODAY())-qhkz_4dqm[[#This Row],[year]]</f>
        <v>22</v>
      </c>
      <c r="J55" s="2" t="str" cm="1">
        <f t="array" aca="1" ref="J55" ca="1">_xlfn.IFS(qhkz_4dqm[[#This Row],[vehicle_age]]&lt;=3,"Newer",qhkz_4dqm[[#This Row],[vehicle_age]]&lt;=9,"Mid-age",qhkz_4dqm[[#This Row],[vehicle_age]]&lt;=19,"Older",qhkz_4dqm[[#This Row],[vehicle_age]]&gt;=20,"Very Old")</f>
        <v>Very Old</v>
      </c>
    </row>
    <row r="56" spans="1:10">
      <c r="A56" s="2">
        <v>24007216</v>
      </c>
      <c r="B56" s="2">
        <v>2400721601</v>
      </c>
      <c r="C56" s="2">
        <v>1</v>
      </c>
      <c r="D56" s="2">
        <v>2023</v>
      </c>
      <c r="E56" s="2">
        <v>1</v>
      </c>
      <c r="F56" s="2">
        <v>1546</v>
      </c>
      <c r="G56" s="2">
        <v>1532.91</v>
      </c>
      <c r="H56" s="2" t="str">
        <f>VLOOKUP(qhkz_4dqm[[#This Row],[fuel_type]],lookup!A:B,2,FALSE)</f>
        <v>Gasoline</v>
      </c>
      <c r="I56" s="2">
        <f ca="1">YEAR(TODAY())-qhkz_4dqm[[#This Row],[year]]</f>
        <v>3</v>
      </c>
      <c r="J56" s="2" t="str" cm="1">
        <f t="array" aca="1" ref="J56" ca="1">_xlfn.IFS(qhkz_4dqm[[#This Row],[vehicle_age]]&lt;=3,"Newer",qhkz_4dqm[[#This Row],[vehicle_age]]&lt;=9,"Mid-age",qhkz_4dqm[[#This Row],[vehicle_age]]&lt;=19,"Older",qhkz_4dqm[[#This Row],[vehicle_age]]&gt;=20,"Very Old")</f>
        <v>Newer</v>
      </c>
    </row>
    <row r="57" spans="1:10">
      <c r="A57" s="2">
        <v>24007288</v>
      </c>
      <c r="B57" s="2">
        <v>2400728801</v>
      </c>
      <c r="C57" s="2">
        <v>1</v>
      </c>
      <c r="D57" s="2">
        <v>2021</v>
      </c>
      <c r="E57" s="2">
        <v>1</v>
      </c>
      <c r="F57" s="2">
        <v>165.32</v>
      </c>
      <c r="G57" s="2">
        <v>1606.76</v>
      </c>
      <c r="H57" s="2" t="str">
        <f>VLOOKUP(qhkz_4dqm[[#This Row],[fuel_type]],lookup!A:B,2,FALSE)</f>
        <v>Gasoline</v>
      </c>
      <c r="I57" s="2">
        <f ca="1">YEAR(TODAY())-qhkz_4dqm[[#This Row],[year]]</f>
        <v>5</v>
      </c>
      <c r="J57" s="2" t="str" cm="1">
        <f t="array" aca="1" ref="J57" ca="1">_xlfn.IFS(qhkz_4dqm[[#This Row],[vehicle_age]]&lt;=3,"Newer",qhkz_4dqm[[#This Row],[vehicle_age]]&lt;=9,"Mid-age",qhkz_4dqm[[#This Row],[vehicle_age]]&lt;=19,"Older",qhkz_4dqm[[#This Row],[vehicle_age]]&gt;=20,"Very Old")</f>
        <v>Mid-age</v>
      </c>
    </row>
    <row r="58" spans="1:10">
      <c r="A58" s="2">
        <v>24007461</v>
      </c>
      <c r="B58" s="2">
        <v>2400746101</v>
      </c>
      <c r="C58" s="2">
        <v>1</v>
      </c>
      <c r="D58" s="2">
        <v>2023</v>
      </c>
      <c r="E58" s="2">
        <v>1</v>
      </c>
      <c r="F58" s="2">
        <v>1022.13</v>
      </c>
      <c r="G58" s="2">
        <v>519.03</v>
      </c>
      <c r="H58" s="2" t="str">
        <f>VLOOKUP(qhkz_4dqm[[#This Row],[fuel_type]],lookup!A:B,2,FALSE)</f>
        <v>Gasoline</v>
      </c>
      <c r="I58" s="2">
        <f ca="1">YEAR(TODAY())-qhkz_4dqm[[#This Row],[year]]</f>
        <v>3</v>
      </c>
      <c r="J58" s="2" t="str" cm="1">
        <f t="array" aca="1" ref="J58" ca="1">_xlfn.IFS(qhkz_4dqm[[#This Row],[vehicle_age]]&lt;=3,"Newer",qhkz_4dqm[[#This Row],[vehicle_age]]&lt;=9,"Mid-age",qhkz_4dqm[[#This Row],[vehicle_age]]&lt;=19,"Older",qhkz_4dqm[[#This Row],[vehicle_age]]&gt;=20,"Very Old")</f>
        <v>Newer</v>
      </c>
    </row>
    <row r="59" spans="1:10">
      <c r="A59" s="2">
        <v>24007595</v>
      </c>
      <c r="B59" s="2">
        <v>2400759501</v>
      </c>
      <c r="C59" s="2">
        <v>1</v>
      </c>
      <c r="D59" s="2">
        <v>2014</v>
      </c>
      <c r="E59" s="2">
        <v>1</v>
      </c>
      <c r="F59" s="2">
        <v>98.47</v>
      </c>
      <c r="G59" s="2">
        <v>172.94</v>
      </c>
      <c r="H59" s="2" t="str">
        <f>VLOOKUP(qhkz_4dqm[[#This Row],[fuel_type]],lookup!A:B,2,FALSE)</f>
        <v>Gasoline</v>
      </c>
      <c r="I59" s="2">
        <f ca="1">YEAR(TODAY())-qhkz_4dqm[[#This Row],[year]]</f>
        <v>12</v>
      </c>
      <c r="J59" s="2" t="str" cm="1">
        <f t="array" aca="1" ref="J59" ca="1">_xlfn.IFS(qhkz_4dqm[[#This Row],[vehicle_age]]&lt;=3,"Newer",qhkz_4dqm[[#This Row],[vehicle_age]]&lt;=9,"Mid-age",qhkz_4dqm[[#This Row],[vehicle_age]]&lt;=19,"Older",qhkz_4dqm[[#This Row],[vehicle_age]]&gt;=20,"Very Old")</f>
        <v>Older</v>
      </c>
    </row>
    <row r="60" spans="1:10">
      <c r="A60" s="2">
        <v>24007657</v>
      </c>
      <c r="B60" s="2">
        <v>2400765701</v>
      </c>
      <c r="C60" s="2">
        <v>1</v>
      </c>
      <c r="D60" s="2">
        <v>2012</v>
      </c>
      <c r="E60" s="2">
        <v>1</v>
      </c>
      <c r="F60" s="2">
        <v>579.73</v>
      </c>
      <c r="G60" s="2">
        <v>554.36</v>
      </c>
      <c r="H60" s="2" t="str">
        <f>VLOOKUP(qhkz_4dqm[[#This Row],[fuel_type]],lookup!A:B,2,FALSE)</f>
        <v>Gasoline</v>
      </c>
      <c r="I60" s="2">
        <f ca="1">YEAR(TODAY())-qhkz_4dqm[[#This Row],[year]]</f>
        <v>14</v>
      </c>
      <c r="J60" s="2" t="str" cm="1">
        <f t="array" aca="1" ref="J60" ca="1">_xlfn.IFS(qhkz_4dqm[[#This Row],[vehicle_age]]&lt;=3,"Newer",qhkz_4dqm[[#This Row],[vehicle_age]]&lt;=9,"Mid-age",qhkz_4dqm[[#This Row],[vehicle_age]]&lt;=19,"Older",qhkz_4dqm[[#This Row],[vehicle_age]]&gt;=20,"Very Old")</f>
        <v>Older</v>
      </c>
    </row>
    <row r="61" spans="1:10">
      <c r="A61" s="2">
        <v>24007829</v>
      </c>
      <c r="B61" s="2">
        <v>2400782901</v>
      </c>
      <c r="C61" s="2">
        <v>1</v>
      </c>
      <c r="D61" s="2">
        <v>2017</v>
      </c>
      <c r="E61" s="2">
        <v>1</v>
      </c>
      <c r="F61" s="2">
        <v>662.43</v>
      </c>
      <c r="G61" s="2">
        <v>2328.2399999999998</v>
      </c>
      <c r="H61" s="2" t="str">
        <f>VLOOKUP(qhkz_4dqm[[#This Row],[fuel_type]],lookup!A:B,2,FALSE)</f>
        <v>Gasoline</v>
      </c>
      <c r="I61" s="2">
        <f ca="1">YEAR(TODAY())-qhkz_4dqm[[#This Row],[year]]</f>
        <v>9</v>
      </c>
      <c r="J61" s="2" t="str" cm="1">
        <f t="array" aca="1" ref="J61" ca="1">_xlfn.IFS(qhkz_4dqm[[#This Row],[vehicle_age]]&lt;=3,"Newer",qhkz_4dqm[[#This Row],[vehicle_age]]&lt;=9,"Mid-age",qhkz_4dqm[[#This Row],[vehicle_age]]&lt;=19,"Older",qhkz_4dqm[[#This Row],[vehicle_age]]&gt;=20,"Very Old")</f>
        <v>Mid-age</v>
      </c>
    </row>
    <row r="62" spans="1:10">
      <c r="A62" s="2">
        <v>24007844</v>
      </c>
      <c r="B62" s="2">
        <v>2400784401</v>
      </c>
      <c r="C62" s="2">
        <v>1</v>
      </c>
      <c r="D62" s="2">
        <v>2023</v>
      </c>
      <c r="E62" s="2">
        <v>2</v>
      </c>
      <c r="F62" s="2">
        <v>2476.27</v>
      </c>
      <c r="G62" s="2">
        <v>2386.9899999999998</v>
      </c>
      <c r="H62" s="2" t="str">
        <f>VLOOKUP(qhkz_4dqm[[#This Row],[fuel_type]],lookup!A:B,2,FALSE)</f>
        <v>Diesel</v>
      </c>
      <c r="I62" s="2">
        <f ca="1">YEAR(TODAY())-qhkz_4dqm[[#This Row],[year]]</f>
        <v>3</v>
      </c>
      <c r="J62" s="2" t="str" cm="1">
        <f t="array" aca="1" ref="J62" ca="1">_xlfn.IFS(qhkz_4dqm[[#This Row],[vehicle_age]]&lt;=3,"Newer",qhkz_4dqm[[#This Row],[vehicle_age]]&lt;=9,"Mid-age",qhkz_4dqm[[#This Row],[vehicle_age]]&lt;=19,"Older",qhkz_4dqm[[#This Row],[vehicle_age]]&gt;=20,"Very Old")</f>
        <v>Newer</v>
      </c>
    </row>
    <row r="63" spans="1:10">
      <c r="A63" s="2">
        <v>24007918</v>
      </c>
      <c r="B63" s="2">
        <v>2400791801</v>
      </c>
      <c r="C63" s="2">
        <v>1</v>
      </c>
      <c r="D63" s="2">
        <v>2020</v>
      </c>
      <c r="E63" s="2">
        <v>2</v>
      </c>
      <c r="F63" s="2">
        <v>474.64</v>
      </c>
      <c r="G63" s="2">
        <v>181.98</v>
      </c>
      <c r="H63" s="2" t="str">
        <f>VLOOKUP(qhkz_4dqm[[#This Row],[fuel_type]],lookup!A:B,2,FALSE)</f>
        <v>Diesel</v>
      </c>
      <c r="I63" s="2">
        <f ca="1">YEAR(TODAY())-qhkz_4dqm[[#This Row],[year]]</f>
        <v>6</v>
      </c>
      <c r="J63" s="2" t="str" cm="1">
        <f t="array" aca="1" ref="J63" ca="1">_xlfn.IFS(qhkz_4dqm[[#This Row],[vehicle_age]]&lt;=3,"Newer",qhkz_4dqm[[#This Row],[vehicle_age]]&lt;=9,"Mid-age",qhkz_4dqm[[#This Row],[vehicle_age]]&lt;=19,"Older",qhkz_4dqm[[#This Row],[vehicle_age]]&gt;=20,"Very Old")</f>
        <v>Mid-age</v>
      </c>
    </row>
    <row r="64" spans="1:10">
      <c r="A64" s="2">
        <v>24007987</v>
      </c>
      <c r="B64" s="2">
        <v>2400798701</v>
      </c>
      <c r="C64" s="2">
        <v>1</v>
      </c>
      <c r="D64" s="2">
        <v>2017</v>
      </c>
      <c r="E64" s="2">
        <v>1</v>
      </c>
      <c r="F64" s="2">
        <v>47.41</v>
      </c>
      <c r="G64" s="2">
        <v>248.51</v>
      </c>
      <c r="H64" s="2" t="str">
        <f>VLOOKUP(qhkz_4dqm[[#This Row],[fuel_type]],lookup!A:B,2,FALSE)</f>
        <v>Gasoline</v>
      </c>
      <c r="I64" s="2">
        <f ca="1">YEAR(TODAY())-qhkz_4dqm[[#This Row],[year]]</f>
        <v>9</v>
      </c>
      <c r="J64" s="2" t="str" cm="1">
        <f t="array" aca="1" ref="J64" ca="1">_xlfn.IFS(qhkz_4dqm[[#This Row],[vehicle_age]]&lt;=3,"Newer",qhkz_4dqm[[#This Row],[vehicle_age]]&lt;=9,"Mid-age",qhkz_4dqm[[#This Row],[vehicle_age]]&lt;=19,"Older",qhkz_4dqm[[#This Row],[vehicle_age]]&gt;=20,"Very Old")</f>
        <v>Mid-age</v>
      </c>
    </row>
    <row r="65" spans="1:10">
      <c r="A65" s="2">
        <v>24008046</v>
      </c>
      <c r="B65" s="2">
        <v>2400804601</v>
      </c>
      <c r="C65" s="2">
        <v>1</v>
      </c>
      <c r="D65" s="2">
        <v>2013</v>
      </c>
      <c r="E65" s="2">
        <v>1</v>
      </c>
      <c r="F65" s="2">
        <v>2459.79</v>
      </c>
      <c r="G65" s="2">
        <v>2387.66</v>
      </c>
      <c r="H65" s="2" t="str">
        <f>VLOOKUP(qhkz_4dqm[[#This Row],[fuel_type]],lookup!A:B,2,FALSE)</f>
        <v>Gasoline</v>
      </c>
      <c r="I65" s="2">
        <f ca="1">YEAR(TODAY())-qhkz_4dqm[[#This Row],[year]]</f>
        <v>13</v>
      </c>
      <c r="J65" s="2" t="str" cm="1">
        <f t="array" aca="1" ref="J65" ca="1">_xlfn.IFS(qhkz_4dqm[[#This Row],[vehicle_age]]&lt;=3,"Newer",qhkz_4dqm[[#This Row],[vehicle_age]]&lt;=9,"Mid-age",qhkz_4dqm[[#This Row],[vehicle_age]]&lt;=19,"Older",qhkz_4dqm[[#This Row],[vehicle_age]]&gt;=20,"Very Old")</f>
        <v>Older</v>
      </c>
    </row>
    <row r="66" spans="1:10">
      <c r="A66" s="2">
        <v>24008308</v>
      </c>
      <c r="B66" s="2">
        <v>2400830801</v>
      </c>
      <c r="C66" s="2">
        <v>1</v>
      </c>
      <c r="D66" s="2">
        <v>2002</v>
      </c>
      <c r="E66" s="2">
        <v>1</v>
      </c>
      <c r="F66" s="2">
        <v>36.9</v>
      </c>
      <c r="G66" s="2">
        <v>152.56</v>
      </c>
      <c r="H66" s="2" t="str">
        <f>VLOOKUP(qhkz_4dqm[[#This Row],[fuel_type]],lookup!A:B,2,FALSE)</f>
        <v>Gasoline</v>
      </c>
      <c r="I66" s="2">
        <f ca="1">YEAR(TODAY())-qhkz_4dqm[[#This Row],[year]]</f>
        <v>24</v>
      </c>
      <c r="J66" s="2" t="str" cm="1">
        <f t="array" aca="1" ref="J66" ca="1">_xlfn.IFS(qhkz_4dqm[[#This Row],[vehicle_age]]&lt;=3,"Newer",qhkz_4dqm[[#This Row],[vehicle_age]]&lt;=9,"Mid-age",qhkz_4dqm[[#This Row],[vehicle_age]]&lt;=19,"Older",qhkz_4dqm[[#This Row],[vehicle_age]]&gt;=20,"Very Old")</f>
        <v>Very Old</v>
      </c>
    </row>
    <row r="67" spans="1:10">
      <c r="A67" s="2">
        <v>24008361</v>
      </c>
      <c r="B67" s="2">
        <v>2400836101</v>
      </c>
      <c r="C67" s="2">
        <v>1</v>
      </c>
      <c r="D67" s="2">
        <v>2016</v>
      </c>
      <c r="E67" s="2">
        <v>1</v>
      </c>
      <c r="F67" s="2">
        <v>834.55</v>
      </c>
      <c r="G67" s="2">
        <v>279.39999999999998</v>
      </c>
      <c r="H67" s="2" t="str">
        <f>VLOOKUP(qhkz_4dqm[[#This Row],[fuel_type]],lookup!A:B,2,FALSE)</f>
        <v>Gasoline</v>
      </c>
      <c r="I67" s="2">
        <f ca="1">YEAR(TODAY())-qhkz_4dqm[[#This Row],[year]]</f>
        <v>10</v>
      </c>
      <c r="J67" s="2" t="str" cm="1">
        <f t="array" aca="1" ref="J67" ca="1">_xlfn.IFS(qhkz_4dqm[[#This Row],[vehicle_age]]&lt;=3,"Newer",qhkz_4dqm[[#This Row],[vehicle_age]]&lt;=9,"Mid-age",qhkz_4dqm[[#This Row],[vehicle_age]]&lt;=19,"Older",qhkz_4dqm[[#This Row],[vehicle_age]]&gt;=20,"Very Old")</f>
        <v>Older</v>
      </c>
    </row>
    <row r="68" spans="1:10">
      <c r="A68" s="2">
        <v>24008410</v>
      </c>
      <c r="B68" s="2">
        <v>2400841001</v>
      </c>
      <c r="C68" s="2">
        <v>1</v>
      </c>
      <c r="D68" s="2">
        <v>2023</v>
      </c>
      <c r="E68" s="2">
        <v>4</v>
      </c>
      <c r="F68" s="2">
        <v>181.37</v>
      </c>
      <c r="G68" s="2">
        <v>106.5</v>
      </c>
      <c r="H68" s="2" t="str">
        <f>VLOOKUP(qhkz_4dqm[[#This Row],[fuel_type]],lookup!A:B,2,FALSE)</f>
        <v>Electric</v>
      </c>
      <c r="I68" s="2">
        <f ca="1">YEAR(TODAY())-qhkz_4dqm[[#This Row],[year]]</f>
        <v>3</v>
      </c>
      <c r="J68" s="2" t="str" cm="1">
        <f t="array" aca="1" ref="J68" ca="1">_xlfn.IFS(qhkz_4dqm[[#This Row],[vehicle_age]]&lt;=3,"Newer",qhkz_4dqm[[#This Row],[vehicle_age]]&lt;=9,"Mid-age",qhkz_4dqm[[#This Row],[vehicle_age]]&lt;=19,"Older",qhkz_4dqm[[#This Row],[vehicle_age]]&gt;=20,"Very Old")</f>
        <v>Newer</v>
      </c>
    </row>
    <row r="69" spans="1:10">
      <c r="A69" s="2">
        <v>24008634</v>
      </c>
      <c r="B69" s="2">
        <v>2400863401</v>
      </c>
      <c r="C69" s="2">
        <v>1</v>
      </c>
      <c r="D69" s="2">
        <v>2013</v>
      </c>
      <c r="E69" s="2">
        <v>1</v>
      </c>
      <c r="F69" s="2">
        <v>313.20999999999998</v>
      </c>
      <c r="G69" s="2">
        <v>380.25</v>
      </c>
      <c r="H69" s="2" t="str">
        <f>VLOOKUP(qhkz_4dqm[[#This Row],[fuel_type]],lookup!A:B,2,FALSE)</f>
        <v>Gasoline</v>
      </c>
      <c r="I69" s="2">
        <f ca="1">YEAR(TODAY())-qhkz_4dqm[[#This Row],[year]]</f>
        <v>13</v>
      </c>
      <c r="J69" s="2" t="str" cm="1">
        <f t="array" aca="1" ref="J69" ca="1">_xlfn.IFS(qhkz_4dqm[[#This Row],[vehicle_age]]&lt;=3,"Newer",qhkz_4dqm[[#This Row],[vehicle_age]]&lt;=9,"Mid-age",qhkz_4dqm[[#This Row],[vehicle_age]]&lt;=19,"Older",qhkz_4dqm[[#This Row],[vehicle_age]]&gt;=20,"Very Old")</f>
        <v>Older</v>
      </c>
    </row>
    <row r="70" spans="1:10">
      <c r="A70" s="2">
        <v>24008640</v>
      </c>
      <c r="B70" s="2">
        <v>2400864001</v>
      </c>
      <c r="C70" s="2">
        <v>1</v>
      </c>
      <c r="D70" s="2">
        <v>2016</v>
      </c>
      <c r="E70" s="2">
        <v>1</v>
      </c>
      <c r="F70" s="2">
        <v>259.86</v>
      </c>
      <c r="G70" s="2">
        <v>484.79</v>
      </c>
      <c r="H70" s="2" t="str">
        <f>VLOOKUP(qhkz_4dqm[[#This Row],[fuel_type]],lookup!A:B,2,FALSE)</f>
        <v>Gasoline</v>
      </c>
      <c r="I70" s="2">
        <f ca="1">YEAR(TODAY())-qhkz_4dqm[[#This Row],[year]]</f>
        <v>10</v>
      </c>
      <c r="J70" s="2" t="str" cm="1">
        <f t="array" aca="1" ref="J70" ca="1">_xlfn.IFS(qhkz_4dqm[[#This Row],[vehicle_age]]&lt;=3,"Newer",qhkz_4dqm[[#This Row],[vehicle_age]]&lt;=9,"Mid-age",qhkz_4dqm[[#This Row],[vehicle_age]]&lt;=19,"Older",qhkz_4dqm[[#This Row],[vehicle_age]]&gt;=20,"Very Old")</f>
        <v>Older</v>
      </c>
    </row>
    <row r="71" spans="1:10">
      <c r="A71" s="2">
        <v>24008674</v>
      </c>
      <c r="B71" s="2">
        <v>2400867401</v>
      </c>
      <c r="C71" s="2">
        <v>1</v>
      </c>
      <c r="D71" s="2">
        <v>2022</v>
      </c>
      <c r="E71" s="2">
        <v>1</v>
      </c>
      <c r="F71" s="2">
        <v>1445.67</v>
      </c>
      <c r="G71" s="2">
        <v>2021.44</v>
      </c>
      <c r="H71" s="2" t="str">
        <f>VLOOKUP(qhkz_4dqm[[#This Row],[fuel_type]],lookup!A:B,2,FALSE)</f>
        <v>Gasoline</v>
      </c>
      <c r="I71" s="2">
        <f ca="1">YEAR(TODAY())-qhkz_4dqm[[#This Row],[year]]</f>
        <v>4</v>
      </c>
      <c r="J71" s="2" t="str" cm="1">
        <f t="array" aca="1" ref="J71" ca="1">_xlfn.IFS(qhkz_4dqm[[#This Row],[vehicle_age]]&lt;=3,"Newer",qhkz_4dqm[[#This Row],[vehicle_age]]&lt;=9,"Mid-age",qhkz_4dqm[[#This Row],[vehicle_age]]&lt;=19,"Older",qhkz_4dqm[[#This Row],[vehicle_age]]&gt;=20,"Very Old")</f>
        <v>Mid-age</v>
      </c>
    </row>
    <row r="72" spans="1:10">
      <c r="A72" s="2">
        <v>24008775</v>
      </c>
      <c r="B72" s="2">
        <v>2400877501</v>
      </c>
      <c r="C72" s="2">
        <v>1</v>
      </c>
      <c r="D72" s="2">
        <v>2016</v>
      </c>
      <c r="E72" s="2">
        <v>1</v>
      </c>
      <c r="F72" s="2">
        <v>162.55000000000001</v>
      </c>
      <c r="G72" s="2">
        <v>411.76</v>
      </c>
      <c r="H72" s="2" t="str">
        <f>VLOOKUP(qhkz_4dqm[[#This Row],[fuel_type]],lookup!A:B,2,FALSE)</f>
        <v>Gasoline</v>
      </c>
      <c r="I72" s="2">
        <f ca="1">YEAR(TODAY())-qhkz_4dqm[[#This Row],[year]]</f>
        <v>10</v>
      </c>
      <c r="J72" s="2" t="str" cm="1">
        <f t="array" aca="1" ref="J72" ca="1">_xlfn.IFS(qhkz_4dqm[[#This Row],[vehicle_age]]&lt;=3,"Newer",qhkz_4dqm[[#This Row],[vehicle_age]]&lt;=9,"Mid-age",qhkz_4dqm[[#This Row],[vehicle_age]]&lt;=19,"Older",qhkz_4dqm[[#This Row],[vehicle_age]]&gt;=20,"Very Old")</f>
        <v>Older</v>
      </c>
    </row>
    <row r="73" spans="1:10">
      <c r="A73" s="2">
        <v>24008797</v>
      </c>
      <c r="B73" s="2">
        <v>2400879701</v>
      </c>
      <c r="C73" s="2">
        <v>1</v>
      </c>
      <c r="D73" s="2">
        <v>2016</v>
      </c>
      <c r="E73" s="2">
        <v>1</v>
      </c>
      <c r="F73" s="2">
        <v>72.739999999999995</v>
      </c>
      <c r="G73" s="2">
        <v>155.08000000000001</v>
      </c>
      <c r="H73" s="2" t="str">
        <f>VLOOKUP(qhkz_4dqm[[#This Row],[fuel_type]],lookup!A:B,2,FALSE)</f>
        <v>Gasoline</v>
      </c>
      <c r="I73" s="2">
        <f ca="1">YEAR(TODAY())-qhkz_4dqm[[#This Row],[year]]</f>
        <v>10</v>
      </c>
      <c r="J73" s="2" t="str" cm="1">
        <f t="array" aca="1" ref="J73" ca="1">_xlfn.IFS(qhkz_4dqm[[#This Row],[vehicle_age]]&lt;=3,"Newer",qhkz_4dqm[[#This Row],[vehicle_age]]&lt;=9,"Mid-age",qhkz_4dqm[[#This Row],[vehicle_age]]&lt;=19,"Older",qhkz_4dqm[[#This Row],[vehicle_age]]&gt;=20,"Very Old")</f>
        <v>Older</v>
      </c>
    </row>
    <row r="74" spans="1:10">
      <c r="A74" s="2">
        <v>24008837</v>
      </c>
      <c r="B74" s="2">
        <v>2400883701</v>
      </c>
      <c r="C74" s="2">
        <v>1</v>
      </c>
      <c r="D74" s="2">
        <v>2002</v>
      </c>
      <c r="E74" s="2">
        <v>1</v>
      </c>
      <c r="F74" s="2">
        <v>634.39</v>
      </c>
      <c r="G74" s="2">
        <v>715.32</v>
      </c>
      <c r="H74" s="2" t="str">
        <f>VLOOKUP(qhkz_4dqm[[#This Row],[fuel_type]],lookup!A:B,2,FALSE)</f>
        <v>Gasoline</v>
      </c>
      <c r="I74" s="2">
        <f ca="1">YEAR(TODAY())-qhkz_4dqm[[#This Row],[year]]</f>
        <v>24</v>
      </c>
      <c r="J74" s="2" t="str" cm="1">
        <f t="array" aca="1" ref="J74" ca="1">_xlfn.IFS(qhkz_4dqm[[#This Row],[vehicle_age]]&lt;=3,"Newer",qhkz_4dqm[[#This Row],[vehicle_age]]&lt;=9,"Mid-age",qhkz_4dqm[[#This Row],[vehicle_age]]&lt;=19,"Older",qhkz_4dqm[[#This Row],[vehicle_age]]&gt;=20,"Very Old")</f>
        <v>Very Old</v>
      </c>
    </row>
    <row r="75" spans="1:10">
      <c r="A75" s="2">
        <v>24008906</v>
      </c>
      <c r="B75" s="2">
        <v>2400890601</v>
      </c>
      <c r="C75" s="2">
        <v>1</v>
      </c>
      <c r="D75" s="2">
        <v>2024</v>
      </c>
      <c r="E75" s="2">
        <v>1</v>
      </c>
      <c r="F75" s="2">
        <v>479.39</v>
      </c>
      <c r="G75" s="2">
        <v>945.18</v>
      </c>
      <c r="H75" s="2" t="str">
        <f>VLOOKUP(qhkz_4dqm[[#This Row],[fuel_type]],lookup!A:B,2,FALSE)</f>
        <v>Gasoline</v>
      </c>
      <c r="I75" s="2">
        <f ca="1">YEAR(TODAY())-qhkz_4dqm[[#This Row],[year]]</f>
        <v>2</v>
      </c>
      <c r="J75" s="2" t="str" cm="1">
        <f t="array" aca="1" ref="J75" ca="1">_xlfn.IFS(qhkz_4dqm[[#This Row],[vehicle_age]]&lt;=3,"Newer",qhkz_4dqm[[#This Row],[vehicle_age]]&lt;=9,"Mid-age",qhkz_4dqm[[#This Row],[vehicle_age]]&lt;=19,"Older",qhkz_4dqm[[#This Row],[vehicle_age]]&gt;=20,"Very Old")</f>
        <v>Newer</v>
      </c>
    </row>
    <row r="76" spans="1:10">
      <c r="A76" s="2">
        <v>24008951</v>
      </c>
      <c r="B76" s="2">
        <v>2400895101</v>
      </c>
      <c r="C76" s="2">
        <v>1</v>
      </c>
      <c r="D76" s="2">
        <v>2019</v>
      </c>
      <c r="E76" s="2">
        <v>1</v>
      </c>
      <c r="F76" s="2">
        <v>294.62</v>
      </c>
      <c r="G76" s="2">
        <v>175.31</v>
      </c>
      <c r="H76" s="2" t="str">
        <f>VLOOKUP(qhkz_4dqm[[#This Row],[fuel_type]],lookup!A:B,2,FALSE)</f>
        <v>Gasoline</v>
      </c>
      <c r="I76" s="2">
        <f ca="1">YEAR(TODAY())-qhkz_4dqm[[#This Row],[year]]</f>
        <v>7</v>
      </c>
      <c r="J76" s="2" t="str" cm="1">
        <f t="array" aca="1" ref="J76" ca="1">_xlfn.IFS(qhkz_4dqm[[#This Row],[vehicle_age]]&lt;=3,"Newer",qhkz_4dqm[[#This Row],[vehicle_age]]&lt;=9,"Mid-age",qhkz_4dqm[[#This Row],[vehicle_age]]&lt;=19,"Older",qhkz_4dqm[[#This Row],[vehicle_age]]&gt;=20,"Very Old")</f>
        <v>Mid-age</v>
      </c>
    </row>
    <row r="77" spans="1:10">
      <c r="A77" s="2">
        <v>24009261</v>
      </c>
      <c r="B77" s="2">
        <v>2400926101</v>
      </c>
      <c r="C77" s="2">
        <v>1</v>
      </c>
      <c r="D77" s="2">
        <v>2022</v>
      </c>
      <c r="E77" s="2">
        <v>1</v>
      </c>
      <c r="F77" s="2">
        <v>426.76</v>
      </c>
      <c r="G77" s="2">
        <v>919.62</v>
      </c>
      <c r="H77" s="2" t="str">
        <f>VLOOKUP(qhkz_4dqm[[#This Row],[fuel_type]],lookup!A:B,2,FALSE)</f>
        <v>Gasoline</v>
      </c>
      <c r="I77" s="2">
        <f ca="1">YEAR(TODAY())-qhkz_4dqm[[#This Row],[year]]</f>
        <v>4</v>
      </c>
      <c r="J77" s="2" t="str" cm="1">
        <f t="array" aca="1" ref="J77" ca="1">_xlfn.IFS(qhkz_4dqm[[#This Row],[vehicle_age]]&lt;=3,"Newer",qhkz_4dqm[[#This Row],[vehicle_age]]&lt;=9,"Mid-age",qhkz_4dqm[[#This Row],[vehicle_age]]&lt;=19,"Older",qhkz_4dqm[[#This Row],[vehicle_age]]&gt;=20,"Very Old")</f>
        <v>Mid-age</v>
      </c>
    </row>
    <row r="78" spans="1:10">
      <c r="A78" s="2">
        <v>24009407</v>
      </c>
      <c r="B78" s="2">
        <v>2400940701</v>
      </c>
      <c r="C78" s="2">
        <v>1</v>
      </c>
      <c r="D78" s="2">
        <v>2018</v>
      </c>
      <c r="E78" s="2">
        <v>1</v>
      </c>
      <c r="F78" s="2">
        <v>126.22</v>
      </c>
      <c r="G78" s="2">
        <v>494.52</v>
      </c>
      <c r="H78" s="2" t="str">
        <f>VLOOKUP(qhkz_4dqm[[#This Row],[fuel_type]],lookup!A:B,2,FALSE)</f>
        <v>Gasoline</v>
      </c>
      <c r="I78" s="2">
        <f ca="1">YEAR(TODAY())-qhkz_4dqm[[#This Row],[year]]</f>
        <v>8</v>
      </c>
      <c r="J78" s="2" t="str" cm="1">
        <f t="array" aca="1" ref="J78" ca="1">_xlfn.IFS(qhkz_4dqm[[#This Row],[vehicle_age]]&lt;=3,"Newer",qhkz_4dqm[[#This Row],[vehicle_age]]&lt;=9,"Mid-age",qhkz_4dqm[[#This Row],[vehicle_age]]&lt;=19,"Older",qhkz_4dqm[[#This Row],[vehicle_age]]&gt;=20,"Very Old")</f>
        <v>Mid-age</v>
      </c>
    </row>
    <row r="79" spans="1:10">
      <c r="A79" s="2">
        <v>24009434</v>
      </c>
      <c r="B79" s="2">
        <v>2400943401</v>
      </c>
      <c r="C79" s="2">
        <v>1</v>
      </c>
      <c r="D79" s="2">
        <v>2016</v>
      </c>
      <c r="E79" s="2">
        <v>1</v>
      </c>
      <c r="F79" s="2">
        <v>691.06</v>
      </c>
      <c r="G79" s="2">
        <v>1936.45</v>
      </c>
      <c r="H79" s="2" t="str">
        <f>VLOOKUP(qhkz_4dqm[[#This Row],[fuel_type]],lookup!A:B,2,FALSE)</f>
        <v>Gasoline</v>
      </c>
      <c r="I79" s="2">
        <f ca="1">YEAR(TODAY())-qhkz_4dqm[[#This Row],[year]]</f>
        <v>10</v>
      </c>
      <c r="J79" s="2" t="str" cm="1">
        <f t="array" aca="1" ref="J79" ca="1">_xlfn.IFS(qhkz_4dqm[[#This Row],[vehicle_age]]&lt;=3,"Newer",qhkz_4dqm[[#This Row],[vehicle_age]]&lt;=9,"Mid-age",qhkz_4dqm[[#This Row],[vehicle_age]]&lt;=19,"Older",qhkz_4dqm[[#This Row],[vehicle_age]]&gt;=20,"Very Old")</f>
        <v>Older</v>
      </c>
    </row>
    <row r="80" spans="1:10">
      <c r="A80" s="2">
        <v>24009620</v>
      </c>
      <c r="B80" s="2">
        <v>2400962001</v>
      </c>
      <c r="C80" s="2">
        <v>1</v>
      </c>
      <c r="D80" s="2">
        <v>2014</v>
      </c>
      <c r="E80" s="2">
        <v>1</v>
      </c>
      <c r="F80" s="2">
        <v>196.3</v>
      </c>
      <c r="G80" s="2">
        <v>170.69</v>
      </c>
      <c r="H80" s="2" t="str">
        <f>VLOOKUP(qhkz_4dqm[[#This Row],[fuel_type]],lookup!A:B,2,FALSE)</f>
        <v>Gasoline</v>
      </c>
      <c r="I80" s="2">
        <f ca="1">YEAR(TODAY())-qhkz_4dqm[[#This Row],[year]]</f>
        <v>12</v>
      </c>
      <c r="J80" s="2" t="str" cm="1">
        <f t="array" aca="1" ref="J80" ca="1">_xlfn.IFS(qhkz_4dqm[[#This Row],[vehicle_age]]&lt;=3,"Newer",qhkz_4dqm[[#This Row],[vehicle_age]]&lt;=9,"Mid-age",qhkz_4dqm[[#This Row],[vehicle_age]]&lt;=19,"Older",qhkz_4dqm[[#This Row],[vehicle_age]]&gt;=20,"Very Old")</f>
        <v>Older</v>
      </c>
    </row>
    <row r="81" spans="1:10">
      <c r="A81" s="2">
        <v>24009711</v>
      </c>
      <c r="B81" s="2">
        <v>2400971101</v>
      </c>
      <c r="C81" s="2">
        <v>1</v>
      </c>
      <c r="D81" s="2">
        <v>2017</v>
      </c>
      <c r="E81" s="2">
        <v>1</v>
      </c>
      <c r="F81" s="2">
        <v>373.33</v>
      </c>
      <c r="G81" s="2">
        <v>328.75</v>
      </c>
      <c r="H81" s="2" t="str">
        <f>VLOOKUP(qhkz_4dqm[[#This Row],[fuel_type]],lookup!A:B,2,FALSE)</f>
        <v>Gasoline</v>
      </c>
      <c r="I81" s="2">
        <f ca="1">YEAR(TODAY())-qhkz_4dqm[[#This Row],[year]]</f>
        <v>9</v>
      </c>
      <c r="J81" s="2" t="str" cm="1">
        <f t="array" aca="1" ref="J81" ca="1">_xlfn.IFS(qhkz_4dqm[[#This Row],[vehicle_age]]&lt;=3,"Newer",qhkz_4dqm[[#This Row],[vehicle_age]]&lt;=9,"Mid-age",qhkz_4dqm[[#This Row],[vehicle_age]]&lt;=19,"Older",qhkz_4dqm[[#This Row],[vehicle_age]]&gt;=20,"Very Old")</f>
        <v>Mid-age</v>
      </c>
    </row>
    <row r="82" spans="1:10">
      <c r="A82" s="2">
        <v>24009778</v>
      </c>
      <c r="B82" s="2">
        <v>2400977801</v>
      </c>
      <c r="C82" s="2">
        <v>1</v>
      </c>
      <c r="D82" s="2">
        <v>2018</v>
      </c>
      <c r="E82" s="2">
        <v>2</v>
      </c>
      <c r="F82" s="2">
        <v>202</v>
      </c>
      <c r="G82" s="2">
        <v>271.24</v>
      </c>
      <c r="H82" s="2" t="str">
        <f>VLOOKUP(qhkz_4dqm[[#This Row],[fuel_type]],lookup!A:B,2,FALSE)</f>
        <v>Diesel</v>
      </c>
      <c r="I82" s="2">
        <f ca="1">YEAR(TODAY())-qhkz_4dqm[[#This Row],[year]]</f>
        <v>8</v>
      </c>
      <c r="J82" s="2" t="str" cm="1">
        <f t="array" aca="1" ref="J82" ca="1">_xlfn.IFS(qhkz_4dqm[[#This Row],[vehicle_age]]&lt;=3,"Newer",qhkz_4dqm[[#This Row],[vehicle_age]]&lt;=9,"Mid-age",qhkz_4dqm[[#This Row],[vehicle_age]]&lt;=19,"Older",qhkz_4dqm[[#This Row],[vehicle_age]]&gt;=20,"Very Old")</f>
        <v>Mid-age</v>
      </c>
    </row>
    <row r="83" spans="1:10">
      <c r="A83" s="2">
        <v>24009912</v>
      </c>
      <c r="B83" s="2">
        <v>2400991201</v>
      </c>
      <c r="C83" s="2">
        <v>1</v>
      </c>
      <c r="D83" s="2">
        <v>2023</v>
      </c>
      <c r="E83" s="2">
        <v>1</v>
      </c>
      <c r="F83" s="2">
        <v>2420</v>
      </c>
      <c r="G83" s="2">
        <v>2594.75</v>
      </c>
      <c r="H83" s="2" t="str">
        <f>VLOOKUP(qhkz_4dqm[[#This Row],[fuel_type]],lookup!A:B,2,FALSE)</f>
        <v>Gasoline</v>
      </c>
      <c r="I83" s="2">
        <f ca="1">YEAR(TODAY())-qhkz_4dqm[[#This Row],[year]]</f>
        <v>3</v>
      </c>
      <c r="J83" s="2" t="str" cm="1">
        <f t="array" aca="1" ref="J83" ca="1">_xlfn.IFS(qhkz_4dqm[[#This Row],[vehicle_age]]&lt;=3,"Newer",qhkz_4dqm[[#This Row],[vehicle_age]]&lt;=9,"Mid-age",qhkz_4dqm[[#This Row],[vehicle_age]]&lt;=19,"Older",qhkz_4dqm[[#This Row],[vehicle_age]]&gt;=20,"Very Old")</f>
        <v>Newer</v>
      </c>
    </row>
    <row r="84" spans="1:10">
      <c r="A84" s="2">
        <v>24010038</v>
      </c>
      <c r="B84" s="2">
        <v>2401003801</v>
      </c>
      <c r="C84" s="2">
        <v>1</v>
      </c>
      <c r="D84" s="2">
        <v>2023</v>
      </c>
      <c r="E84" s="2">
        <v>1</v>
      </c>
      <c r="F84" s="2">
        <v>460.95</v>
      </c>
      <c r="G84" s="2">
        <v>297.19</v>
      </c>
      <c r="H84" s="2" t="str">
        <f>VLOOKUP(qhkz_4dqm[[#This Row],[fuel_type]],lookup!A:B,2,FALSE)</f>
        <v>Gasoline</v>
      </c>
      <c r="I84" s="2">
        <f ca="1">YEAR(TODAY())-qhkz_4dqm[[#This Row],[year]]</f>
        <v>3</v>
      </c>
      <c r="J84" s="2" t="str" cm="1">
        <f t="array" aca="1" ref="J84" ca="1">_xlfn.IFS(qhkz_4dqm[[#This Row],[vehicle_age]]&lt;=3,"Newer",qhkz_4dqm[[#This Row],[vehicle_age]]&lt;=9,"Mid-age",qhkz_4dqm[[#This Row],[vehicle_age]]&lt;=19,"Older",qhkz_4dqm[[#This Row],[vehicle_age]]&gt;=20,"Very Old")</f>
        <v>Newer</v>
      </c>
    </row>
    <row r="85" spans="1:10">
      <c r="A85" s="2">
        <v>24010075</v>
      </c>
      <c r="B85" s="2">
        <v>2401007501</v>
      </c>
      <c r="C85" s="2">
        <v>1</v>
      </c>
      <c r="D85" s="2">
        <v>2022</v>
      </c>
      <c r="E85" s="2">
        <v>4</v>
      </c>
      <c r="F85" s="2">
        <v>546.34</v>
      </c>
      <c r="G85" s="2">
        <v>778.38</v>
      </c>
      <c r="H85" s="2" t="str">
        <f>VLOOKUP(qhkz_4dqm[[#This Row],[fuel_type]],lookup!A:B,2,FALSE)</f>
        <v>Electric</v>
      </c>
      <c r="I85" s="2">
        <f ca="1">YEAR(TODAY())-qhkz_4dqm[[#This Row],[year]]</f>
        <v>4</v>
      </c>
      <c r="J85" s="2" t="str" cm="1">
        <f t="array" aca="1" ref="J85" ca="1">_xlfn.IFS(qhkz_4dqm[[#This Row],[vehicle_age]]&lt;=3,"Newer",qhkz_4dqm[[#This Row],[vehicle_age]]&lt;=9,"Mid-age",qhkz_4dqm[[#This Row],[vehicle_age]]&lt;=19,"Older",qhkz_4dqm[[#This Row],[vehicle_age]]&gt;=20,"Very Old")</f>
        <v>Mid-age</v>
      </c>
    </row>
    <row r="86" spans="1:10">
      <c r="A86" s="2">
        <v>24010240</v>
      </c>
      <c r="B86" s="2">
        <v>2401024001</v>
      </c>
      <c r="C86" s="2">
        <v>1</v>
      </c>
      <c r="D86" s="2">
        <v>2012</v>
      </c>
      <c r="E86" s="2">
        <v>1</v>
      </c>
      <c r="F86" s="2">
        <v>1682.82</v>
      </c>
      <c r="G86" s="2">
        <v>631.16</v>
      </c>
      <c r="H86" s="2" t="str">
        <f>VLOOKUP(qhkz_4dqm[[#This Row],[fuel_type]],lookup!A:B,2,FALSE)</f>
        <v>Gasoline</v>
      </c>
      <c r="I86" s="2">
        <f ca="1">YEAR(TODAY())-qhkz_4dqm[[#This Row],[year]]</f>
        <v>14</v>
      </c>
      <c r="J86" s="2" t="str" cm="1">
        <f t="array" aca="1" ref="J86" ca="1">_xlfn.IFS(qhkz_4dqm[[#This Row],[vehicle_age]]&lt;=3,"Newer",qhkz_4dqm[[#This Row],[vehicle_age]]&lt;=9,"Mid-age",qhkz_4dqm[[#This Row],[vehicle_age]]&lt;=19,"Older",qhkz_4dqm[[#This Row],[vehicle_age]]&gt;=20,"Very Old")</f>
        <v>Older</v>
      </c>
    </row>
    <row r="87" spans="1:10">
      <c r="A87" s="2">
        <v>24010372</v>
      </c>
      <c r="B87" s="2">
        <v>2401037201</v>
      </c>
      <c r="C87" s="2">
        <v>1</v>
      </c>
      <c r="D87" s="2">
        <v>2007</v>
      </c>
      <c r="E87" s="2">
        <v>1</v>
      </c>
      <c r="F87" s="2">
        <v>14.89</v>
      </c>
      <c r="G87" s="2">
        <v>138.15</v>
      </c>
      <c r="H87" s="2" t="str">
        <f>VLOOKUP(qhkz_4dqm[[#This Row],[fuel_type]],lookup!A:B,2,FALSE)</f>
        <v>Gasoline</v>
      </c>
      <c r="I87" s="2">
        <f ca="1">YEAR(TODAY())-qhkz_4dqm[[#This Row],[year]]</f>
        <v>19</v>
      </c>
      <c r="J87" s="2" t="str" cm="1">
        <f t="array" aca="1" ref="J87" ca="1">_xlfn.IFS(qhkz_4dqm[[#This Row],[vehicle_age]]&lt;=3,"Newer",qhkz_4dqm[[#This Row],[vehicle_age]]&lt;=9,"Mid-age",qhkz_4dqm[[#This Row],[vehicle_age]]&lt;=19,"Older",qhkz_4dqm[[#This Row],[vehicle_age]]&gt;=20,"Very Old")</f>
        <v>Older</v>
      </c>
    </row>
    <row r="88" spans="1:10">
      <c r="A88" s="2">
        <v>24010420</v>
      </c>
      <c r="B88" s="2">
        <v>2401042001</v>
      </c>
      <c r="C88" s="2">
        <v>1</v>
      </c>
      <c r="D88" s="2">
        <v>2022</v>
      </c>
      <c r="E88" s="2">
        <v>1</v>
      </c>
      <c r="F88" s="2">
        <v>851.46</v>
      </c>
      <c r="G88" s="2">
        <v>742.46</v>
      </c>
      <c r="H88" s="2" t="str">
        <f>VLOOKUP(qhkz_4dqm[[#This Row],[fuel_type]],lookup!A:B,2,FALSE)</f>
        <v>Gasoline</v>
      </c>
      <c r="I88" s="2">
        <f ca="1">YEAR(TODAY())-qhkz_4dqm[[#This Row],[year]]</f>
        <v>4</v>
      </c>
      <c r="J88" s="2" t="str" cm="1">
        <f t="array" aca="1" ref="J88" ca="1">_xlfn.IFS(qhkz_4dqm[[#This Row],[vehicle_age]]&lt;=3,"Newer",qhkz_4dqm[[#This Row],[vehicle_age]]&lt;=9,"Mid-age",qhkz_4dqm[[#This Row],[vehicle_age]]&lt;=19,"Older",qhkz_4dqm[[#This Row],[vehicle_age]]&gt;=20,"Very Old")</f>
        <v>Mid-age</v>
      </c>
    </row>
    <row r="89" spans="1:10">
      <c r="A89" s="2">
        <v>24010497</v>
      </c>
      <c r="B89" s="2">
        <v>2401049701</v>
      </c>
      <c r="C89" s="2">
        <v>1</v>
      </c>
      <c r="D89" s="2">
        <v>2024</v>
      </c>
      <c r="E89" s="2">
        <v>1</v>
      </c>
      <c r="F89" s="2">
        <v>2156.56</v>
      </c>
      <c r="G89" s="2">
        <v>7035.45</v>
      </c>
      <c r="H89" s="2" t="str">
        <f>VLOOKUP(qhkz_4dqm[[#This Row],[fuel_type]],lookup!A:B,2,FALSE)</f>
        <v>Gasoline</v>
      </c>
      <c r="I89" s="2">
        <f ca="1">YEAR(TODAY())-qhkz_4dqm[[#This Row],[year]]</f>
        <v>2</v>
      </c>
      <c r="J89" s="2" t="str" cm="1">
        <f t="array" aca="1" ref="J89" ca="1">_xlfn.IFS(qhkz_4dqm[[#This Row],[vehicle_age]]&lt;=3,"Newer",qhkz_4dqm[[#This Row],[vehicle_age]]&lt;=9,"Mid-age",qhkz_4dqm[[#This Row],[vehicle_age]]&lt;=19,"Older",qhkz_4dqm[[#This Row],[vehicle_age]]&gt;=20,"Very Old")</f>
        <v>Newer</v>
      </c>
    </row>
    <row r="90" spans="1:10">
      <c r="A90" s="2">
        <v>24010694</v>
      </c>
      <c r="B90" s="2">
        <v>2401069401</v>
      </c>
      <c r="C90" s="2">
        <v>1</v>
      </c>
      <c r="D90" s="2">
        <v>2013</v>
      </c>
      <c r="E90" s="2">
        <v>1</v>
      </c>
      <c r="F90" s="2">
        <v>143.9</v>
      </c>
      <c r="G90" s="2">
        <v>414.68</v>
      </c>
      <c r="H90" s="2" t="str">
        <f>VLOOKUP(qhkz_4dqm[[#This Row],[fuel_type]],lookup!A:B,2,FALSE)</f>
        <v>Gasoline</v>
      </c>
      <c r="I90" s="2">
        <f ca="1">YEAR(TODAY())-qhkz_4dqm[[#This Row],[year]]</f>
        <v>13</v>
      </c>
      <c r="J90" s="2" t="str" cm="1">
        <f t="array" aca="1" ref="J90" ca="1">_xlfn.IFS(qhkz_4dqm[[#This Row],[vehicle_age]]&lt;=3,"Newer",qhkz_4dqm[[#This Row],[vehicle_age]]&lt;=9,"Mid-age",qhkz_4dqm[[#This Row],[vehicle_age]]&lt;=19,"Older",qhkz_4dqm[[#This Row],[vehicle_age]]&gt;=20,"Very Old")</f>
        <v>Older</v>
      </c>
    </row>
    <row r="91" spans="1:10">
      <c r="A91" s="2">
        <v>24010796</v>
      </c>
      <c r="B91" s="2">
        <v>2401079601</v>
      </c>
      <c r="C91" s="2">
        <v>1</v>
      </c>
      <c r="D91" s="2">
        <v>2008</v>
      </c>
      <c r="E91" s="2">
        <v>1</v>
      </c>
      <c r="F91" s="2">
        <v>450.91</v>
      </c>
      <c r="G91" s="2">
        <v>1072.81</v>
      </c>
      <c r="H91" s="2" t="str">
        <f>VLOOKUP(qhkz_4dqm[[#This Row],[fuel_type]],lookup!A:B,2,FALSE)</f>
        <v>Gasoline</v>
      </c>
      <c r="I91" s="2">
        <f ca="1">YEAR(TODAY())-qhkz_4dqm[[#This Row],[year]]</f>
        <v>18</v>
      </c>
      <c r="J91" s="2" t="str" cm="1">
        <f t="array" aca="1" ref="J91" ca="1">_xlfn.IFS(qhkz_4dqm[[#This Row],[vehicle_age]]&lt;=3,"Newer",qhkz_4dqm[[#This Row],[vehicle_age]]&lt;=9,"Mid-age",qhkz_4dqm[[#This Row],[vehicle_age]]&lt;=19,"Older",qhkz_4dqm[[#This Row],[vehicle_age]]&gt;=20,"Very Old")</f>
        <v>Older</v>
      </c>
    </row>
    <row r="92" spans="1:10">
      <c r="A92" s="2">
        <v>24010975</v>
      </c>
      <c r="B92" s="2">
        <v>2401097501</v>
      </c>
      <c r="C92" s="2">
        <v>1</v>
      </c>
      <c r="D92" s="2">
        <v>2017</v>
      </c>
      <c r="E92" s="2">
        <v>1</v>
      </c>
      <c r="F92" s="2">
        <v>952.89</v>
      </c>
      <c r="G92" s="2">
        <v>974.1</v>
      </c>
      <c r="H92" s="2" t="str">
        <f>VLOOKUP(qhkz_4dqm[[#This Row],[fuel_type]],lookup!A:B,2,FALSE)</f>
        <v>Gasoline</v>
      </c>
      <c r="I92" s="2">
        <f ca="1">YEAR(TODAY())-qhkz_4dqm[[#This Row],[year]]</f>
        <v>9</v>
      </c>
      <c r="J92" s="2" t="str" cm="1">
        <f t="array" aca="1" ref="J92" ca="1">_xlfn.IFS(qhkz_4dqm[[#This Row],[vehicle_age]]&lt;=3,"Newer",qhkz_4dqm[[#This Row],[vehicle_age]]&lt;=9,"Mid-age",qhkz_4dqm[[#This Row],[vehicle_age]]&lt;=19,"Older",qhkz_4dqm[[#This Row],[vehicle_age]]&gt;=20,"Very Old")</f>
        <v>Mid-age</v>
      </c>
    </row>
    <row r="93" spans="1:10">
      <c r="A93" s="2">
        <v>24011097</v>
      </c>
      <c r="B93" s="2">
        <v>2401109701</v>
      </c>
      <c r="C93" s="2">
        <v>1</v>
      </c>
      <c r="D93" s="2">
        <v>2021</v>
      </c>
      <c r="E93" s="2">
        <v>1</v>
      </c>
      <c r="F93" s="2">
        <v>1209.27</v>
      </c>
      <c r="G93" s="2">
        <v>3581.68</v>
      </c>
      <c r="H93" s="2" t="str">
        <f>VLOOKUP(qhkz_4dqm[[#This Row],[fuel_type]],lookup!A:B,2,FALSE)</f>
        <v>Gasoline</v>
      </c>
      <c r="I93" s="2">
        <f ca="1">YEAR(TODAY())-qhkz_4dqm[[#This Row],[year]]</f>
        <v>5</v>
      </c>
      <c r="J93" s="2" t="str" cm="1">
        <f t="array" aca="1" ref="J93" ca="1">_xlfn.IFS(qhkz_4dqm[[#This Row],[vehicle_age]]&lt;=3,"Newer",qhkz_4dqm[[#This Row],[vehicle_age]]&lt;=9,"Mid-age",qhkz_4dqm[[#This Row],[vehicle_age]]&lt;=19,"Older",qhkz_4dqm[[#This Row],[vehicle_age]]&gt;=20,"Very Old")</f>
        <v>Mid-age</v>
      </c>
    </row>
    <row r="94" spans="1:10">
      <c r="A94" s="2">
        <v>24011261</v>
      </c>
      <c r="B94" s="2">
        <v>2401126101</v>
      </c>
      <c r="C94" s="2">
        <v>1</v>
      </c>
      <c r="D94" s="2">
        <v>2022</v>
      </c>
      <c r="E94" s="2">
        <v>1</v>
      </c>
      <c r="F94" s="2">
        <v>750.69</v>
      </c>
      <c r="G94" s="2">
        <v>1137.21</v>
      </c>
      <c r="H94" s="2" t="str">
        <f>VLOOKUP(qhkz_4dqm[[#This Row],[fuel_type]],lookup!A:B,2,FALSE)</f>
        <v>Gasoline</v>
      </c>
      <c r="I94" s="2">
        <f ca="1">YEAR(TODAY())-qhkz_4dqm[[#This Row],[year]]</f>
        <v>4</v>
      </c>
      <c r="J94" s="2" t="str" cm="1">
        <f t="array" aca="1" ref="J94" ca="1">_xlfn.IFS(qhkz_4dqm[[#This Row],[vehicle_age]]&lt;=3,"Newer",qhkz_4dqm[[#This Row],[vehicle_age]]&lt;=9,"Mid-age",qhkz_4dqm[[#This Row],[vehicle_age]]&lt;=19,"Older",qhkz_4dqm[[#This Row],[vehicle_age]]&gt;=20,"Very Old")</f>
        <v>Mid-age</v>
      </c>
    </row>
    <row r="95" spans="1:10">
      <c r="A95" s="2">
        <v>24011460</v>
      </c>
      <c r="B95" s="2">
        <v>2401146001</v>
      </c>
      <c r="C95" s="2">
        <v>1</v>
      </c>
      <c r="D95" s="2">
        <v>2022</v>
      </c>
      <c r="E95" s="2">
        <v>1</v>
      </c>
      <c r="F95" s="2">
        <v>186.23</v>
      </c>
      <c r="G95" s="2">
        <v>300.58</v>
      </c>
      <c r="H95" s="2" t="str">
        <f>VLOOKUP(qhkz_4dqm[[#This Row],[fuel_type]],lookup!A:B,2,FALSE)</f>
        <v>Gasoline</v>
      </c>
      <c r="I95" s="2">
        <f ca="1">YEAR(TODAY())-qhkz_4dqm[[#This Row],[year]]</f>
        <v>4</v>
      </c>
      <c r="J95" s="2" t="str" cm="1">
        <f t="array" aca="1" ref="J95" ca="1">_xlfn.IFS(qhkz_4dqm[[#This Row],[vehicle_age]]&lt;=3,"Newer",qhkz_4dqm[[#This Row],[vehicle_age]]&lt;=9,"Mid-age",qhkz_4dqm[[#This Row],[vehicle_age]]&lt;=19,"Older",qhkz_4dqm[[#This Row],[vehicle_age]]&gt;=20,"Very Old")</f>
        <v>Mid-age</v>
      </c>
    </row>
    <row r="96" spans="1:10">
      <c r="A96" s="2">
        <v>24011616</v>
      </c>
      <c r="B96" s="2">
        <v>2401161601</v>
      </c>
      <c r="C96" s="2">
        <v>1</v>
      </c>
      <c r="D96" s="2">
        <v>1980</v>
      </c>
      <c r="E96" s="2">
        <v>1</v>
      </c>
      <c r="F96" s="2">
        <v>108.72</v>
      </c>
      <c r="G96" s="2">
        <v>539.82000000000005</v>
      </c>
      <c r="H96" s="2" t="str">
        <f>VLOOKUP(qhkz_4dqm[[#This Row],[fuel_type]],lookup!A:B,2,FALSE)</f>
        <v>Gasoline</v>
      </c>
      <c r="I96" s="2">
        <f ca="1">YEAR(TODAY())-qhkz_4dqm[[#This Row],[year]]</f>
        <v>46</v>
      </c>
      <c r="J96" s="2" t="str" cm="1">
        <f t="array" aca="1" ref="J96" ca="1">_xlfn.IFS(qhkz_4dqm[[#This Row],[vehicle_age]]&lt;=3,"Newer",qhkz_4dqm[[#This Row],[vehicle_age]]&lt;=9,"Mid-age",qhkz_4dqm[[#This Row],[vehicle_age]]&lt;=19,"Older",qhkz_4dqm[[#This Row],[vehicle_age]]&gt;=20,"Very Old")</f>
        <v>Very Old</v>
      </c>
    </row>
    <row r="97" spans="1:10">
      <c r="A97" s="2">
        <v>24011633</v>
      </c>
      <c r="B97" s="2">
        <v>2401163301</v>
      </c>
      <c r="C97" s="2">
        <v>1</v>
      </c>
      <c r="D97" s="2">
        <v>2023</v>
      </c>
      <c r="E97" s="2">
        <v>1</v>
      </c>
      <c r="F97" s="2">
        <v>376.51</v>
      </c>
      <c r="G97" s="2">
        <v>1142.49</v>
      </c>
      <c r="H97" s="2" t="str">
        <f>VLOOKUP(qhkz_4dqm[[#This Row],[fuel_type]],lookup!A:B,2,FALSE)</f>
        <v>Gasoline</v>
      </c>
      <c r="I97" s="2">
        <f ca="1">YEAR(TODAY())-qhkz_4dqm[[#This Row],[year]]</f>
        <v>3</v>
      </c>
      <c r="J97" s="2" t="str" cm="1">
        <f t="array" aca="1" ref="J97" ca="1">_xlfn.IFS(qhkz_4dqm[[#This Row],[vehicle_age]]&lt;=3,"Newer",qhkz_4dqm[[#This Row],[vehicle_age]]&lt;=9,"Mid-age",qhkz_4dqm[[#This Row],[vehicle_age]]&lt;=19,"Older",qhkz_4dqm[[#This Row],[vehicle_age]]&gt;=20,"Very Old")</f>
        <v>Newer</v>
      </c>
    </row>
    <row r="98" spans="1:10">
      <c r="A98" s="2">
        <v>24011956</v>
      </c>
      <c r="B98" s="2">
        <v>2401195601</v>
      </c>
      <c r="C98" s="2">
        <v>1</v>
      </c>
      <c r="D98" s="2">
        <v>2022</v>
      </c>
      <c r="E98" s="2">
        <v>1</v>
      </c>
      <c r="F98" s="2">
        <v>2883.13</v>
      </c>
      <c r="G98" s="2">
        <v>7135.98</v>
      </c>
      <c r="H98" s="2" t="str">
        <f>VLOOKUP(qhkz_4dqm[[#This Row],[fuel_type]],lookup!A:B,2,FALSE)</f>
        <v>Gasoline</v>
      </c>
      <c r="I98" s="2">
        <f ca="1">YEAR(TODAY())-qhkz_4dqm[[#This Row],[year]]</f>
        <v>4</v>
      </c>
      <c r="J98" s="2" t="str" cm="1">
        <f t="array" aca="1" ref="J98" ca="1">_xlfn.IFS(qhkz_4dqm[[#This Row],[vehicle_age]]&lt;=3,"Newer",qhkz_4dqm[[#This Row],[vehicle_age]]&lt;=9,"Mid-age",qhkz_4dqm[[#This Row],[vehicle_age]]&lt;=19,"Older",qhkz_4dqm[[#This Row],[vehicle_age]]&gt;=20,"Very Old")</f>
        <v>Mid-age</v>
      </c>
    </row>
    <row r="99" spans="1:10">
      <c r="A99" s="2">
        <v>24012053</v>
      </c>
      <c r="B99" s="2">
        <v>2401205301</v>
      </c>
      <c r="C99" s="2">
        <v>1</v>
      </c>
      <c r="D99" s="2">
        <v>2024</v>
      </c>
      <c r="E99" s="2">
        <v>2</v>
      </c>
      <c r="F99" s="2">
        <v>307.55</v>
      </c>
      <c r="G99" s="2">
        <v>1423.72</v>
      </c>
      <c r="H99" s="2" t="str">
        <f>VLOOKUP(qhkz_4dqm[[#This Row],[fuel_type]],lookup!A:B,2,FALSE)</f>
        <v>Diesel</v>
      </c>
      <c r="I99" s="2">
        <f ca="1">YEAR(TODAY())-qhkz_4dqm[[#This Row],[year]]</f>
        <v>2</v>
      </c>
      <c r="J99" s="2" t="str" cm="1">
        <f t="array" aca="1" ref="J99" ca="1">_xlfn.IFS(qhkz_4dqm[[#This Row],[vehicle_age]]&lt;=3,"Newer",qhkz_4dqm[[#This Row],[vehicle_age]]&lt;=9,"Mid-age",qhkz_4dqm[[#This Row],[vehicle_age]]&lt;=19,"Older",qhkz_4dqm[[#This Row],[vehicle_age]]&gt;=20,"Very Old")</f>
        <v>Newer</v>
      </c>
    </row>
    <row r="100" spans="1:10">
      <c r="A100" s="2">
        <v>24012193</v>
      </c>
      <c r="B100" s="2">
        <v>2401219301</v>
      </c>
      <c r="C100" s="2">
        <v>1</v>
      </c>
      <c r="D100" s="2">
        <v>2015</v>
      </c>
      <c r="E100" s="2">
        <v>1</v>
      </c>
      <c r="F100" s="2">
        <v>320.74</v>
      </c>
      <c r="G100" s="2">
        <v>424.42</v>
      </c>
      <c r="H100" s="2" t="str">
        <f>VLOOKUP(qhkz_4dqm[[#This Row],[fuel_type]],lookup!A:B,2,FALSE)</f>
        <v>Gasoline</v>
      </c>
      <c r="I100" s="2">
        <f ca="1">YEAR(TODAY())-qhkz_4dqm[[#This Row],[year]]</f>
        <v>11</v>
      </c>
      <c r="J100" s="2" t="str" cm="1">
        <f t="array" aca="1" ref="J100" ca="1">_xlfn.IFS(qhkz_4dqm[[#This Row],[vehicle_age]]&lt;=3,"Newer",qhkz_4dqm[[#This Row],[vehicle_age]]&lt;=9,"Mid-age",qhkz_4dqm[[#This Row],[vehicle_age]]&lt;=19,"Older",qhkz_4dqm[[#This Row],[vehicle_age]]&gt;=20,"Very Old")</f>
        <v>Older</v>
      </c>
    </row>
    <row r="101" spans="1:10">
      <c r="A101" s="2">
        <v>24012237</v>
      </c>
      <c r="B101" s="2">
        <v>2401223701</v>
      </c>
      <c r="C101" s="2">
        <v>1</v>
      </c>
      <c r="D101" s="2">
        <v>2017</v>
      </c>
      <c r="E101" s="2">
        <v>1</v>
      </c>
      <c r="F101" s="2">
        <v>178.25</v>
      </c>
      <c r="G101" s="2">
        <v>555.32000000000005</v>
      </c>
      <c r="H101" s="2" t="str">
        <f>VLOOKUP(qhkz_4dqm[[#This Row],[fuel_type]],lookup!A:B,2,FALSE)</f>
        <v>Gasoline</v>
      </c>
      <c r="I101" s="2">
        <f ca="1">YEAR(TODAY())-qhkz_4dqm[[#This Row],[year]]</f>
        <v>9</v>
      </c>
      <c r="J101" s="2" t="str" cm="1">
        <f t="array" aca="1" ref="J101" ca="1">_xlfn.IFS(qhkz_4dqm[[#This Row],[vehicle_age]]&lt;=3,"Newer",qhkz_4dqm[[#This Row],[vehicle_age]]&lt;=9,"Mid-age",qhkz_4dqm[[#This Row],[vehicle_age]]&lt;=19,"Older",qhkz_4dqm[[#This Row],[vehicle_age]]&gt;=20,"Very Old")</f>
        <v>Mid-age</v>
      </c>
    </row>
    <row r="102" spans="1:10">
      <c r="A102" s="2">
        <v>24012288</v>
      </c>
      <c r="B102" s="2">
        <v>2401228801</v>
      </c>
      <c r="C102" s="2">
        <v>1</v>
      </c>
      <c r="D102" s="2">
        <v>2019</v>
      </c>
      <c r="E102" s="2">
        <v>1</v>
      </c>
      <c r="F102" s="2">
        <v>62.34</v>
      </c>
      <c r="G102" s="2">
        <v>184.58</v>
      </c>
      <c r="H102" s="2" t="str">
        <f>VLOOKUP(qhkz_4dqm[[#This Row],[fuel_type]],lookup!A:B,2,FALSE)</f>
        <v>Gasoline</v>
      </c>
      <c r="I102" s="2">
        <f ca="1">YEAR(TODAY())-qhkz_4dqm[[#This Row],[year]]</f>
        <v>7</v>
      </c>
      <c r="J102" s="2" t="str" cm="1">
        <f t="array" aca="1" ref="J102" ca="1">_xlfn.IFS(qhkz_4dqm[[#This Row],[vehicle_age]]&lt;=3,"Newer",qhkz_4dqm[[#This Row],[vehicle_age]]&lt;=9,"Mid-age",qhkz_4dqm[[#This Row],[vehicle_age]]&lt;=19,"Older",qhkz_4dqm[[#This Row],[vehicle_age]]&gt;=20,"Very Old")</f>
        <v>Mid-age</v>
      </c>
    </row>
    <row r="103" spans="1:10">
      <c r="A103" s="2">
        <v>24012463</v>
      </c>
      <c r="B103" s="2">
        <v>2401246301</v>
      </c>
      <c r="C103" s="2">
        <v>1</v>
      </c>
      <c r="D103" s="2">
        <v>2007</v>
      </c>
      <c r="E103" s="2">
        <v>1</v>
      </c>
      <c r="F103" s="2">
        <v>101.81</v>
      </c>
      <c r="G103" s="2">
        <v>228.67</v>
      </c>
      <c r="H103" s="2" t="str">
        <f>VLOOKUP(qhkz_4dqm[[#This Row],[fuel_type]],lookup!A:B,2,FALSE)</f>
        <v>Gasoline</v>
      </c>
      <c r="I103" s="2">
        <f ca="1">YEAR(TODAY())-qhkz_4dqm[[#This Row],[year]]</f>
        <v>19</v>
      </c>
      <c r="J103" s="2" t="str" cm="1">
        <f t="array" aca="1" ref="J103" ca="1">_xlfn.IFS(qhkz_4dqm[[#This Row],[vehicle_age]]&lt;=3,"Newer",qhkz_4dqm[[#This Row],[vehicle_age]]&lt;=9,"Mid-age",qhkz_4dqm[[#This Row],[vehicle_age]]&lt;=19,"Older",qhkz_4dqm[[#This Row],[vehicle_age]]&gt;=20,"Very Old")</f>
        <v>Older</v>
      </c>
    </row>
    <row r="104" spans="1:10">
      <c r="A104" s="2">
        <v>24012649</v>
      </c>
      <c r="B104" s="2">
        <v>2401264901</v>
      </c>
      <c r="C104" s="2">
        <v>1</v>
      </c>
      <c r="D104" s="2">
        <v>2011</v>
      </c>
      <c r="E104" s="2">
        <v>1</v>
      </c>
      <c r="F104" s="2">
        <v>351.95</v>
      </c>
      <c r="G104" s="2">
        <v>742.55</v>
      </c>
      <c r="H104" s="2" t="str">
        <f>VLOOKUP(qhkz_4dqm[[#This Row],[fuel_type]],lookup!A:B,2,FALSE)</f>
        <v>Gasoline</v>
      </c>
      <c r="I104" s="2">
        <f ca="1">YEAR(TODAY())-qhkz_4dqm[[#This Row],[year]]</f>
        <v>15</v>
      </c>
      <c r="J104" s="2" t="str" cm="1">
        <f t="array" aca="1" ref="J104" ca="1">_xlfn.IFS(qhkz_4dqm[[#This Row],[vehicle_age]]&lt;=3,"Newer",qhkz_4dqm[[#This Row],[vehicle_age]]&lt;=9,"Mid-age",qhkz_4dqm[[#This Row],[vehicle_age]]&lt;=19,"Older",qhkz_4dqm[[#This Row],[vehicle_age]]&gt;=20,"Very Old")</f>
        <v>Older</v>
      </c>
    </row>
    <row r="105" spans="1:10">
      <c r="A105" s="2">
        <v>24013008</v>
      </c>
      <c r="B105" s="2">
        <v>2401300801</v>
      </c>
      <c r="C105" s="2">
        <v>1</v>
      </c>
      <c r="D105" s="2">
        <v>2012</v>
      </c>
      <c r="E105" s="2">
        <v>1</v>
      </c>
      <c r="F105" s="2">
        <v>80.790000000000006</v>
      </c>
      <c r="G105" s="2">
        <v>181.7</v>
      </c>
      <c r="H105" s="2" t="str">
        <f>VLOOKUP(qhkz_4dqm[[#This Row],[fuel_type]],lookup!A:B,2,FALSE)</f>
        <v>Gasoline</v>
      </c>
      <c r="I105" s="2">
        <f ca="1">YEAR(TODAY())-qhkz_4dqm[[#This Row],[year]]</f>
        <v>14</v>
      </c>
      <c r="J105" s="2" t="str" cm="1">
        <f t="array" aca="1" ref="J105" ca="1">_xlfn.IFS(qhkz_4dqm[[#This Row],[vehicle_age]]&lt;=3,"Newer",qhkz_4dqm[[#This Row],[vehicle_age]]&lt;=9,"Mid-age",qhkz_4dqm[[#This Row],[vehicle_age]]&lt;=19,"Older",qhkz_4dqm[[#This Row],[vehicle_age]]&gt;=20,"Very Old")</f>
        <v>Older</v>
      </c>
    </row>
    <row r="106" spans="1:10">
      <c r="A106" s="2">
        <v>24013023</v>
      </c>
      <c r="B106" s="2">
        <v>2401302301</v>
      </c>
      <c r="C106" s="2">
        <v>1</v>
      </c>
      <c r="D106" s="2">
        <v>2024</v>
      </c>
      <c r="E106" s="2">
        <v>1</v>
      </c>
      <c r="F106" s="2">
        <v>551.15</v>
      </c>
      <c r="G106" s="2">
        <v>314.81</v>
      </c>
      <c r="H106" s="2" t="str">
        <f>VLOOKUP(qhkz_4dqm[[#This Row],[fuel_type]],lookup!A:B,2,FALSE)</f>
        <v>Gasoline</v>
      </c>
      <c r="I106" s="2">
        <f ca="1">YEAR(TODAY())-qhkz_4dqm[[#This Row],[year]]</f>
        <v>2</v>
      </c>
      <c r="J106" s="2" t="str" cm="1">
        <f t="array" aca="1" ref="J106" ca="1">_xlfn.IFS(qhkz_4dqm[[#This Row],[vehicle_age]]&lt;=3,"Newer",qhkz_4dqm[[#This Row],[vehicle_age]]&lt;=9,"Mid-age",qhkz_4dqm[[#This Row],[vehicle_age]]&lt;=19,"Older",qhkz_4dqm[[#This Row],[vehicle_age]]&gt;=20,"Very Old")</f>
        <v>Newer</v>
      </c>
    </row>
    <row r="107" spans="1:10">
      <c r="A107" s="2">
        <v>24013268</v>
      </c>
      <c r="B107" s="2">
        <v>2401326801</v>
      </c>
      <c r="C107" s="2">
        <v>1</v>
      </c>
      <c r="D107" s="2">
        <v>2021</v>
      </c>
      <c r="E107" s="2">
        <v>1</v>
      </c>
      <c r="F107" s="2">
        <v>389.01</v>
      </c>
      <c r="G107" s="2">
        <v>482.14</v>
      </c>
      <c r="H107" s="2" t="str">
        <f>VLOOKUP(qhkz_4dqm[[#This Row],[fuel_type]],lookup!A:B,2,FALSE)</f>
        <v>Gasoline</v>
      </c>
      <c r="I107" s="2">
        <f ca="1">YEAR(TODAY())-qhkz_4dqm[[#This Row],[year]]</f>
        <v>5</v>
      </c>
      <c r="J107" s="2" t="str" cm="1">
        <f t="array" aca="1" ref="J107" ca="1">_xlfn.IFS(qhkz_4dqm[[#This Row],[vehicle_age]]&lt;=3,"Newer",qhkz_4dqm[[#This Row],[vehicle_age]]&lt;=9,"Mid-age",qhkz_4dqm[[#This Row],[vehicle_age]]&lt;=19,"Older",qhkz_4dqm[[#This Row],[vehicle_age]]&gt;=20,"Very Old")</f>
        <v>Mid-age</v>
      </c>
    </row>
    <row r="108" spans="1:10">
      <c r="A108" s="2">
        <v>24013288</v>
      </c>
      <c r="B108" s="2">
        <v>2401328801</v>
      </c>
      <c r="C108" s="2">
        <v>1</v>
      </c>
      <c r="D108" s="2">
        <v>2023</v>
      </c>
      <c r="E108" s="2">
        <v>4</v>
      </c>
      <c r="F108" s="2">
        <v>1762.93</v>
      </c>
      <c r="G108" s="2">
        <v>6347.21</v>
      </c>
      <c r="H108" s="2" t="str">
        <f>VLOOKUP(qhkz_4dqm[[#This Row],[fuel_type]],lookup!A:B,2,FALSE)</f>
        <v>Electric</v>
      </c>
      <c r="I108" s="2">
        <f ca="1">YEAR(TODAY())-qhkz_4dqm[[#This Row],[year]]</f>
        <v>3</v>
      </c>
      <c r="J108" s="2" t="str" cm="1">
        <f t="array" aca="1" ref="J108" ca="1">_xlfn.IFS(qhkz_4dqm[[#This Row],[vehicle_age]]&lt;=3,"Newer",qhkz_4dqm[[#This Row],[vehicle_age]]&lt;=9,"Mid-age",qhkz_4dqm[[#This Row],[vehicle_age]]&lt;=19,"Older",qhkz_4dqm[[#This Row],[vehicle_age]]&gt;=20,"Very Old")</f>
        <v>Newer</v>
      </c>
    </row>
    <row r="109" spans="1:10">
      <c r="A109" s="2">
        <v>24013354</v>
      </c>
      <c r="B109" s="2">
        <v>2401335401</v>
      </c>
      <c r="C109" s="2">
        <v>1</v>
      </c>
      <c r="D109" s="2">
        <v>2018</v>
      </c>
      <c r="E109" s="2">
        <v>1</v>
      </c>
      <c r="F109" s="2">
        <v>39.61</v>
      </c>
      <c r="G109" s="2">
        <v>149.59</v>
      </c>
      <c r="H109" s="2" t="str">
        <f>VLOOKUP(qhkz_4dqm[[#This Row],[fuel_type]],lookup!A:B,2,FALSE)</f>
        <v>Gasoline</v>
      </c>
      <c r="I109" s="2">
        <f ca="1">YEAR(TODAY())-qhkz_4dqm[[#This Row],[year]]</f>
        <v>8</v>
      </c>
      <c r="J109" s="2" t="str" cm="1">
        <f t="array" aca="1" ref="J109" ca="1">_xlfn.IFS(qhkz_4dqm[[#This Row],[vehicle_age]]&lt;=3,"Newer",qhkz_4dqm[[#This Row],[vehicle_age]]&lt;=9,"Mid-age",qhkz_4dqm[[#This Row],[vehicle_age]]&lt;=19,"Older",qhkz_4dqm[[#This Row],[vehicle_age]]&gt;=20,"Very Old")</f>
        <v>Mid-age</v>
      </c>
    </row>
    <row r="110" spans="1:10">
      <c r="A110" s="2">
        <v>24013464</v>
      </c>
      <c r="B110" s="2">
        <v>2401346401</v>
      </c>
      <c r="C110" s="2">
        <v>1</v>
      </c>
      <c r="D110" s="2">
        <v>2008</v>
      </c>
      <c r="E110" s="2">
        <v>1</v>
      </c>
      <c r="F110" s="2">
        <v>6716.98</v>
      </c>
      <c r="G110" s="2">
        <v>7102.55</v>
      </c>
      <c r="H110" s="2" t="str">
        <f>VLOOKUP(qhkz_4dqm[[#This Row],[fuel_type]],lookup!A:B,2,FALSE)</f>
        <v>Gasoline</v>
      </c>
      <c r="I110" s="2">
        <f ca="1">YEAR(TODAY())-qhkz_4dqm[[#This Row],[year]]</f>
        <v>18</v>
      </c>
      <c r="J110" s="2" t="str" cm="1">
        <f t="array" aca="1" ref="J110" ca="1">_xlfn.IFS(qhkz_4dqm[[#This Row],[vehicle_age]]&lt;=3,"Newer",qhkz_4dqm[[#This Row],[vehicle_age]]&lt;=9,"Mid-age",qhkz_4dqm[[#This Row],[vehicle_age]]&lt;=19,"Older",qhkz_4dqm[[#This Row],[vehicle_age]]&gt;=20,"Very Old")</f>
        <v>Older</v>
      </c>
    </row>
    <row r="111" spans="1:10">
      <c r="A111" s="2">
        <v>24013523</v>
      </c>
      <c r="B111" s="2">
        <v>2401352301</v>
      </c>
      <c r="C111" s="2">
        <v>1</v>
      </c>
      <c r="D111" s="2">
        <v>2013</v>
      </c>
      <c r="E111" s="2">
        <v>1</v>
      </c>
      <c r="F111" s="2">
        <v>202</v>
      </c>
      <c r="G111" s="2">
        <v>271.24</v>
      </c>
      <c r="H111" s="2" t="str">
        <f>VLOOKUP(qhkz_4dqm[[#This Row],[fuel_type]],lookup!A:B,2,FALSE)</f>
        <v>Gasoline</v>
      </c>
      <c r="I111" s="2">
        <f ca="1">YEAR(TODAY())-qhkz_4dqm[[#This Row],[year]]</f>
        <v>13</v>
      </c>
      <c r="J111" s="2" t="str" cm="1">
        <f t="array" aca="1" ref="J111" ca="1">_xlfn.IFS(qhkz_4dqm[[#This Row],[vehicle_age]]&lt;=3,"Newer",qhkz_4dqm[[#This Row],[vehicle_age]]&lt;=9,"Mid-age",qhkz_4dqm[[#This Row],[vehicle_age]]&lt;=19,"Older",qhkz_4dqm[[#This Row],[vehicle_age]]&gt;=20,"Very Old")</f>
        <v>Older</v>
      </c>
    </row>
    <row r="112" spans="1:10">
      <c r="A112" s="2">
        <v>24013543</v>
      </c>
      <c r="B112" s="2">
        <v>2401354301</v>
      </c>
      <c r="C112" s="2">
        <v>1</v>
      </c>
      <c r="D112" s="2">
        <v>2022</v>
      </c>
      <c r="E112" s="2">
        <v>1</v>
      </c>
      <c r="F112" s="2">
        <v>1330.06</v>
      </c>
      <c r="G112" s="2">
        <v>719.35</v>
      </c>
      <c r="H112" s="2" t="str">
        <f>VLOOKUP(qhkz_4dqm[[#This Row],[fuel_type]],lookup!A:B,2,FALSE)</f>
        <v>Gasoline</v>
      </c>
      <c r="I112" s="2">
        <f ca="1">YEAR(TODAY())-qhkz_4dqm[[#This Row],[year]]</f>
        <v>4</v>
      </c>
      <c r="J112" s="2" t="str" cm="1">
        <f t="array" aca="1" ref="J112" ca="1">_xlfn.IFS(qhkz_4dqm[[#This Row],[vehicle_age]]&lt;=3,"Newer",qhkz_4dqm[[#This Row],[vehicle_age]]&lt;=9,"Mid-age",qhkz_4dqm[[#This Row],[vehicle_age]]&lt;=19,"Older",qhkz_4dqm[[#This Row],[vehicle_age]]&gt;=20,"Very Old")</f>
        <v>Mid-age</v>
      </c>
    </row>
    <row r="113" spans="1:10">
      <c r="A113" s="2">
        <v>24013590</v>
      </c>
      <c r="B113" s="2">
        <v>2401359001</v>
      </c>
      <c r="C113" s="2">
        <v>1</v>
      </c>
      <c r="D113" s="2">
        <v>2016</v>
      </c>
      <c r="E113" s="2">
        <v>1</v>
      </c>
      <c r="F113" s="2">
        <v>135.46</v>
      </c>
      <c r="G113" s="2">
        <v>313.98</v>
      </c>
      <c r="H113" s="2" t="str">
        <f>VLOOKUP(qhkz_4dqm[[#This Row],[fuel_type]],lookup!A:B,2,FALSE)</f>
        <v>Gasoline</v>
      </c>
      <c r="I113" s="2">
        <f ca="1">YEAR(TODAY())-qhkz_4dqm[[#This Row],[year]]</f>
        <v>10</v>
      </c>
      <c r="J113" s="2" t="str" cm="1">
        <f t="array" aca="1" ref="J113" ca="1">_xlfn.IFS(qhkz_4dqm[[#This Row],[vehicle_age]]&lt;=3,"Newer",qhkz_4dqm[[#This Row],[vehicle_age]]&lt;=9,"Mid-age",qhkz_4dqm[[#This Row],[vehicle_age]]&lt;=19,"Older",qhkz_4dqm[[#This Row],[vehicle_age]]&gt;=20,"Very Old")</f>
        <v>Older</v>
      </c>
    </row>
    <row r="114" spans="1:10">
      <c r="A114" s="2">
        <v>24013709</v>
      </c>
      <c r="B114" s="2">
        <v>2401370901</v>
      </c>
      <c r="C114" s="2">
        <v>1</v>
      </c>
      <c r="D114" s="2">
        <v>2016</v>
      </c>
      <c r="E114" s="2">
        <v>1</v>
      </c>
      <c r="F114" s="2">
        <v>2716.95</v>
      </c>
      <c r="G114" s="2">
        <v>2388.1799999999998</v>
      </c>
      <c r="H114" s="2" t="str">
        <f>VLOOKUP(qhkz_4dqm[[#This Row],[fuel_type]],lookup!A:B,2,FALSE)</f>
        <v>Gasoline</v>
      </c>
      <c r="I114" s="2">
        <f ca="1">YEAR(TODAY())-qhkz_4dqm[[#This Row],[year]]</f>
        <v>10</v>
      </c>
      <c r="J114" s="2" t="str" cm="1">
        <f t="array" aca="1" ref="J114" ca="1">_xlfn.IFS(qhkz_4dqm[[#This Row],[vehicle_age]]&lt;=3,"Newer",qhkz_4dqm[[#This Row],[vehicle_age]]&lt;=9,"Mid-age",qhkz_4dqm[[#This Row],[vehicle_age]]&lt;=19,"Older",qhkz_4dqm[[#This Row],[vehicle_age]]&gt;=20,"Very Old")</f>
        <v>Older</v>
      </c>
    </row>
    <row r="115" spans="1:10">
      <c r="A115" s="2">
        <v>24013859</v>
      </c>
      <c r="B115" s="2">
        <v>2401385901</v>
      </c>
      <c r="C115" s="2">
        <v>1</v>
      </c>
      <c r="D115" s="2">
        <v>2023</v>
      </c>
      <c r="E115" s="2">
        <v>4</v>
      </c>
      <c r="F115" s="2">
        <v>220.21</v>
      </c>
      <c r="G115" s="2">
        <v>116.22</v>
      </c>
      <c r="H115" s="2" t="str">
        <f>VLOOKUP(qhkz_4dqm[[#This Row],[fuel_type]],lookup!A:B,2,FALSE)</f>
        <v>Electric</v>
      </c>
      <c r="I115" s="2">
        <f ca="1">YEAR(TODAY())-qhkz_4dqm[[#This Row],[year]]</f>
        <v>3</v>
      </c>
      <c r="J115" s="2" t="str" cm="1">
        <f t="array" aca="1" ref="J115" ca="1">_xlfn.IFS(qhkz_4dqm[[#This Row],[vehicle_age]]&lt;=3,"Newer",qhkz_4dqm[[#This Row],[vehicle_age]]&lt;=9,"Mid-age",qhkz_4dqm[[#This Row],[vehicle_age]]&lt;=19,"Older",qhkz_4dqm[[#This Row],[vehicle_age]]&gt;=20,"Very Old")</f>
        <v>Newer</v>
      </c>
    </row>
    <row r="116" spans="1:10">
      <c r="A116" s="2">
        <v>24013882</v>
      </c>
      <c r="B116" s="2">
        <v>2401388201</v>
      </c>
      <c r="C116" s="2">
        <v>1</v>
      </c>
      <c r="D116" s="2">
        <v>2003</v>
      </c>
      <c r="E116" s="2">
        <v>1</v>
      </c>
      <c r="F116" s="2">
        <v>214.45</v>
      </c>
      <c r="G116" s="2">
        <v>359.88</v>
      </c>
      <c r="H116" s="2" t="str">
        <f>VLOOKUP(qhkz_4dqm[[#This Row],[fuel_type]],lookup!A:B,2,FALSE)</f>
        <v>Gasoline</v>
      </c>
      <c r="I116" s="2">
        <f ca="1">YEAR(TODAY())-qhkz_4dqm[[#This Row],[year]]</f>
        <v>23</v>
      </c>
      <c r="J116" s="2" t="str" cm="1">
        <f t="array" aca="1" ref="J116" ca="1">_xlfn.IFS(qhkz_4dqm[[#This Row],[vehicle_age]]&lt;=3,"Newer",qhkz_4dqm[[#This Row],[vehicle_age]]&lt;=9,"Mid-age",qhkz_4dqm[[#This Row],[vehicle_age]]&lt;=19,"Older",qhkz_4dqm[[#This Row],[vehicle_age]]&gt;=20,"Very Old")</f>
        <v>Very Old</v>
      </c>
    </row>
    <row r="117" spans="1:10">
      <c r="A117" s="2">
        <v>24014086</v>
      </c>
      <c r="B117" s="2">
        <v>2401408601</v>
      </c>
      <c r="C117" s="2">
        <v>1</v>
      </c>
      <c r="D117" s="2">
        <v>2021</v>
      </c>
      <c r="E117" s="2">
        <v>2</v>
      </c>
      <c r="F117" s="2">
        <v>156.71</v>
      </c>
      <c r="G117" s="2">
        <v>467.27</v>
      </c>
      <c r="H117" s="2" t="str">
        <f>VLOOKUP(qhkz_4dqm[[#This Row],[fuel_type]],lookup!A:B,2,FALSE)</f>
        <v>Diesel</v>
      </c>
      <c r="I117" s="2">
        <f ca="1">YEAR(TODAY())-qhkz_4dqm[[#This Row],[year]]</f>
        <v>5</v>
      </c>
      <c r="J117" s="2" t="str" cm="1">
        <f t="array" aca="1" ref="J117" ca="1">_xlfn.IFS(qhkz_4dqm[[#This Row],[vehicle_age]]&lt;=3,"Newer",qhkz_4dqm[[#This Row],[vehicle_age]]&lt;=9,"Mid-age",qhkz_4dqm[[#This Row],[vehicle_age]]&lt;=19,"Older",qhkz_4dqm[[#This Row],[vehicle_age]]&gt;=20,"Very Old")</f>
        <v>Mid-age</v>
      </c>
    </row>
    <row r="118" spans="1:10">
      <c r="A118" s="2">
        <v>24014118</v>
      </c>
      <c r="B118" s="2">
        <v>2401411801</v>
      </c>
      <c r="C118" s="2">
        <v>1</v>
      </c>
      <c r="D118" s="2">
        <v>2021</v>
      </c>
      <c r="E118" s="2">
        <v>4</v>
      </c>
      <c r="F118" s="2">
        <v>640.79</v>
      </c>
      <c r="G118" s="2">
        <v>414.6</v>
      </c>
      <c r="H118" s="2" t="str">
        <f>VLOOKUP(qhkz_4dqm[[#This Row],[fuel_type]],lookup!A:B,2,FALSE)</f>
        <v>Electric</v>
      </c>
      <c r="I118" s="2">
        <f ca="1">YEAR(TODAY())-qhkz_4dqm[[#This Row],[year]]</f>
        <v>5</v>
      </c>
      <c r="J118" s="2" t="str" cm="1">
        <f t="array" aca="1" ref="J118" ca="1">_xlfn.IFS(qhkz_4dqm[[#This Row],[vehicle_age]]&lt;=3,"Newer",qhkz_4dqm[[#This Row],[vehicle_age]]&lt;=9,"Mid-age",qhkz_4dqm[[#This Row],[vehicle_age]]&lt;=19,"Older",qhkz_4dqm[[#This Row],[vehicle_age]]&gt;=20,"Very Old")</f>
        <v>Mid-age</v>
      </c>
    </row>
    <row r="119" spans="1:10">
      <c r="A119" s="2">
        <v>24014194</v>
      </c>
      <c r="B119" s="2">
        <v>2401419401</v>
      </c>
      <c r="C119" s="2">
        <v>1</v>
      </c>
      <c r="D119" s="2">
        <v>2020</v>
      </c>
      <c r="E119" s="2">
        <v>1</v>
      </c>
      <c r="F119" s="2">
        <v>7947.68</v>
      </c>
      <c r="G119" s="2">
        <v>7143.14</v>
      </c>
      <c r="H119" s="2" t="str">
        <f>VLOOKUP(qhkz_4dqm[[#This Row],[fuel_type]],lookup!A:B,2,FALSE)</f>
        <v>Gasoline</v>
      </c>
      <c r="I119" s="2">
        <f ca="1">YEAR(TODAY())-qhkz_4dqm[[#This Row],[year]]</f>
        <v>6</v>
      </c>
      <c r="J119" s="2" t="str" cm="1">
        <f t="array" aca="1" ref="J119" ca="1">_xlfn.IFS(qhkz_4dqm[[#This Row],[vehicle_age]]&lt;=3,"Newer",qhkz_4dqm[[#This Row],[vehicle_age]]&lt;=9,"Mid-age",qhkz_4dqm[[#This Row],[vehicle_age]]&lt;=19,"Older",qhkz_4dqm[[#This Row],[vehicle_age]]&gt;=20,"Very Old")</f>
        <v>Mid-age</v>
      </c>
    </row>
    <row r="120" spans="1:10">
      <c r="A120" s="2">
        <v>24014217</v>
      </c>
      <c r="B120" s="2">
        <v>2401421701</v>
      </c>
      <c r="C120" s="2">
        <v>1</v>
      </c>
      <c r="D120" s="2">
        <v>2012</v>
      </c>
      <c r="E120" s="2">
        <v>1</v>
      </c>
      <c r="F120" s="2">
        <v>254.4</v>
      </c>
      <c r="G120" s="2">
        <v>1286.8</v>
      </c>
      <c r="H120" s="2" t="str">
        <f>VLOOKUP(qhkz_4dqm[[#This Row],[fuel_type]],lookup!A:B,2,FALSE)</f>
        <v>Gasoline</v>
      </c>
      <c r="I120" s="2">
        <f ca="1">YEAR(TODAY())-qhkz_4dqm[[#This Row],[year]]</f>
        <v>14</v>
      </c>
      <c r="J120" s="2" t="str" cm="1">
        <f t="array" aca="1" ref="J120" ca="1">_xlfn.IFS(qhkz_4dqm[[#This Row],[vehicle_age]]&lt;=3,"Newer",qhkz_4dqm[[#This Row],[vehicle_age]]&lt;=9,"Mid-age",qhkz_4dqm[[#This Row],[vehicle_age]]&lt;=19,"Older",qhkz_4dqm[[#This Row],[vehicle_age]]&gt;=20,"Very Old")</f>
        <v>Older</v>
      </c>
    </row>
    <row r="121" spans="1:10">
      <c r="A121" s="2">
        <v>24014230</v>
      </c>
      <c r="B121" s="2">
        <v>2401423001</v>
      </c>
      <c r="C121" s="2">
        <v>1</v>
      </c>
      <c r="D121" s="2">
        <v>1999</v>
      </c>
      <c r="E121" s="2">
        <v>1</v>
      </c>
      <c r="F121" s="2">
        <v>925.93</v>
      </c>
      <c r="G121" s="2">
        <v>2343.79</v>
      </c>
      <c r="H121" s="2" t="str">
        <f>VLOOKUP(qhkz_4dqm[[#This Row],[fuel_type]],lookup!A:B,2,FALSE)</f>
        <v>Gasoline</v>
      </c>
      <c r="I121" s="2">
        <f ca="1">YEAR(TODAY())-qhkz_4dqm[[#This Row],[year]]</f>
        <v>27</v>
      </c>
      <c r="J121" s="2" t="str" cm="1">
        <f t="array" aca="1" ref="J121" ca="1">_xlfn.IFS(qhkz_4dqm[[#This Row],[vehicle_age]]&lt;=3,"Newer",qhkz_4dqm[[#This Row],[vehicle_age]]&lt;=9,"Mid-age",qhkz_4dqm[[#This Row],[vehicle_age]]&lt;=19,"Older",qhkz_4dqm[[#This Row],[vehicle_age]]&gt;=20,"Very Old")</f>
        <v>Very Old</v>
      </c>
    </row>
    <row r="122" spans="1:10">
      <c r="A122" s="2">
        <v>24014259</v>
      </c>
      <c r="B122" s="2">
        <v>2401425901</v>
      </c>
      <c r="C122" s="2">
        <v>1</v>
      </c>
      <c r="D122" s="2">
        <v>2022</v>
      </c>
      <c r="E122" s="2">
        <v>1</v>
      </c>
      <c r="F122" s="2">
        <v>77.66</v>
      </c>
      <c r="G122" s="2">
        <v>216.11</v>
      </c>
      <c r="H122" s="2" t="str">
        <f>VLOOKUP(qhkz_4dqm[[#This Row],[fuel_type]],lookup!A:B,2,FALSE)</f>
        <v>Gasoline</v>
      </c>
      <c r="I122" s="2">
        <f ca="1">YEAR(TODAY())-qhkz_4dqm[[#This Row],[year]]</f>
        <v>4</v>
      </c>
      <c r="J122" s="2" t="str" cm="1">
        <f t="array" aca="1" ref="J122" ca="1">_xlfn.IFS(qhkz_4dqm[[#This Row],[vehicle_age]]&lt;=3,"Newer",qhkz_4dqm[[#This Row],[vehicle_age]]&lt;=9,"Mid-age",qhkz_4dqm[[#This Row],[vehicle_age]]&lt;=19,"Older",qhkz_4dqm[[#This Row],[vehicle_age]]&gt;=20,"Very Old")</f>
        <v>Mid-age</v>
      </c>
    </row>
    <row r="123" spans="1:10">
      <c r="A123" s="2">
        <v>24014300</v>
      </c>
      <c r="B123" s="2">
        <v>2401430001</v>
      </c>
      <c r="C123" s="2">
        <v>1</v>
      </c>
      <c r="D123" s="2">
        <v>2024</v>
      </c>
      <c r="E123" s="2">
        <v>1</v>
      </c>
      <c r="F123" s="2">
        <v>293.14</v>
      </c>
      <c r="G123" s="2">
        <v>412.7</v>
      </c>
      <c r="H123" s="2" t="str">
        <f>VLOOKUP(qhkz_4dqm[[#This Row],[fuel_type]],lookup!A:B,2,FALSE)</f>
        <v>Gasoline</v>
      </c>
      <c r="I123" s="2">
        <f ca="1">YEAR(TODAY())-qhkz_4dqm[[#This Row],[year]]</f>
        <v>2</v>
      </c>
      <c r="J123" s="2" t="str" cm="1">
        <f t="array" aca="1" ref="J123" ca="1">_xlfn.IFS(qhkz_4dqm[[#This Row],[vehicle_age]]&lt;=3,"Newer",qhkz_4dqm[[#This Row],[vehicle_age]]&lt;=9,"Mid-age",qhkz_4dqm[[#This Row],[vehicle_age]]&lt;=19,"Older",qhkz_4dqm[[#This Row],[vehicle_age]]&gt;=20,"Very Old")</f>
        <v>Newer</v>
      </c>
    </row>
    <row r="124" spans="1:10">
      <c r="A124" s="2">
        <v>24014686</v>
      </c>
      <c r="B124" s="2">
        <v>2401468601</v>
      </c>
      <c r="C124" s="2">
        <v>1</v>
      </c>
      <c r="D124" s="2">
        <v>2022</v>
      </c>
      <c r="E124" s="2">
        <v>1</v>
      </c>
      <c r="F124" s="2">
        <v>98.47</v>
      </c>
      <c r="G124" s="2">
        <v>172.94</v>
      </c>
      <c r="H124" s="2" t="str">
        <f>VLOOKUP(qhkz_4dqm[[#This Row],[fuel_type]],lookup!A:B,2,FALSE)</f>
        <v>Gasoline</v>
      </c>
      <c r="I124" s="2">
        <f ca="1">YEAR(TODAY())-qhkz_4dqm[[#This Row],[year]]</f>
        <v>4</v>
      </c>
      <c r="J124" s="2" t="str" cm="1">
        <f t="array" aca="1" ref="J124" ca="1">_xlfn.IFS(qhkz_4dqm[[#This Row],[vehicle_age]]&lt;=3,"Newer",qhkz_4dqm[[#This Row],[vehicle_age]]&lt;=9,"Mid-age",qhkz_4dqm[[#This Row],[vehicle_age]]&lt;=19,"Older",qhkz_4dqm[[#This Row],[vehicle_age]]&gt;=20,"Very Old")</f>
        <v>Mid-age</v>
      </c>
    </row>
    <row r="125" spans="1:10">
      <c r="A125" s="2">
        <v>24014771</v>
      </c>
      <c r="B125" s="2">
        <v>2401477101</v>
      </c>
      <c r="C125" s="2">
        <v>1</v>
      </c>
      <c r="D125" s="2">
        <v>2021</v>
      </c>
      <c r="E125" s="2">
        <v>1</v>
      </c>
      <c r="F125" s="2">
        <v>254.22</v>
      </c>
      <c r="G125" s="2">
        <v>497.14</v>
      </c>
      <c r="H125" s="2" t="str">
        <f>VLOOKUP(qhkz_4dqm[[#This Row],[fuel_type]],lookup!A:B,2,FALSE)</f>
        <v>Gasoline</v>
      </c>
      <c r="I125" s="2">
        <f ca="1">YEAR(TODAY())-qhkz_4dqm[[#This Row],[year]]</f>
        <v>5</v>
      </c>
      <c r="J125" s="2" t="str" cm="1">
        <f t="array" aca="1" ref="J125" ca="1">_xlfn.IFS(qhkz_4dqm[[#This Row],[vehicle_age]]&lt;=3,"Newer",qhkz_4dqm[[#This Row],[vehicle_age]]&lt;=9,"Mid-age",qhkz_4dqm[[#This Row],[vehicle_age]]&lt;=19,"Older",qhkz_4dqm[[#This Row],[vehicle_age]]&gt;=20,"Very Old")</f>
        <v>Mid-age</v>
      </c>
    </row>
    <row r="126" spans="1:10">
      <c r="A126" s="2">
        <v>24014865</v>
      </c>
      <c r="B126" s="2">
        <v>2401486501</v>
      </c>
      <c r="C126" s="2">
        <v>1</v>
      </c>
      <c r="D126" s="2">
        <v>2009</v>
      </c>
      <c r="E126" s="2">
        <v>1</v>
      </c>
      <c r="F126" s="2">
        <v>59.4</v>
      </c>
      <c r="G126" s="2">
        <v>257.63</v>
      </c>
      <c r="H126" s="2" t="str">
        <f>VLOOKUP(qhkz_4dqm[[#This Row],[fuel_type]],lookup!A:B,2,FALSE)</f>
        <v>Gasoline</v>
      </c>
      <c r="I126" s="2">
        <f ca="1">YEAR(TODAY())-qhkz_4dqm[[#This Row],[year]]</f>
        <v>17</v>
      </c>
      <c r="J126" s="2" t="str" cm="1">
        <f t="array" aca="1" ref="J126" ca="1">_xlfn.IFS(qhkz_4dqm[[#This Row],[vehicle_age]]&lt;=3,"Newer",qhkz_4dqm[[#This Row],[vehicle_age]]&lt;=9,"Mid-age",qhkz_4dqm[[#This Row],[vehicle_age]]&lt;=19,"Older",qhkz_4dqm[[#This Row],[vehicle_age]]&gt;=20,"Very Old")</f>
        <v>Older</v>
      </c>
    </row>
    <row r="127" spans="1:10">
      <c r="A127" s="2">
        <v>24015273</v>
      </c>
      <c r="B127" s="2">
        <v>2401527301</v>
      </c>
      <c r="C127" s="2">
        <v>1</v>
      </c>
      <c r="D127" s="2">
        <v>2021</v>
      </c>
      <c r="E127" s="2">
        <v>1</v>
      </c>
      <c r="F127" s="2">
        <v>1099.06</v>
      </c>
      <c r="G127" s="2">
        <v>2387.4699999999998</v>
      </c>
      <c r="H127" s="2" t="str">
        <f>VLOOKUP(qhkz_4dqm[[#This Row],[fuel_type]],lookup!A:B,2,FALSE)</f>
        <v>Gasoline</v>
      </c>
      <c r="I127" s="2">
        <f ca="1">YEAR(TODAY())-qhkz_4dqm[[#This Row],[year]]</f>
        <v>5</v>
      </c>
      <c r="J127" s="2" t="str" cm="1">
        <f t="array" aca="1" ref="J127" ca="1">_xlfn.IFS(qhkz_4dqm[[#This Row],[vehicle_age]]&lt;=3,"Newer",qhkz_4dqm[[#This Row],[vehicle_age]]&lt;=9,"Mid-age",qhkz_4dqm[[#This Row],[vehicle_age]]&lt;=19,"Older",qhkz_4dqm[[#This Row],[vehicle_age]]&gt;=20,"Very Old")</f>
        <v>Mid-age</v>
      </c>
    </row>
    <row r="128" spans="1:10">
      <c r="A128" s="2">
        <v>24015673</v>
      </c>
      <c r="B128" s="2">
        <v>2401567301</v>
      </c>
      <c r="C128" s="2">
        <v>1</v>
      </c>
      <c r="D128" s="2">
        <v>2024</v>
      </c>
      <c r="E128" s="2">
        <v>1</v>
      </c>
      <c r="F128" s="2">
        <v>97.27</v>
      </c>
      <c r="G128" s="2">
        <v>165.85</v>
      </c>
      <c r="H128" s="2" t="str">
        <f>VLOOKUP(qhkz_4dqm[[#This Row],[fuel_type]],lookup!A:B,2,FALSE)</f>
        <v>Gasoline</v>
      </c>
      <c r="I128" s="2">
        <f ca="1">YEAR(TODAY())-qhkz_4dqm[[#This Row],[year]]</f>
        <v>2</v>
      </c>
      <c r="J128" s="2" t="str" cm="1">
        <f t="array" aca="1" ref="J128" ca="1">_xlfn.IFS(qhkz_4dqm[[#This Row],[vehicle_age]]&lt;=3,"Newer",qhkz_4dqm[[#This Row],[vehicle_age]]&lt;=9,"Mid-age",qhkz_4dqm[[#This Row],[vehicle_age]]&lt;=19,"Older",qhkz_4dqm[[#This Row],[vehicle_age]]&gt;=20,"Very Old")</f>
        <v>Newer</v>
      </c>
    </row>
    <row r="129" spans="1:10">
      <c r="A129" s="2">
        <v>24015814</v>
      </c>
      <c r="B129" s="2">
        <v>2401581401</v>
      </c>
      <c r="C129" s="2">
        <v>1</v>
      </c>
      <c r="D129" s="2">
        <v>2017</v>
      </c>
      <c r="E129" s="2">
        <v>1</v>
      </c>
      <c r="F129" s="2">
        <v>848.04</v>
      </c>
      <c r="G129" s="2">
        <v>883</v>
      </c>
      <c r="H129" s="2" t="str">
        <f>VLOOKUP(qhkz_4dqm[[#This Row],[fuel_type]],lookup!A:B,2,FALSE)</f>
        <v>Gasoline</v>
      </c>
      <c r="I129" s="2">
        <f ca="1">YEAR(TODAY())-qhkz_4dqm[[#This Row],[year]]</f>
        <v>9</v>
      </c>
      <c r="J129" s="2" t="str" cm="1">
        <f t="array" aca="1" ref="J129" ca="1">_xlfn.IFS(qhkz_4dqm[[#This Row],[vehicle_age]]&lt;=3,"Newer",qhkz_4dqm[[#This Row],[vehicle_age]]&lt;=9,"Mid-age",qhkz_4dqm[[#This Row],[vehicle_age]]&lt;=19,"Older",qhkz_4dqm[[#This Row],[vehicle_age]]&gt;=20,"Very Old")</f>
        <v>Mid-age</v>
      </c>
    </row>
    <row r="130" spans="1:10">
      <c r="A130" s="2">
        <v>24016381</v>
      </c>
      <c r="B130" s="2">
        <v>2401638101</v>
      </c>
      <c r="C130" s="2">
        <v>1</v>
      </c>
      <c r="D130" s="2">
        <v>2025</v>
      </c>
      <c r="E130" s="2">
        <v>1</v>
      </c>
      <c r="F130" s="2">
        <v>584.64</v>
      </c>
      <c r="G130" s="2">
        <v>1027.06</v>
      </c>
      <c r="H130" s="2" t="str">
        <f>VLOOKUP(qhkz_4dqm[[#This Row],[fuel_type]],lookup!A:B,2,FALSE)</f>
        <v>Gasoline</v>
      </c>
      <c r="I130" s="2">
        <f ca="1">YEAR(TODAY())-qhkz_4dqm[[#This Row],[year]]</f>
        <v>1</v>
      </c>
      <c r="J130" s="2" t="str" cm="1">
        <f t="array" aca="1" ref="J130" ca="1">_xlfn.IFS(qhkz_4dqm[[#This Row],[vehicle_age]]&lt;=3,"Newer",qhkz_4dqm[[#This Row],[vehicle_age]]&lt;=9,"Mid-age",qhkz_4dqm[[#This Row],[vehicle_age]]&lt;=19,"Older",qhkz_4dqm[[#This Row],[vehicle_age]]&gt;=20,"Very Old")</f>
        <v>Newer</v>
      </c>
    </row>
    <row r="131" spans="1:10">
      <c r="A131" s="2">
        <v>24016538</v>
      </c>
      <c r="B131" s="2">
        <v>2401653801</v>
      </c>
      <c r="C131" s="2">
        <v>1</v>
      </c>
      <c r="D131" s="2">
        <v>2010</v>
      </c>
      <c r="E131" s="2">
        <v>1</v>
      </c>
      <c r="F131" s="2">
        <v>1335.57</v>
      </c>
      <c r="G131" s="2">
        <v>1544.74</v>
      </c>
      <c r="H131" s="2" t="str">
        <f>VLOOKUP(qhkz_4dqm[[#This Row],[fuel_type]],lookup!A:B,2,FALSE)</f>
        <v>Gasoline</v>
      </c>
      <c r="I131" s="2">
        <f ca="1">YEAR(TODAY())-qhkz_4dqm[[#This Row],[year]]</f>
        <v>16</v>
      </c>
      <c r="J131" s="2" t="str" cm="1">
        <f t="array" aca="1" ref="J131" ca="1">_xlfn.IFS(qhkz_4dqm[[#This Row],[vehicle_age]]&lt;=3,"Newer",qhkz_4dqm[[#This Row],[vehicle_age]]&lt;=9,"Mid-age",qhkz_4dqm[[#This Row],[vehicle_age]]&lt;=19,"Older",qhkz_4dqm[[#This Row],[vehicle_age]]&gt;=20,"Very Old")</f>
        <v>Older</v>
      </c>
    </row>
    <row r="132" spans="1:10">
      <c r="A132" s="2">
        <v>24017626</v>
      </c>
      <c r="B132" s="2">
        <v>2401762601</v>
      </c>
      <c r="C132" s="2">
        <v>1</v>
      </c>
      <c r="D132" s="2">
        <v>2016</v>
      </c>
      <c r="E132" s="2">
        <v>1</v>
      </c>
      <c r="F132" s="2">
        <v>3670.51</v>
      </c>
      <c r="G132" s="2">
        <v>3249.8</v>
      </c>
      <c r="H132" s="2" t="str">
        <f>VLOOKUP(qhkz_4dqm[[#This Row],[fuel_type]],lookup!A:B,2,FALSE)</f>
        <v>Gasoline</v>
      </c>
      <c r="I132" s="2">
        <f ca="1">YEAR(TODAY())-qhkz_4dqm[[#This Row],[year]]</f>
        <v>10</v>
      </c>
      <c r="J132" s="2" t="str" cm="1">
        <f t="array" aca="1" ref="J132" ca="1">_xlfn.IFS(qhkz_4dqm[[#This Row],[vehicle_age]]&lt;=3,"Newer",qhkz_4dqm[[#This Row],[vehicle_age]]&lt;=9,"Mid-age",qhkz_4dqm[[#This Row],[vehicle_age]]&lt;=19,"Older",qhkz_4dqm[[#This Row],[vehicle_age]]&gt;=20,"Very Old")</f>
        <v>Older</v>
      </c>
    </row>
    <row r="133" spans="1:10">
      <c r="A133" s="2">
        <v>24017772</v>
      </c>
      <c r="B133" s="2">
        <v>2401777201</v>
      </c>
      <c r="C133" s="2">
        <v>1</v>
      </c>
      <c r="D133" s="2">
        <v>2019</v>
      </c>
      <c r="E133" s="2">
        <v>1</v>
      </c>
      <c r="F133" s="2">
        <v>2212.6</v>
      </c>
      <c r="G133" s="2">
        <v>1955.99</v>
      </c>
      <c r="H133" s="2" t="str">
        <f>VLOOKUP(qhkz_4dqm[[#This Row],[fuel_type]],lookup!A:B,2,FALSE)</f>
        <v>Gasoline</v>
      </c>
      <c r="I133" s="2">
        <f ca="1">YEAR(TODAY())-qhkz_4dqm[[#This Row],[year]]</f>
        <v>7</v>
      </c>
      <c r="J133" s="2" t="str" cm="1">
        <f t="array" aca="1" ref="J133" ca="1">_xlfn.IFS(qhkz_4dqm[[#This Row],[vehicle_age]]&lt;=3,"Newer",qhkz_4dqm[[#This Row],[vehicle_age]]&lt;=9,"Mid-age",qhkz_4dqm[[#This Row],[vehicle_age]]&lt;=19,"Older",qhkz_4dqm[[#This Row],[vehicle_age]]&gt;=20,"Very Old")</f>
        <v>Mid-age</v>
      </c>
    </row>
    <row r="134" spans="1:10">
      <c r="A134" s="2">
        <v>24017844</v>
      </c>
      <c r="B134" s="2">
        <v>2401784401</v>
      </c>
      <c r="C134" s="2">
        <v>1</v>
      </c>
      <c r="D134" s="2">
        <v>2022</v>
      </c>
      <c r="E134" s="2">
        <v>1</v>
      </c>
      <c r="F134" s="2">
        <v>1094.26</v>
      </c>
      <c r="G134" s="2">
        <v>2252.79</v>
      </c>
      <c r="H134" s="2" t="str">
        <f>VLOOKUP(qhkz_4dqm[[#This Row],[fuel_type]],lookup!A:B,2,FALSE)</f>
        <v>Gasoline</v>
      </c>
      <c r="I134" s="2">
        <f ca="1">YEAR(TODAY())-qhkz_4dqm[[#This Row],[year]]</f>
        <v>4</v>
      </c>
      <c r="J134" s="2" t="str" cm="1">
        <f t="array" aca="1" ref="J134" ca="1">_xlfn.IFS(qhkz_4dqm[[#This Row],[vehicle_age]]&lt;=3,"Newer",qhkz_4dqm[[#This Row],[vehicle_age]]&lt;=9,"Mid-age",qhkz_4dqm[[#This Row],[vehicle_age]]&lt;=19,"Older",qhkz_4dqm[[#This Row],[vehicle_age]]&gt;=20,"Very Old")</f>
        <v>Mid-age</v>
      </c>
    </row>
    <row r="135" spans="1:10">
      <c r="A135" s="2">
        <v>24018056</v>
      </c>
      <c r="B135" s="2">
        <v>2401805601</v>
      </c>
      <c r="C135" s="2">
        <v>1</v>
      </c>
      <c r="D135" s="2">
        <v>2017</v>
      </c>
      <c r="E135" s="2">
        <v>1</v>
      </c>
      <c r="F135" s="2">
        <v>118.36</v>
      </c>
      <c r="G135" s="2">
        <v>208.31</v>
      </c>
      <c r="H135" s="2" t="str">
        <f>VLOOKUP(qhkz_4dqm[[#This Row],[fuel_type]],lookup!A:B,2,FALSE)</f>
        <v>Gasoline</v>
      </c>
      <c r="I135" s="2">
        <f ca="1">YEAR(TODAY())-qhkz_4dqm[[#This Row],[year]]</f>
        <v>9</v>
      </c>
      <c r="J135" s="2" t="str" cm="1">
        <f t="array" aca="1" ref="J135" ca="1">_xlfn.IFS(qhkz_4dqm[[#This Row],[vehicle_age]]&lt;=3,"Newer",qhkz_4dqm[[#This Row],[vehicle_age]]&lt;=9,"Mid-age",qhkz_4dqm[[#This Row],[vehicle_age]]&lt;=19,"Older",qhkz_4dqm[[#This Row],[vehicle_age]]&gt;=20,"Very Old")</f>
        <v>Mid-age</v>
      </c>
    </row>
    <row r="136" spans="1:10">
      <c r="A136" s="2">
        <v>24019168</v>
      </c>
      <c r="B136" s="2">
        <v>2401916801</v>
      </c>
      <c r="C136" s="2">
        <v>1</v>
      </c>
      <c r="D136" s="2">
        <v>2024</v>
      </c>
      <c r="E136" s="2">
        <v>1</v>
      </c>
      <c r="F136" s="2">
        <v>1511.71</v>
      </c>
      <c r="G136" s="2">
        <v>3543.74</v>
      </c>
      <c r="H136" s="2" t="str">
        <f>VLOOKUP(qhkz_4dqm[[#This Row],[fuel_type]],lookup!A:B,2,FALSE)</f>
        <v>Gasoline</v>
      </c>
      <c r="I136" s="2">
        <f ca="1">YEAR(TODAY())-qhkz_4dqm[[#This Row],[year]]</f>
        <v>2</v>
      </c>
      <c r="J136" s="2" t="str" cm="1">
        <f t="array" aca="1" ref="J136" ca="1">_xlfn.IFS(qhkz_4dqm[[#This Row],[vehicle_age]]&lt;=3,"Newer",qhkz_4dqm[[#This Row],[vehicle_age]]&lt;=9,"Mid-age",qhkz_4dqm[[#This Row],[vehicle_age]]&lt;=19,"Older",qhkz_4dqm[[#This Row],[vehicle_age]]&gt;=20,"Very Old")</f>
        <v>Newer</v>
      </c>
    </row>
    <row r="137" spans="1:10">
      <c r="A137" s="2">
        <v>24019787</v>
      </c>
      <c r="B137" s="2">
        <v>2401978701</v>
      </c>
      <c r="C137" s="2">
        <v>1</v>
      </c>
      <c r="D137" s="2">
        <v>2021</v>
      </c>
      <c r="E137" s="2">
        <v>1</v>
      </c>
      <c r="F137" s="2">
        <v>2445.9</v>
      </c>
      <c r="G137" s="2">
        <v>1478.2</v>
      </c>
      <c r="H137" s="2" t="str">
        <f>VLOOKUP(qhkz_4dqm[[#This Row],[fuel_type]],lookup!A:B,2,FALSE)</f>
        <v>Gasoline</v>
      </c>
      <c r="I137" s="2">
        <f ca="1">YEAR(TODAY())-qhkz_4dqm[[#This Row],[year]]</f>
        <v>5</v>
      </c>
      <c r="J137" s="2" t="str" cm="1">
        <f t="array" aca="1" ref="J137" ca="1">_xlfn.IFS(qhkz_4dqm[[#This Row],[vehicle_age]]&lt;=3,"Newer",qhkz_4dqm[[#This Row],[vehicle_age]]&lt;=9,"Mid-age",qhkz_4dqm[[#This Row],[vehicle_age]]&lt;=19,"Older",qhkz_4dqm[[#This Row],[vehicle_age]]&gt;=20,"Very Old")</f>
        <v>Mid-age</v>
      </c>
    </row>
    <row r="138" spans="1:10">
      <c r="A138" s="2">
        <v>24019931</v>
      </c>
      <c r="B138" s="2">
        <v>2401993101</v>
      </c>
      <c r="C138" s="2">
        <v>1</v>
      </c>
      <c r="D138" s="2">
        <v>2002</v>
      </c>
      <c r="E138" s="2">
        <v>1</v>
      </c>
      <c r="F138" s="2">
        <v>321.76</v>
      </c>
      <c r="G138" s="2">
        <v>1679.2</v>
      </c>
      <c r="H138" s="2" t="str">
        <f>VLOOKUP(qhkz_4dqm[[#This Row],[fuel_type]],lookup!A:B,2,FALSE)</f>
        <v>Gasoline</v>
      </c>
      <c r="I138" s="2">
        <f ca="1">YEAR(TODAY())-qhkz_4dqm[[#This Row],[year]]</f>
        <v>24</v>
      </c>
      <c r="J138" s="2" t="str" cm="1">
        <f t="array" aca="1" ref="J138" ca="1">_xlfn.IFS(qhkz_4dqm[[#This Row],[vehicle_age]]&lt;=3,"Newer",qhkz_4dqm[[#This Row],[vehicle_age]]&lt;=9,"Mid-age",qhkz_4dqm[[#This Row],[vehicle_age]]&lt;=19,"Older",qhkz_4dqm[[#This Row],[vehicle_age]]&gt;=20,"Very Old")</f>
        <v>Very Old</v>
      </c>
    </row>
    <row r="139" spans="1:10">
      <c r="A139" s="2">
        <v>24020654</v>
      </c>
      <c r="B139" s="2">
        <v>2402065401</v>
      </c>
      <c r="C139" s="2">
        <v>1</v>
      </c>
      <c r="D139" s="2">
        <v>2016</v>
      </c>
      <c r="E139" s="2">
        <v>1</v>
      </c>
      <c r="F139" s="2">
        <v>7731.99</v>
      </c>
      <c r="G139" s="2">
        <v>2717.17</v>
      </c>
      <c r="H139" s="2" t="str">
        <f>VLOOKUP(qhkz_4dqm[[#This Row],[fuel_type]],lookup!A:B,2,FALSE)</f>
        <v>Gasoline</v>
      </c>
      <c r="I139" s="2">
        <f ca="1">YEAR(TODAY())-qhkz_4dqm[[#This Row],[year]]</f>
        <v>10</v>
      </c>
      <c r="J139" s="2" t="str" cm="1">
        <f t="array" aca="1" ref="J139" ca="1">_xlfn.IFS(qhkz_4dqm[[#This Row],[vehicle_age]]&lt;=3,"Newer",qhkz_4dqm[[#This Row],[vehicle_age]]&lt;=9,"Mid-age",qhkz_4dqm[[#This Row],[vehicle_age]]&lt;=19,"Older",qhkz_4dqm[[#This Row],[vehicle_age]]&gt;=20,"Very Old")</f>
        <v>Older</v>
      </c>
    </row>
    <row r="140" spans="1:10">
      <c r="A140" s="2">
        <v>24021179</v>
      </c>
      <c r="B140" s="2">
        <v>2402117901</v>
      </c>
      <c r="C140" s="2">
        <v>1</v>
      </c>
      <c r="D140" s="2">
        <v>2018</v>
      </c>
      <c r="E140" s="2">
        <v>1</v>
      </c>
      <c r="F140" s="2">
        <v>340.95</v>
      </c>
      <c r="G140" s="2">
        <v>1637.01</v>
      </c>
      <c r="H140" s="2" t="str">
        <f>VLOOKUP(qhkz_4dqm[[#This Row],[fuel_type]],lookup!A:B,2,FALSE)</f>
        <v>Gasoline</v>
      </c>
      <c r="I140" s="2">
        <f ca="1">YEAR(TODAY())-qhkz_4dqm[[#This Row],[year]]</f>
        <v>8</v>
      </c>
      <c r="J140" s="2" t="str" cm="1">
        <f t="array" aca="1" ref="J140" ca="1">_xlfn.IFS(qhkz_4dqm[[#This Row],[vehicle_age]]&lt;=3,"Newer",qhkz_4dqm[[#This Row],[vehicle_age]]&lt;=9,"Mid-age",qhkz_4dqm[[#This Row],[vehicle_age]]&lt;=19,"Older",qhkz_4dqm[[#This Row],[vehicle_age]]&gt;=20,"Very Old")</f>
        <v>Mid-age</v>
      </c>
    </row>
    <row r="141" spans="1:10">
      <c r="A141" s="2">
        <v>24021424</v>
      </c>
      <c r="B141" s="2">
        <v>2402142401</v>
      </c>
      <c r="C141" s="2">
        <v>1</v>
      </c>
      <c r="D141" s="2">
        <v>2023</v>
      </c>
      <c r="E141" s="2">
        <v>1</v>
      </c>
      <c r="F141" s="2">
        <v>202.55</v>
      </c>
      <c r="G141" s="2">
        <v>1433.94</v>
      </c>
      <c r="H141" s="2" t="str">
        <f>VLOOKUP(qhkz_4dqm[[#This Row],[fuel_type]],lookup!A:B,2,FALSE)</f>
        <v>Gasoline</v>
      </c>
      <c r="I141" s="2">
        <f ca="1">YEAR(TODAY())-qhkz_4dqm[[#This Row],[year]]</f>
        <v>3</v>
      </c>
      <c r="J141" s="2" t="str" cm="1">
        <f t="array" aca="1" ref="J141" ca="1">_xlfn.IFS(qhkz_4dqm[[#This Row],[vehicle_age]]&lt;=3,"Newer",qhkz_4dqm[[#This Row],[vehicle_age]]&lt;=9,"Mid-age",qhkz_4dqm[[#This Row],[vehicle_age]]&lt;=19,"Older",qhkz_4dqm[[#This Row],[vehicle_age]]&gt;=20,"Very Old")</f>
        <v>Newer</v>
      </c>
    </row>
    <row r="142" spans="1:10">
      <c r="A142" s="2">
        <v>24021564</v>
      </c>
      <c r="B142" s="2">
        <v>2402156401</v>
      </c>
      <c r="C142" s="2">
        <v>1</v>
      </c>
      <c r="D142" s="2">
        <v>2010</v>
      </c>
      <c r="E142" s="2">
        <v>1</v>
      </c>
      <c r="F142" s="2">
        <v>2445.9</v>
      </c>
      <c r="G142" s="2">
        <v>1478.2</v>
      </c>
      <c r="H142" s="2" t="str">
        <f>VLOOKUP(qhkz_4dqm[[#This Row],[fuel_type]],lookup!A:B,2,FALSE)</f>
        <v>Gasoline</v>
      </c>
      <c r="I142" s="2">
        <f ca="1">YEAR(TODAY())-qhkz_4dqm[[#This Row],[year]]</f>
        <v>16</v>
      </c>
      <c r="J142" s="2" t="str" cm="1">
        <f t="array" aca="1" ref="J142" ca="1">_xlfn.IFS(qhkz_4dqm[[#This Row],[vehicle_age]]&lt;=3,"Newer",qhkz_4dqm[[#This Row],[vehicle_age]]&lt;=9,"Mid-age",qhkz_4dqm[[#This Row],[vehicle_age]]&lt;=19,"Older",qhkz_4dqm[[#This Row],[vehicle_age]]&gt;=20,"Very Old")</f>
        <v>Older</v>
      </c>
    </row>
    <row r="143" spans="1:10">
      <c r="A143" s="2">
        <v>24021702</v>
      </c>
      <c r="B143" s="2">
        <v>2402170201</v>
      </c>
      <c r="C143" s="2">
        <v>1</v>
      </c>
      <c r="D143" s="2">
        <v>2006</v>
      </c>
      <c r="E143" s="2">
        <v>1</v>
      </c>
      <c r="F143" s="2">
        <v>3265.2</v>
      </c>
      <c r="G143" s="2">
        <v>1158.6099999999999</v>
      </c>
      <c r="H143" s="2" t="str">
        <f>VLOOKUP(qhkz_4dqm[[#This Row],[fuel_type]],lookup!A:B,2,FALSE)</f>
        <v>Gasoline</v>
      </c>
      <c r="I143" s="2">
        <f ca="1">YEAR(TODAY())-qhkz_4dqm[[#This Row],[year]]</f>
        <v>20</v>
      </c>
      <c r="J143" s="2" t="str" cm="1">
        <f t="array" aca="1" ref="J143" ca="1">_xlfn.IFS(qhkz_4dqm[[#This Row],[vehicle_age]]&lt;=3,"Newer",qhkz_4dqm[[#This Row],[vehicle_age]]&lt;=9,"Mid-age",qhkz_4dqm[[#This Row],[vehicle_age]]&lt;=19,"Older",qhkz_4dqm[[#This Row],[vehicle_age]]&gt;=20,"Very Old")</f>
        <v>Very Old</v>
      </c>
    </row>
    <row r="144" spans="1:10">
      <c r="A144" s="2">
        <v>24021892</v>
      </c>
      <c r="B144" s="2">
        <v>2402189201</v>
      </c>
      <c r="C144" s="2">
        <v>1</v>
      </c>
      <c r="D144" s="2">
        <v>2020</v>
      </c>
      <c r="E144" s="2">
        <v>1</v>
      </c>
      <c r="F144" s="2">
        <v>499.22</v>
      </c>
      <c r="G144" s="2">
        <v>349.01</v>
      </c>
      <c r="H144" s="2" t="str">
        <f>VLOOKUP(qhkz_4dqm[[#This Row],[fuel_type]],lookup!A:B,2,FALSE)</f>
        <v>Gasoline</v>
      </c>
      <c r="I144" s="2">
        <f ca="1">YEAR(TODAY())-qhkz_4dqm[[#This Row],[year]]</f>
        <v>6</v>
      </c>
      <c r="J144" s="2" t="str" cm="1">
        <f t="array" aca="1" ref="J144" ca="1">_xlfn.IFS(qhkz_4dqm[[#This Row],[vehicle_age]]&lt;=3,"Newer",qhkz_4dqm[[#This Row],[vehicle_age]]&lt;=9,"Mid-age",qhkz_4dqm[[#This Row],[vehicle_age]]&lt;=19,"Older",qhkz_4dqm[[#This Row],[vehicle_age]]&gt;=20,"Very Old")</f>
        <v>Mid-age</v>
      </c>
    </row>
    <row r="145" spans="1:10">
      <c r="A145" s="2">
        <v>24022001</v>
      </c>
      <c r="B145" s="2">
        <v>2402200101</v>
      </c>
      <c r="C145" s="2">
        <v>1</v>
      </c>
      <c r="D145" s="2">
        <v>2017</v>
      </c>
      <c r="E145" s="2">
        <v>1</v>
      </c>
      <c r="F145" s="2">
        <v>58.96</v>
      </c>
      <c r="G145" s="2">
        <v>1066.67</v>
      </c>
      <c r="H145" s="2" t="str">
        <f>VLOOKUP(qhkz_4dqm[[#This Row],[fuel_type]],lookup!A:B,2,FALSE)</f>
        <v>Gasoline</v>
      </c>
      <c r="I145" s="2">
        <f ca="1">YEAR(TODAY())-qhkz_4dqm[[#This Row],[year]]</f>
        <v>9</v>
      </c>
      <c r="J145" s="2" t="str" cm="1">
        <f t="array" aca="1" ref="J145" ca="1">_xlfn.IFS(qhkz_4dqm[[#This Row],[vehicle_age]]&lt;=3,"Newer",qhkz_4dqm[[#This Row],[vehicle_age]]&lt;=9,"Mid-age",qhkz_4dqm[[#This Row],[vehicle_age]]&lt;=19,"Older",qhkz_4dqm[[#This Row],[vehicle_age]]&gt;=20,"Very Old")</f>
        <v>Mid-age</v>
      </c>
    </row>
    <row r="146" spans="1:10">
      <c r="A146" s="2">
        <v>24022154</v>
      </c>
      <c r="B146" s="2">
        <v>2402215401</v>
      </c>
      <c r="C146" s="2">
        <v>1</v>
      </c>
      <c r="D146" s="2">
        <v>2002</v>
      </c>
      <c r="E146" s="2">
        <v>1</v>
      </c>
      <c r="F146" s="2">
        <v>3531.24</v>
      </c>
      <c r="G146" s="2">
        <v>3061.47</v>
      </c>
      <c r="H146" s="2" t="str">
        <f>VLOOKUP(qhkz_4dqm[[#This Row],[fuel_type]],lookup!A:B,2,FALSE)</f>
        <v>Gasoline</v>
      </c>
      <c r="I146" s="2">
        <f ca="1">YEAR(TODAY())-qhkz_4dqm[[#This Row],[year]]</f>
        <v>24</v>
      </c>
      <c r="J146" s="2" t="str" cm="1">
        <f t="array" aca="1" ref="J146" ca="1">_xlfn.IFS(qhkz_4dqm[[#This Row],[vehicle_age]]&lt;=3,"Newer",qhkz_4dqm[[#This Row],[vehicle_age]]&lt;=9,"Mid-age",qhkz_4dqm[[#This Row],[vehicle_age]]&lt;=19,"Older",qhkz_4dqm[[#This Row],[vehicle_age]]&gt;=20,"Very Old")</f>
        <v>Very Old</v>
      </c>
    </row>
    <row r="147" spans="1:10">
      <c r="A147" s="2">
        <v>24022522</v>
      </c>
      <c r="B147" s="2">
        <v>2402252201</v>
      </c>
      <c r="C147" s="2">
        <v>1</v>
      </c>
      <c r="D147" s="2">
        <v>2023</v>
      </c>
      <c r="E147" s="2">
        <v>1</v>
      </c>
      <c r="F147" s="2">
        <v>1931.5</v>
      </c>
      <c r="G147" s="2">
        <v>1676.63</v>
      </c>
      <c r="H147" s="2" t="str">
        <f>VLOOKUP(qhkz_4dqm[[#This Row],[fuel_type]],lookup!A:B,2,FALSE)</f>
        <v>Gasoline</v>
      </c>
      <c r="I147" s="2">
        <f ca="1">YEAR(TODAY())-qhkz_4dqm[[#This Row],[year]]</f>
        <v>3</v>
      </c>
      <c r="J147" s="2" t="str" cm="1">
        <f t="array" aca="1" ref="J147" ca="1">_xlfn.IFS(qhkz_4dqm[[#This Row],[vehicle_age]]&lt;=3,"Newer",qhkz_4dqm[[#This Row],[vehicle_age]]&lt;=9,"Mid-age",qhkz_4dqm[[#This Row],[vehicle_age]]&lt;=19,"Older",qhkz_4dqm[[#This Row],[vehicle_age]]&gt;=20,"Very Old")</f>
        <v>Newer</v>
      </c>
    </row>
    <row r="148" spans="1:10">
      <c r="A148" s="2">
        <v>24022557</v>
      </c>
      <c r="B148" s="2">
        <v>2402255701</v>
      </c>
      <c r="C148" s="2">
        <v>1</v>
      </c>
      <c r="D148" s="2">
        <v>2010</v>
      </c>
      <c r="E148" s="2">
        <v>1</v>
      </c>
      <c r="F148" s="2">
        <v>206.02</v>
      </c>
      <c r="G148" s="2">
        <v>1039.29</v>
      </c>
      <c r="H148" s="2" t="str">
        <f>VLOOKUP(qhkz_4dqm[[#This Row],[fuel_type]],lookup!A:B,2,FALSE)</f>
        <v>Gasoline</v>
      </c>
      <c r="I148" s="2">
        <f ca="1">YEAR(TODAY())-qhkz_4dqm[[#This Row],[year]]</f>
        <v>16</v>
      </c>
      <c r="J148" s="2" t="str" cm="1">
        <f t="array" aca="1" ref="J148" ca="1">_xlfn.IFS(qhkz_4dqm[[#This Row],[vehicle_age]]&lt;=3,"Newer",qhkz_4dqm[[#This Row],[vehicle_age]]&lt;=9,"Mid-age",qhkz_4dqm[[#This Row],[vehicle_age]]&lt;=19,"Older",qhkz_4dqm[[#This Row],[vehicle_age]]&gt;=20,"Very Old")</f>
        <v>Older</v>
      </c>
    </row>
    <row r="149" spans="1:10">
      <c r="A149" s="2">
        <v>24023274</v>
      </c>
      <c r="B149" s="2">
        <v>2402327401</v>
      </c>
      <c r="C149" s="2">
        <v>1</v>
      </c>
      <c r="D149" s="2">
        <v>2020</v>
      </c>
      <c r="E149" s="2">
        <v>1</v>
      </c>
      <c r="F149" s="2">
        <v>2620.0300000000002</v>
      </c>
      <c r="G149" s="2">
        <v>1210.31</v>
      </c>
      <c r="H149" s="2" t="str">
        <f>VLOOKUP(qhkz_4dqm[[#This Row],[fuel_type]],lookup!A:B,2,FALSE)</f>
        <v>Gasoline</v>
      </c>
      <c r="I149" s="2">
        <f ca="1">YEAR(TODAY())-qhkz_4dqm[[#This Row],[year]]</f>
        <v>6</v>
      </c>
      <c r="J149" s="2" t="str" cm="1">
        <f t="array" aca="1" ref="J149" ca="1">_xlfn.IFS(qhkz_4dqm[[#This Row],[vehicle_age]]&lt;=3,"Newer",qhkz_4dqm[[#This Row],[vehicle_age]]&lt;=9,"Mid-age",qhkz_4dqm[[#This Row],[vehicle_age]]&lt;=19,"Older",qhkz_4dqm[[#This Row],[vehicle_age]]&gt;=20,"Very Old")</f>
        <v>Mid-age</v>
      </c>
    </row>
    <row r="150" spans="1:10">
      <c r="A150" s="2">
        <v>24023342</v>
      </c>
      <c r="B150" s="2">
        <v>2402334201</v>
      </c>
      <c r="C150" s="2">
        <v>1</v>
      </c>
      <c r="D150" s="2">
        <v>2005</v>
      </c>
      <c r="E150" s="2">
        <v>1</v>
      </c>
      <c r="F150" s="2">
        <v>150.84</v>
      </c>
      <c r="G150" s="2">
        <v>327.19</v>
      </c>
      <c r="H150" s="2" t="str">
        <f>VLOOKUP(qhkz_4dqm[[#This Row],[fuel_type]],lookup!A:B,2,FALSE)</f>
        <v>Gasoline</v>
      </c>
      <c r="I150" s="2">
        <f ca="1">YEAR(TODAY())-qhkz_4dqm[[#This Row],[year]]</f>
        <v>21</v>
      </c>
      <c r="J150" s="2" t="str" cm="1">
        <f t="array" aca="1" ref="J150" ca="1">_xlfn.IFS(qhkz_4dqm[[#This Row],[vehicle_age]]&lt;=3,"Newer",qhkz_4dqm[[#This Row],[vehicle_age]]&lt;=9,"Mid-age",qhkz_4dqm[[#This Row],[vehicle_age]]&lt;=19,"Older",qhkz_4dqm[[#This Row],[vehicle_age]]&gt;=20,"Very Old")</f>
        <v>Very Old</v>
      </c>
    </row>
    <row r="151" spans="1:10">
      <c r="A151" s="2">
        <v>24023512</v>
      </c>
      <c r="B151" s="2">
        <v>2402351201</v>
      </c>
      <c r="C151" s="2">
        <v>1</v>
      </c>
      <c r="D151" s="2">
        <v>2014</v>
      </c>
      <c r="E151" s="2">
        <v>1</v>
      </c>
      <c r="F151" s="2">
        <v>274.42</v>
      </c>
      <c r="G151" s="2">
        <v>728.13</v>
      </c>
      <c r="H151" s="2" t="str">
        <f>VLOOKUP(qhkz_4dqm[[#This Row],[fuel_type]],lookup!A:B,2,FALSE)</f>
        <v>Gasoline</v>
      </c>
      <c r="I151" s="2">
        <f ca="1">YEAR(TODAY())-qhkz_4dqm[[#This Row],[year]]</f>
        <v>12</v>
      </c>
      <c r="J151" s="2" t="str" cm="1">
        <f t="array" aca="1" ref="J151" ca="1">_xlfn.IFS(qhkz_4dqm[[#This Row],[vehicle_age]]&lt;=3,"Newer",qhkz_4dqm[[#This Row],[vehicle_age]]&lt;=9,"Mid-age",qhkz_4dqm[[#This Row],[vehicle_age]]&lt;=19,"Older",qhkz_4dqm[[#This Row],[vehicle_age]]&gt;=20,"Very Old")</f>
        <v>Older</v>
      </c>
    </row>
    <row r="152" spans="1:10">
      <c r="A152" s="2">
        <v>24023646</v>
      </c>
      <c r="B152" s="2">
        <v>2402364601</v>
      </c>
      <c r="C152" s="2">
        <v>1</v>
      </c>
      <c r="D152" s="2">
        <v>2009</v>
      </c>
      <c r="E152" s="2">
        <v>1</v>
      </c>
      <c r="F152" s="2">
        <v>2580.48</v>
      </c>
      <c r="G152" s="2">
        <v>2236.11</v>
      </c>
      <c r="H152" s="2" t="str">
        <f>VLOOKUP(qhkz_4dqm[[#This Row],[fuel_type]],lookup!A:B,2,FALSE)</f>
        <v>Gasoline</v>
      </c>
      <c r="I152" s="2">
        <f ca="1">YEAR(TODAY())-qhkz_4dqm[[#This Row],[year]]</f>
        <v>17</v>
      </c>
      <c r="J152" s="2" t="str" cm="1">
        <f t="array" aca="1" ref="J152" ca="1">_xlfn.IFS(qhkz_4dqm[[#This Row],[vehicle_age]]&lt;=3,"Newer",qhkz_4dqm[[#This Row],[vehicle_age]]&lt;=9,"Mid-age",qhkz_4dqm[[#This Row],[vehicle_age]]&lt;=19,"Older",qhkz_4dqm[[#This Row],[vehicle_age]]&gt;=20,"Very Old")</f>
        <v>Older</v>
      </c>
    </row>
    <row r="153" spans="1:10">
      <c r="A153" s="2">
        <v>24023713</v>
      </c>
      <c r="B153" s="2">
        <v>2402371301</v>
      </c>
      <c r="C153" s="2">
        <v>1</v>
      </c>
      <c r="D153" s="2">
        <v>2023</v>
      </c>
      <c r="E153" s="2">
        <v>1</v>
      </c>
      <c r="F153" s="2">
        <v>72.77</v>
      </c>
      <c r="G153" s="2">
        <v>289.55</v>
      </c>
      <c r="H153" s="2" t="str">
        <f>VLOOKUP(qhkz_4dqm[[#This Row],[fuel_type]],lookup!A:B,2,FALSE)</f>
        <v>Gasoline</v>
      </c>
      <c r="I153" s="2">
        <f ca="1">YEAR(TODAY())-qhkz_4dqm[[#This Row],[year]]</f>
        <v>3</v>
      </c>
      <c r="J153" s="2" t="str" cm="1">
        <f t="array" aca="1" ref="J153" ca="1">_xlfn.IFS(qhkz_4dqm[[#This Row],[vehicle_age]]&lt;=3,"Newer",qhkz_4dqm[[#This Row],[vehicle_age]]&lt;=9,"Mid-age",qhkz_4dqm[[#This Row],[vehicle_age]]&lt;=19,"Older",qhkz_4dqm[[#This Row],[vehicle_age]]&gt;=20,"Very Old")</f>
        <v>Newer</v>
      </c>
    </row>
    <row r="154" spans="1:10">
      <c r="A154" s="2">
        <v>24023746</v>
      </c>
      <c r="B154" s="2">
        <v>2402374601</v>
      </c>
      <c r="C154" s="2">
        <v>1</v>
      </c>
      <c r="D154" s="2">
        <v>2004</v>
      </c>
      <c r="E154" s="2">
        <v>1</v>
      </c>
      <c r="F154" s="2">
        <v>1256.6500000000001</v>
      </c>
      <c r="G154" s="2">
        <v>1131.79</v>
      </c>
      <c r="H154" s="2" t="str">
        <f>VLOOKUP(qhkz_4dqm[[#This Row],[fuel_type]],lookup!A:B,2,FALSE)</f>
        <v>Gasoline</v>
      </c>
      <c r="I154" s="2">
        <f ca="1">YEAR(TODAY())-qhkz_4dqm[[#This Row],[year]]</f>
        <v>22</v>
      </c>
      <c r="J154" s="2" t="str" cm="1">
        <f t="array" aca="1" ref="J154" ca="1">_xlfn.IFS(qhkz_4dqm[[#This Row],[vehicle_age]]&lt;=3,"Newer",qhkz_4dqm[[#This Row],[vehicle_age]]&lt;=9,"Mid-age",qhkz_4dqm[[#This Row],[vehicle_age]]&lt;=19,"Older",qhkz_4dqm[[#This Row],[vehicle_age]]&gt;=20,"Very Old")</f>
        <v>Very Old</v>
      </c>
    </row>
    <row r="155" spans="1:10">
      <c r="A155" s="2">
        <v>24023814</v>
      </c>
      <c r="B155" s="2">
        <v>2402381401</v>
      </c>
      <c r="C155" s="2">
        <v>1</v>
      </c>
      <c r="D155" s="2">
        <v>2014</v>
      </c>
      <c r="E155" s="2">
        <v>1</v>
      </c>
      <c r="F155" s="2">
        <v>155.31</v>
      </c>
      <c r="G155" s="2">
        <v>790.87</v>
      </c>
      <c r="H155" s="2" t="str">
        <f>VLOOKUP(qhkz_4dqm[[#This Row],[fuel_type]],lookup!A:B,2,FALSE)</f>
        <v>Gasoline</v>
      </c>
      <c r="I155" s="2">
        <f ca="1">YEAR(TODAY())-qhkz_4dqm[[#This Row],[year]]</f>
        <v>12</v>
      </c>
      <c r="J155" s="2" t="str" cm="1">
        <f t="array" aca="1" ref="J155" ca="1">_xlfn.IFS(qhkz_4dqm[[#This Row],[vehicle_age]]&lt;=3,"Newer",qhkz_4dqm[[#This Row],[vehicle_age]]&lt;=9,"Mid-age",qhkz_4dqm[[#This Row],[vehicle_age]]&lt;=19,"Older",qhkz_4dqm[[#This Row],[vehicle_age]]&gt;=20,"Very Old")</f>
        <v>Older</v>
      </c>
    </row>
    <row r="156" spans="1:10">
      <c r="A156" s="2">
        <v>24023980</v>
      </c>
      <c r="B156" s="2">
        <v>2402398001</v>
      </c>
      <c r="C156" s="2">
        <v>1</v>
      </c>
      <c r="D156" s="2">
        <v>2022</v>
      </c>
      <c r="E156" s="2">
        <v>1</v>
      </c>
      <c r="F156" s="2">
        <v>200.68</v>
      </c>
      <c r="G156" s="2">
        <v>1299.71</v>
      </c>
      <c r="H156" s="2" t="str">
        <f>VLOOKUP(qhkz_4dqm[[#This Row],[fuel_type]],lookup!A:B,2,FALSE)</f>
        <v>Gasoline</v>
      </c>
      <c r="I156" s="2">
        <f ca="1">YEAR(TODAY())-qhkz_4dqm[[#This Row],[year]]</f>
        <v>4</v>
      </c>
      <c r="J156" s="2" t="str" cm="1">
        <f t="array" aca="1" ref="J156" ca="1">_xlfn.IFS(qhkz_4dqm[[#This Row],[vehicle_age]]&lt;=3,"Newer",qhkz_4dqm[[#This Row],[vehicle_age]]&lt;=9,"Mid-age",qhkz_4dqm[[#This Row],[vehicle_age]]&lt;=19,"Older",qhkz_4dqm[[#This Row],[vehicle_age]]&gt;=20,"Very Old")</f>
        <v>Mid-age</v>
      </c>
    </row>
    <row r="157" spans="1:10">
      <c r="A157" s="2">
        <v>24024080</v>
      </c>
      <c r="B157" s="2">
        <v>2402408001</v>
      </c>
      <c r="C157" s="2">
        <v>1</v>
      </c>
      <c r="D157" s="2">
        <v>2012</v>
      </c>
      <c r="E157" s="2">
        <v>1</v>
      </c>
      <c r="F157" s="2">
        <v>1.9</v>
      </c>
      <c r="G157" s="2">
        <v>78.680000000000007</v>
      </c>
      <c r="H157" s="2" t="str">
        <f>VLOOKUP(qhkz_4dqm[[#This Row],[fuel_type]],lookup!A:B,2,FALSE)</f>
        <v>Gasoline</v>
      </c>
      <c r="I157" s="2">
        <f ca="1">YEAR(TODAY())-qhkz_4dqm[[#This Row],[year]]</f>
        <v>14</v>
      </c>
      <c r="J157" s="2" t="str" cm="1">
        <f t="array" aca="1" ref="J157" ca="1">_xlfn.IFS(qhkz_4dqm[[#This Row],[vehicle_age]]&lt;=3,"Newer",qhkz_4dqm[[#This Row],[vehicle_age]]&lt;=9,"Mid-age",qhkz_4dqm[[#This Row],[vehicle_age]]&lt;=19,"Older",qhkz_4dqm[[#This Row],[vehicle_age]]&gt;=20,"Very Old")</f>
        <v>Older</v>
      </c>
    </row>
    <row r="158" spans="1:10">
      <c r="A158" s="2">
        <v>24025055</v>
      </c>
      <c r="B158" s="2">
        <v>2402505501</v>
      </c>
      <c r="C158" s="2">
        <v>1</v>
      </c>
      <c r="D158" s="2">
        <v>2019</v>
      </c>
      <c r="E158" s="2">
        <v>1</v>
      </c>
      <c r="F158" s="2">
        <v>192.15</v>
      </c>
      <c r="G158" s="2">
        <v>1031.25</v>
      </c>
      <c r="H158" s="2" t="str">
        <f>VLOOKUP(qhkz_4dqm[[#This Row],[fuel_type]],lookup!A:B,2,FALSE)</f>
        <v>Gasoline</v>
      </c>
      <c r="I158" s="2">
        <f ca="1">YEAR(TODAY())-qhkz_4dqm[[#This Row],[year]]</f>
        <v>7</v>
      </c>
      <c r="J158" s="2" t="str" cm="1">
        <f t="array" aca="1" ref="J158" ca="1">_xlfn.IFS(qhkz_4dqm[[#This Row],[vehicle_age]]&lt;=3,"Newer",qhkz_4dqm[[#This Row],[vehicle_age]]&lt;=9,"Mid-age",qhkz_4dqm[[#This Row],[vehicle_age]]&lt;=19,"Older",qhkz_4dqm[[#This Row],[vehicle_age]]&gt;=20,"Very Old")</f>
        <v>Mid-age</v>
      </c>
    </row>
    <row r="159" spans="1:10">
      <c r="A159" s="2">
        <v>24025349</v>
      </c>
      <c r="B159" s="2">
        <v>2402534901</v>
      </c>
      <c r="C159" s="2">
        <v>1</v>
      </c>
      <c r="D159" s="2">
        <v>2012</v>
      </c>
      <c r="E159" s="2">
        <v>1</v>
      </c>
      <c r="F159" s="2">
        <v>2.61</v>
      </c>
      <c r="G159" s="2">
        <v>67.45</v>
      </c>
      <c r="H159" s="2" t="str">
        <f>VLOOKUP(qhkz_4dqm[[#This Row],[fuel_type]],lookup!A:B,2,FALSE)</f>
        <v>Gasoline</v>
      </c>
      <c r="I159" s="2">
        <f ca="1">YEAR(TODAY())-qhkz_4dqm[[#This Row],[year]]</f>
        <v>14</v>
      </c>
      <c r="J159" s="2" t="str" cm="1">
        <f t="array" aca="1" ref="J159" ca="1">_xlfn.IFS(qhkz_4dqm[[#This Row],[vehicle_age]]&lt;=3,"Newer",qhkz_4dqm[[#This Row],[vehicle_age]]&lt;=9,"Mid-age",qhkz_4dqm[[#This Row],[vehicle_age]]&lt;=19,"Older",qhkz_4dqm[[#This Row],[vehicle_age]]&gt;=20,"Very Old")</f>
        <v>Older</v>
      </c>
    </row>
    <row r="160" spans="1:10">
      <c r="A160" s="2">
        <v>24026435</v>
      </c>
      <c r="B160" s="2">
        <v>2402643501</v>
      </c>
      <c r="C160" s="2">
        <v>1</v>
      </c>
      <c r="D160" s="2">
        <v>2020</v>
      </c>
      <c r="E160" s="2">
        <v>4</v>
      </c>
      <c r="F160" s="2">
        <v>578.83000000000004</v>
      </c>
      <c r="G160" s="2">
        <v>159.54</v>
      </c>
      <c r="H160" s="2" t="str">
        <f>VLOOKUP(qhkz_4dqm[[#This Row],[fuel_type]],lookup!A:B,2,FALSE)</f>
        <v>Electric</v>
      </c>
      <c r="I160" s="2">
        <f ca="1">YEAR(TODAY())-qhkz_4dqm[[#This Row],[year]]</f>
        <v>6</v>
      </c>
      <c r="J160" s="2" t="str" cm="1">
        <f t="array" aca="1" ref="J160" ca="1">_xlfn.IFS(qhkz_4dqm[[#This Row],[vehicle_age]]&lt;=3,"Newer",qhkz_4dqm[[#This Row],[vehicle_age]]&lt;=9,"Mid-age",qhkz_4dqm[[#This Row],[vehicle_age]]&lt;=19,"Older",qhkz_4dqm[[#This Row],[vehicle_age]]&gt;=20,"Very Old")</f>
        <v>Mid-age</v>
      </c>
    </row>
    <row r="161" spans="1:10">
      <c r="A161" s="2">
        <v>24026489</v>
      </c>
      <c r="B161" s="2">
        <v>2402648901</v>
      </c>
      <c r="C161" s="2">
        <v>1</v>
      </c>
      <c r="D161" s="2">
        <v>2017</v>
      </c>
      <c r="E161" s="2">
        <v>1</v>
      </c>
      <c r="F161" s="2">
        <v>37.22</v>
      </c>
      <c r="G161" s="2">
        <v>147.83000000000001</v>
      </c>
      <c r="H161" s="2" t="str">
        <f>VLOOKUP(qhkz_4dqm[[#This Row],[fuel_type]],lookup!A:B,2,FALSE)</f>
        <v>Gasoline</v>
      </c>
      <c r="I161" s="2">
        <f ca="1">YEAR(TODAY())-qhkz_4dqm[[#This Row],[year]]</f>
        <v>9</v>
      </c>
      <c r="J161" s="2" t="str" cm="1">
        <f t="array" aca="1" ref="J161" ca="1">_xlfn.IFS(qhkz_4dqm[[#This Row],[vehicle_age]]&lt;=3,"Newer",qhkz_4dqm[[#This Row],[vehicle_age]]&lt;=9,"Mid-age",qhkz_4dqm[[#This Row],[vehicle_age]]&lt;=19,"Older",qhkz_4dqm[[#This Row],[vehicle_age]]&gt;=20,"Very Old")</f>
        <v>Mid-age</v>
      </c>
    </row>
    <row r="162" spans="1:10">
      <c r="A162" s="2">
        <v>24026567</v>
      </c>
      <c r="B162" s="2">
        <v>2402656701</v>
      </c>
      <c r="C162" s="2">
        <v>1</v>
      </c>
      <c r="D162" s="2">
        <v>2024</v>
      </c>
      <c r="E162" s="2">
        <v>1</v>
      </c>
      <c r="F162" s="2">
        <v>3866.28</v>
      </c>
      <c r="G162" s="2">
        <v>3304.4</v>
      </c>
      <c r="H162" s="2" t="str">
        <f>VLOOKUP(qhkz_4dqm[[#This Row],[fuel_type]],lookup!A:B,2,FALSE)</f>
        <v>Gasoline</v>
      </c>
      <c r="I162" s="2">
        <f ca="1">YEAR(TODAY())-qhkz_4dqm[[#This Row],[year]]</f>
        <v>2</v>
      </c>
      <c r="J162" s="2" t="str" cm="1">
        <f t="array" aca="1" ref="J162" ca="1">_xlfn.IFS(qhkz_4dqm[[#This Row],[vehicle_age]]&lt;=3,"Newer",qhkz_4dqm[[#This Row],[vehicle_age]]&lt;=9,"Mid-age",qhkz_4dqm[[#This Row],[vehicle_age]]&lt;=19,"Older",qhkz_4dqm[[#This Row],[vehicle_age]]&gt;=20,"Very Old")</f>
        <v>Newer</v>
      </c>
    </row>
    <row r="163" spans="1:10">
      <c r="A163" s="2">
        <v>24026786</v>
      </c>
      <c r="B163" s="2">
        <v>2402678601</v>
      </c>
      <c r="C163" s="2">
        <v>1</v>
      </c>
      <c r="D163" s="2">
        <v>2010</v>
      </c>
      <c r="E163" s="2">
        <v>1</v>
      </c>
      <c r="F163" s="2">
        <v>50.93</v>
      </c>
      <c r="G163" s="2">
        <v>157.86000000000001</v>
      </c>
      <c r="H163" s="2" t="str">
        <f>VLOOKUP(qhkz_4dqm[[#This Row],[fuel_type]],lookup!A:B,2,FALSE)</f>
        <v>Gasoline</v>
      </c>
      <c r="I163" s="2">
        <f ca="1">YEAR(TODAY())-qhkz_4dqm[[#This Row],[year]]</f>
        <v>16</v>
      </c>
      <c r="J163" s="2" t="str" cm="1">
        <f t="array" aca="1" ref="J163" ca="1">_xlfn.IFS(qhkz_4dqm[[#This Row],[vehicle_age]]&lt;=3,"Newer",qhkz_4dqm[[#This Row],[vehicle_age]]&lt;=9,"Mid-age",qhkz_4dqm[[#This Row],[vehicle_age]]&lt;=19,"Older",qhkz_4dqm[[#This Row],[vehicle_age]]&gt;=20,"Very Old")</f>
        <v>Older</v>
      </c>
    </row>
    <row r="164" spans="1:10">
      <c r="A164" s="2">
        <v>24027546</v>
      </c>
      <c r="B164" s="2">
        <v>2402754601</v>
      </c>
      <c r="C164" s="2">
        <v>1</v>
      </c>
      <c r="D164" s="2">
        <v>2018</v>
      </c>
      <c r="E164" s="2">
        <v>1</v>
      </c>
      <c r="F164" s="2">
        <v>1421.65</v>
      </c>
      <c r="G164" s="2">
        <v>1705.96</v>
      </c>
      <c r="H164" s="2" t="str">
        <f>VLOOKUP(qhkz_4dqm[[#This Row],[fuel_type]],lookup!A:B,2,FALSE)</f>
        <v>Gasoline</v>
      </c>
      <c r="I164" s="2">
        <f ca="1">YEAR(TODAY())-qhkz_4dqm[[#This Row],[year]]</f>
        <v>8</v>
      </c>
      <c r="J164" s="2" t="str" cm="1">
        <f t="array" aca="1" ref="J164" ca="1">_xlfn.IFS(qhkz_4dqm[[#This Row],[vehicle_age]]&lt;=3,"Newer",qhkz_4dqm[[#This Row],[vehicle_age]]&lt;=9,"Mid-age",qhkz_4dqm[[#This Row],[vehicle_age]]&lt;=19,"Older",qhkz_4dqm[[#This Row],[vehicle_age]]&gt;=20,"Very Old")</f>
        <v>Mid-age</v>
      </c>
    </row>
    <row r="165" spans="1:10">
      <c r="A165" s="2">
        <v>24027715</v>
      </c>
      <c r="B165" s="2">
        <v>2402771501</v>
      </c>
      <c r="C165" s="2">
        <v>1</v>
      </c>
      <c r="D165" s="2">
        <v>2008</v>
      </c>
      <c r="E165" s="2">
        <v>1</v>
      </c>
      <c r="F165" s="2">
        <v>36.159999999999997</v>
      </c>
      <c r="G165" s="2">
        <v>243.43</v>
      </c>
      <c r="H165" s="2" t="str">
        <f>VLOOKUP(qhkz_4dqm[[#This Row],[fuel_type]],lookup!A:B,2,FALSE)</f>
        <v>Gasoline</v>
      </c>
      <c r="I165" s="2">
        <f ca="1">YEAR(TODAY())-qhkz_4dqm[[#This Row],[year]]</f>
        <v>18</v>
      </c>
      <c r="J165" s="2" t="str" cm="1">
        <f t="array" aca="1" ref="J165" ca="1">_xlfn.IFS(qhkz_4dqm[[#This Row],[vehicle_age]]&lt;=3,"Newer",qhkz_4dqm[[#This Row],[vehicle_age]]&lt;=9,"Mid-age",qhkz_4dqm[[#This Row],[vehicle_age]]&lt;=19,"Older",qhkz_4dqm[[#This Row],[vehicle_age]]&gt;=20,"Very Old")</f>
        <v>Older</v>
      </c>
    </row>
    <row r="166" spans="1:10">
      <c r="A166" s="2">
        <v>24027788</v>
      </c>
      <c r="B166" s="2">
        <v>2402778801</v>
      </c>
      <c r="C166" s="2">
        <v>1</v>
      </c>
      <c r="D166" s="2">
        <v>1980</v>
      </c>
      <c r="E166" s="2">
        <v>4</v>
      </c>
      <c r="F166" s="2">
        <v>4.32</v>
      </c>
      <c r="G166" s="2">
        <v>123.29</v>
      </c>
      <c r="H166" s="2" t="str">
        <f>VLOOKUP(qhkz_4dqm[[#This Row],[fuel_type]],lookup!A:B,2,FALSE)</f>
        <v>Electric</v>
      </c>
      <c r="I166" s="2">
        <f ca="1">YEAR(TODAY())-qhkz_4dqm[[#This Row],[year]]</f>
        <v>46</v>
      </c>
      <c r="J166" s="2" t="str" cm="1">
        <f t="array" aca="1" ref="J166" ca="1">_xlfn.IFS(qhkz_4dqm[[#This Row],[vehicle_age]]&lt;=3,"Newer",qhkz_4dqm[[#This Row],[vehicle_age]]&lt;=9,"Mid-age",qhkz_4dqm[[#This Row],[vehicle_age]]&lt;=19,"Older",qhkz_4dqm[[#This Row],[vehicle_age]]&gt;=20,"Very Old")</f>
        <v>Very Old</v>
      </c>
    </row>
    <row r="167" spans="1:10">
      <c r="A167" s="2">
        <v>24028592</v>
      </c>
      <c r="B167" s="2">
        <v>2402859201</v>
      </c>
      <c r="C167" s="2">
        <v>1</v>
      </c>
      <c r="D167" s="2">
        <v>2023</v>
      </c>
      <c r="E167" s="2">
        <v>1</v>
      </c>
      <c r="F167" s="2">
        <v>20.04</v>
      </c>
      <c r="G167" s="2">
        <v>403.66</v>
      </c>
      <c r="H167" s="2" t="str">
        <f>VLOOKUP(qhkz_4dqm[[#This Row],[fuel_type]],lookup!A:B,2,FALSE)</f>
        <v>Gasoline</v>
      </c>
      <c r="I167" s="2">
        <f ca="1">YEAR(TODAY())-qhkz_4dqm[[#This Row],[year]]</f>
        <v>3</v>
      </c>
      <c r="J167" s="2" t="str" cm="1">
        <f t="array" aca="1" ref="J167" ca="1">_xlfn.IFS(qhkz_4dqm[[#This Row],[vehicle_age]]&lt;=3,"Newer",qhkz_4dqm[[#This Row],[vehicle_age]]&lt;=9,"Mid-age",qhkz_4dqm[[#This Row],[vehicle_age]]&lt;=19,"Older",qhkz_4dqm[[#This Row],[vehicle_age]]&gt;=20,"Very Old")</f>
        <v>Newer</v>
      </c>
    </row>
    <row r="168" spans="1:10">
      <c r="A168" s="2">
        <v>24028981</v>
      </c>
      <c r="B168" s="2">
        <v>2402898101</v>
      </c>
      <c r="C168" s="2">
        <v>1</v>
      </c>
      <c r="D168" s="2">
        <v>2018</v>
      </c>
      <c r="E168" s="2">
        <v>1</v>
      </c>
      <c r="F168" s="2">
        <v>208.46</v>
      </c>
      <c r="G168" s="2">
        <v>980.82</v>
      </c>
      <c r="H168" s="2" t="str">
        <f>VLOOKUP(qhkz_4dqm[[#This Row],[fuel_type]],lookup!A:B,2,FALSE)</f>
        <v>Gasoline</v>
      </c>
      <c r="I168" s="2">
        <f ca="1">YEAR(TODAY())-qhkz_4dqm[[#This Row],[year]]</f>
        <v>8</v>
      </c>
      <c r="J168" s="2" t="str" cm="1">
        <f t="array" aca="1" ref="J168" ca="1">_xlfn.IFS(qhkz_4dqm[[#This Row],[vehicle_age]]&lt;=3,"Newer",qhkz_4dqm[[#This Row],[vehicle_age]]&lt;=9,"Mid-age",qhkz_4dqm[[#This Row],[vehicle_age]]&lt;=19,"Older",qhkz_4dqm[[#This Row],[vehicle_age]]&gt;=20,"Very Old")</f>
        <v>Mid-age</v>
      </c>
    </row>
    <row r="169" spans="1:10">
      <c r="A169" s="2">
        <v>24029052</v>
      </c>
      <c r="B169" s="2">
        <v>2402905201</v>
      </c>
      <c r="C169" s="2">
        <v>1</v>
      </c>
      <c r="D169" s="2">
        <v>2024</v>
      </c>
      <c r="E169" s="2">
        <v>2</v>
      </c>
      <c r="F169" s="2">
        <v>1410.81</v>
      </c>
      <c r="G169" s="2">
        <v>1225.96</v>
      </c>
      <c r="H169" s="2" t="str">
        <f>VLOOKUP(qhkz_4dqm[[#This Row],[fuel_type]],lookup!A:B,2,FALSE)</f>
        <v>Diesel</v>
      </c>
      <c r="I169" s="2">
        <f ca="1">YEAR(TODAY())-qhkz_4dqm[[#This Row],[year]]</f>
        <v>2</v>
      </c>
      <c r="J169" s="2" t="str" cm="1">
        <f t="array" aca="1" ref="J169" ca="1">_xlfn.IFS(qhkz_4dqm[[#This Row],[vehicle_age]]&lt;=3,"Newer",qhkz_4dqm[[#This Row],[vehicle_age]]&lt;=9,"Mid-age",qhkz_4dqm[[#This Row],[vehicle_age]]&lt;=19,"Older",qhkz_4dqm[[#This Row],[vehicle_age]]&gt;=20,"Very Old")</f>
        <v>Newer</v>
      </c>
    </row>
    <row r="170" spans="1:10">
      <c r="A170" s="2">
        <v>24030102</v>
      </c>
      <c r="B170" s="2">
        <v>2403010201</v>
      </c>
      <c r="C170" s="2">
        <v>1</v>
      </c>
      <c r="D170" s="2">
        <v>2012</v>
      </c>
      <c r="E170" s="2">
        <v>1</v>
      </c>
      <c r="F170" s="2">
        <v>2576.9499999999998</v>
      </c>
      <c r="G170" s="2">
        <v>2237.58</v>
      </c>
      <c r="H170" s="2" t="str">
        <f>VLOOKUP(qhkz_4dqm[[#This Row],[fuel_type]],lookup!A:B,2,FALSE)</f>
        <v>Gasoline</v>
      </c>
      <c r="I170" s="2">
        <f ca="1">YEAR(TODAY())-qhkz_4dqm[[#This Row],[year]]</f>
        <v>14</v>
      </c>
      <c r="J170" s="2" t="str" cm="1">
        <f t="array" aca="1" ref="J170" ca="1">_xlfn.IFS(qhkz_4dqm[[#This Row],[vehicle_age]]&lt;=3,"Newer",qhkz_4dqm[[#This Row],[vehicle_age]]&lt;=9,"Mid-age",qhkz_4dqm[[#This Row],[vehicle_age]]&lt;=19,"Older",qhkz_4dqm[[#This Row],[vehicle_age]]&gt;=20,"Very Old")</f>
        <v>Older</v>
      </c>
    </row>
    <row r="171" spans="1:10">
      <c r="A171" s="2">
        <v>24030251</v>
      </c>
      <c r="B171" s="2">
        <v>2403025101</v>
      </c>
      <c r="C171" s="2">
        <v>1</v>
      </c>
      <c r="D171" s="2">
        <v>2016</v>
      </c>
      <c r="E171" s="2">
        <v>1</v>
      </c>
      <c r="F171" s="2">
        <v>49.7</v>
      </c>
      <c r="G171" s="2">
        <v>109.06</v>
      </c>
      <c r="H171" s="2" t="str">
        <f>VLOOKUP(qhkz_4dqm[[#This Row],[fuel_type]],lookup!A:B,2,FALSE)</f>
        <v>Gasoline</v>
      </c>
      <c r="I171" s="2">
        <f ca="1">YEAR(TODAY())-qhkz_4dqm[[#This Row],[year]]</f>
        <v>10</v>
      </c>
      <c r="J171" s="2" t="str" cm="1">
        <f t="array" aca="1" ref="J171" ca="1">_xlfn.IFS(qhkz_4dqm[[#This Row],[vehicle_age]]&lt;=3,"Newer",qhkz_4dqm[[#This Row],[vehicle_age]]&lt;=9,"Mid-age",qhkz_4dqm[[#This Row],[vehicle_age]]&lt;=19,"Older",qhkz_4dqm[[#This Row],[vehicle_age]]&gt;=20,"Very Old")</f>
        <v>Older</v>
      </c>
    </row>
    <row r="172" spans="1:10">
      <c r="A172" s="2">
        <v>24031955</v>
      </c>
      <c r="B172" s="2">
        <v>2403195501</v>
      </c>
      <c r="C172" s="2">
        <v>1</v>
      </c>
      <c r="D172" s="2">
        <v>1997</v>
      </c>
      <c r="E172" s="2">
        <v>1</v>
      </c>
      <c r="F172" s="2">
        <v>113.85</v>
      </c>
      <c r="G172" s="2">
        <v>653.59</v>
      </c>
      <c r="H172" s="2" t="str">
        <f>VLOOKUP(qhkz_4dqm[[#This Row],[fuel_type]],lookup!A:B,2,FALSE)</f>
        <v>Gasoline</v>
      </c>
      <c r="I172" s="2">
        <f ca="1">YEAR(TODAY())-qhkz_4dqm[[#This Row],[year]]</f>
        <v>29</v>
      </c>
      <c r="J172" s="2" t="str" cm="1">
        <f t="array" aca="1" ref="J172" ca="1">_xlfn.IFS(qhkz_4dqm[[#This Row],[vehicle_age]]&lt;=3,"Newer",qhkz_4dqm[[#This Row],[vehicle_age]]&lt;=9,"Mid-age",qhkz_4dqm[[#This Row],[vehicle_age]]&lt;=19,"Older",qhkz_4dqm[[#This Row],[vehicle_age]]&gt;=20,"Very Old")</f>
        <v>Very Old</v>
      </c>
    </row>
    <row r="173" spans="1:10">
      <c r="A173" s="2">
        <v>24031990</v>
      </c>
      <c r="B173" s="2">
        <v>2403199001</v>
      </c>
      <c r="C173" s="2">
        <v>1</v>
      </c>
      <c r="D173" s="2">
        <v>2015</v>
      </c>
      <c r="E173" s="2">
        <v>1</v>
      </c>
      <c r="F173" s="2">
        <v>18.55</v>
      </c>
      <c r="G173" s="2">
        <v>177.31</v>
      </c>
      <c r="H173" s="2" t="str">
        <f>VLOOKUP(qhkz_4dqm[[#This Row],[fuel_type]],lookup!A:B,2,FALSE)</f>
        <v>Gasoline</v>
      </c>
      <c r="I173" s="2">
        <f ca="1">YEAR(TODAY())-qhkz_4dqm[[#This Row],[year]]</f>
        <v>11</v>
      </c>
      <c r="J173" s="2" t="str" cm="1">
        <f t="array" aca="1" ref="J173" ca="1">_xlfn.IFS(qhkz_4dqm[[#This Row],[vehicle_age]]&lt;=3,"Newer",qhkz_4dqm[[#This Row],[vehicle_age]]&lt;=9,"Mid-age",qhkz_4dqm[[#This Row],[vehicle_age]]&lt;=19,"Older",qhkz_4dqm[[#This Row],[vehicle_age]]&gt;=20,"Very Old")</f>
        <v>Older</v>
      </c>
    </row>
    <row r="174" spans="1:10">
      <c r="A174" s="2">
        <v>24033107</v>
      </c>
      <c r="B174" s="2">
        <v>2403310701</v>
      </c>
      <c r="C174" s="2">
        <v>1</v>
      </c>
      <c r="D174" s="2">
        <v>2019</v>
      </c>
      <c r="E174" s="2">
        <v>1</v>
      </c>
      <c r="F174" s="2">
        <v>116.25</v>
      </c>
      <c r="G174" s="2">
        <v>445.99</v>
      </c>
      <c r="H174" s="2" t="str">
        <f>VLOOKUP(qhkz_4dqm[[#This Row],[fuel_type]],lookup!A:B,2,FALSE)</f>
        <v>Gasoline</v>
      </c>
      <c r="I174" s="2">
        <f ca="1">YEAR(TODAY())-qhkz_4dqm[[#This Row],[year]]</f>
        <v>7</v>
      </c>
      <c r="J174" s="2" t="str" cm="1">
        <f t="array" aca="1" ref="J174" ca="1">_xlfn.IFS(qhkz_4dqm[[#This Row],[vehicle_age]]&lt;=3,"Newer",qhkz_4dqm[[#This Row],[vehicle_age]]&lt;=9,"Mid-age",qhkz_4dqm[[#This Row],[vehicle_age]]&lt;=19,"Older",qhkz_4dqm[[#This Row],[vehicle_age]]&gt;=20,"Very Old")</f>
        <v>Mid-age</v>
      </c>
    </row>
    <row r="175" spans="1:10">
      <c r="A175" s="2">
        <v>24033536</v>
      </c>
      <c r="B175" s="2">
        <v>2403353601</v>
      </c>
      <c r="C175" s="2">
        <v>1</v>
      </c>
      <c r="D175" s="2">
        <v>2015</v>
      </c>
      <c r="E175" s="2">
        <v>1</v>
      </c>
      <c r="F175" s="2">
        <v>515.80999999999995</v>
      </c>
      <c r="G175" s="2">
        <v>2980.76</v>
      </c>
      <c r="H175" s="2" t="str">
        <f>VLOOKUP(qhkz_4dqm[[#This Row],[fuel_type]],lookup!A:B,2,FALSE)</f>
        <v>Gasoline</v>
      </c>
      <c r="I175" s="2">
        <f ca="1">YEAR(TODAY())-qhkz_4dqm[[#This Row],[year]]</f>
        <v>11</v>
      </c>
      <c r="J175" s="2" t="str" cm="1">
        <f t="array" aca="1" ref="J175" ca="1">_xlfn.IFS(qhkz_4dqm[[#This Row],[vehicle_age]]&lt;=3,"Newer",qhkz_4dqm[[#This Row],[vehicle_age]]&lt;=9,"Mid-age",qhkz_4dqm[[#This Row],[vehicle_age]]&lt;=19,"Older",qhkz_4dqm[[#This Row],[vehicle_age]]&gt;=20,"Very Old")</f>
        <v>Older</v>
      </c>
    </row>
    <row r="176" spans="1:10">
      <c r="A176" s="2">
        <v>24033640</v>
      </c>
      <c r="B176" s="2">
        <v>2403364001</v>
      </c>
      <c r="C176" s="2">
        <v>1</v>
      </c>
      <c r="D176" s="2">
        <v>2017</v>
      </c>
      <c r="E176" s="2">
        <v>1</v>
      </c>
      <c r="F176" s="2">
        <v>3537.33</v>
      </c>
      <c r="G176" s="2">
        <v>3062.17</v>
      </c>
      <c r="H176" s="2" t="str">
        <f>VLOOKUP(qhkz_4dqm[[#This Row],[fuel_type]],lookup!A:B,2,FALSE)</f>
        <v>Gasoline</v>
      </c>
      <c r="I176" s="2">
        <f ca="1">YEAR(TODAY())-qhkz_4dqm[[#This Row],[year]]</f>
        <v>9</v>
      </c>
      <c r="J176" s="2" t="str" cm="1">
        <f t="array" aca="1" ref="J176" ca="1">_xlfn.IFS(qhkz_4dqm[[#This Row],[vehicle_age]]&lt;=3,"Newer",qhkz_4dqm[[#This Row],[vehicle_age]]&lt;=9,"Mid-age",qhkz_4dqm[[#This Row],[vehicle_age]]&lt;=19,"Older",qhkz_4dqm[[#This Row],[vehicle_age]]&gt;=20,"Very Old")</f>
        <v>Mid-age</v>
      </c>
    </row>
    <row r="177" spans="1:10">
      <c r="A177" s="2">
        <v>24033925</v>
      </c>
      <c r="B177" s="2">
        <v>2403392501</v>
      </c>
      <c r="C177" s="2">
        <v>1</v>
      </c>
      <c r="D177" s="2">
        <v>2015</v>
      </c>
      <c r="E177" s="2">
        <v>1</v>
      </c>
      <c r="F177" s="2">
        <v>13.64</v>
      </c>
      <c r="G177" s="2">
        <v>112.32</v>
      </c>
      <c r="H177" s="2" t="str">
        <f>VLOOKUP(qhkz_4dqm[[#This Row],[fuel_type]],lookup!A:B,2,FALSE)</f>
        <v>Gasoline</v>
      </c>
      <c r="I177" s="2">
        <f ca="1">YEAR(TODAY())-qhkz_4dqm[[#This Row],[year]]</f>
        <v>11</v>
      </c>
      <c r="J177" s="2" t="str" cm="1">
        <f t="array" aca="1" ref="J177" ca="1">_xlfn.IFS(qhkz_4dqm[[#This Row],[vehicle_age]]&lt;=3,"Newer",qhkz_4dqm[[#This Row],[vehicle_age]]&lt;=9,"Mid-age",qhkz_4dqm[[#This Row],[vehicle_age]]&lt;=19,"Older",qhkz_4dqm[[#This Row],[vehicle_age]]&gt;=20,"Very Old")</f>
        <v>Older</v>
      </c>
    </row>
    <row r="178" spans="1:10">
      <c r="A178" s="2">
        <v>24034702</v>
      </c>
      <c r="B178" s="2">
        <v>2403470201</v>
      </c>
      <c r="C178" s="2">
        <v>1</v>
      </c>
      <c r="D178" s="2">
        <v>2020</v>
      </c>
      <c r="E178" s="2">
        <v>1</v>
      </c>
      <c r="F178" s="2">
        <v>30.72</v>
      </c>
      <c r="G178" s="2">
        <v>333.95</v>
      </c>
      <c r="H178" s="2" t="str">
        <f>VLOOKUP(qhkz_4dqm[[#This Row],[fuel_type]],lookup!A:B,2,FALSE)</f>
        <v>Gasoline</v>
      </c>
      <c r="I178" s="2">
        <f ca="1">YEAR(TODAY())-qhkz_4dqm[[#This Row],[year]]</f>
        <v>6</v>
      </c>
      <c r="J178" s="2" t="str" cm="1">
        <f t="array" aca="1" ref="J178" ca="1">_xlfn.IFS(qhkz_4dqm[[#This Row],[vehicle_age]]&lt;=3,"Newer",qhkz_4dqm[[#This Row],[vehicle_age]]&lt;=9,"Mid-age",qhkz_4dqm[[#This Row],[vehicle_age]]&lt;=19,"Older",qhkz_4dqm[[#This Row],[vehicle_age]]&gt;=20,"Very Old")</f>
        <v>Mid-age</v>
      </c>
    </row>
    <row r="179" spans="1:10">
      <c r="A179" s="2">
        <v>24034722</v>
      </c>
      <c r="B179" s="2">
        <v>2403472201</v>
      </c>
      <c r="C179" s="2">
        <v>1</v>
      </c>
      <c r="D179" s="2">
        <v>2018</v>
      </c>
      <c r="E179" s="2">
        <v>1</v>
      </c>
      <c r="F179" s="2">
        <v>1456.21</v>
      </c>
      <c r="G179" s="2">
        <v>1301.1300000000001</v>
      </c>
      <c r="H179" s="2" t="str">
        <f>VLOOKUP(qhkz_4dqm[[#This Row],[fuel_type]],lookup!A:B,2,FALSE)</f>
        <v>Gasoline</v>
      </c>
      <c r="I179" s="2">
        <f ca="1">YEAR(TODAY())-qhkz_4dqm[[#This Row],[year]]</f>
        <v>8</v>
      </c>
      <c r="J179" s="2" t="str" cm="1">
        <f t="array" aca="1" ref="J179" ca="1">_xlfn.IFS(qhkz_4dqm[[#This Row],[vehicle_age]]&lt;=3,"Newer",qhkz_4dqm[[#This Row],[vehicle_age]]&lt;=9,"Mid-age",qhkz_4dqm[[#This Row],[vehicle_age]]&lt;=19,"Older",qhkz_4dqm[[#This Row],[vehicle_age]]&gt;=20,"Very Old")</f>
        <v>Mid-age</v>
      </c>
    </row>
    <row r="180" spans="1:10">
      <c r="A180" s="2">
        <v>24034725</v>
      </c>
      <c r="B180" s="2">
        <v>2403472501</v>
      </c>
      <c r="C180" s="2">
        <v>1</v>
      </c>
      <c r="D180" s="2">
        <v>2019</v>
      </c>
      <c r="E180" s="2">
        <v>1</v>
      </c>
      <c r="F180" s="2">
        <v>12.01</v>
      </c>
      <c r="G180" s="2">
        <v>281.08999999999997</v>
      </c>
      <c r="H180" s="2" t="str">
        <f>VLOOKUP(qhkz_4dqm[[#This Row],[fuel_type]],lookup!A:B,2,FALSE)</f>
        <v>Gasoline</v>
      </c>
      <c r="I180" s="2">
        <f ca="1">YEAR(TODAY())-qhkz_4dqm[[#This Row],[year]]</f>
        <v>7</v>
      </c>
      <c r="J180" s="2" t="str" cm="1">
        <f t="array" aca="1" ref="J180" ca="1">_xlfn.IFS(qhkz_4dqm[[#This Row],[vehicle_age]]&lt;=3,"Newer",qhkz_4dqm[[#This Row],[vehicle_age]]&lt;=9,"Mid-age",qhkz_4dqm[[#This Row],[vehicle_age]]&lt;=19,"Older",qhkz_4dqm[[#This Row],[vehicle_age]]&gt;=20,"Very Old")</f>
        <v>Mid-age</v>
      </c>
    </row>
    <row r="181" spans="1:10">
      <c r="A181" s="2">
        <v>24034769</v>
      </c>
      <c r="B181" s="2">
        <v>2403476901</v>
      </c>
      <c r="C181" s="2">
        <v>1</v>
      </c>
      <c r="D181" s="2">
        <v>2014</v>
      </c>
      <c r="E181" s="2">
        <v>1</v>
      </c>
      <c r="F181" s="2">
        <v>35.9</v>
      </c>
      <c r="G181" s="2">
        <v>435.06</v>
      </c>
      <c r="H181" s="2" t="str">
        <f>VLOOKUP(qhkz_4dqm[[#This Row],[fuel_type]],lookup!A:B,2,FALSE)</f>
        <v>Gasoline</v>
      </c>
      <c r="I181" s="2">
        <f ca="1">YEAR(TODAY())-qhkz_4dqm[[#This Row],[year]]</f>
        <v>12</v>
      </c>
      <c r="J181" s="2" t="str" cm="1">
        <f t="array" aca="1" ref="J181" ca="1">_xlfn.IFS(qhkz_4dqm[[#This Row],[vehicle_age]]&lt;=3,"Newer",qhkz_4dqm[[#This Row],[vehicle_age]]&lt;=9,"Mid-age",qhkz_4dqm[[#This Row],[vehicle_age]]&lt;=19,"Older",qhkz_4dqm[[#This Row],[vehicle_age]]&gt;=20,"Very Old")</f>
        <v>Older</v>
      </c>
    </row>
    <row r="182" spans="1:10">
      <c r="A182" s="2">
        <v>24034812</v>
      </c>
      <c r="B182" s="2">
        <v>2403481201</v>
      </c>
      <c r="C182" s="2">
        <v>1</v>
      </c>
      <c r="D182" s="2">
        <v>2023</v>
      </c>
      <c r="E182" s="2">
        <v>1</v>
      </c>
      <c r="F182" s="2">
        <v>7066.93</v>
      </c>
      <c r="G182" s="2">
        <v>6092.4</v>
      </c>
      <c r="H182" s="2" t="str">
        <f>VLOOKUP(qhkz_4dqm[[#This Row],[fuel_type]],lookup!A:B,2,FALSE)</f>
        <v>Gasoline</v>
      </c>
      <c r="I182" s="2">
        <f ca="1">YEAR(TODAY())-qhkz_4dqm[[#This Row],[year]]</f>
        <v>3</v>
      </c>
      <c r="J182" s="2" t="str" cm="1">
        <f t="array" aca="1" ref="J182" ca="1">_xlfn.IFS(qhkz_4dqm[[#This Row],[vehicle_age]]&lt;=3,"Newer",qhkz_4dqm[[#This Row],[vehicle_age]]&lt;=9,"Mid-age",qhkz_4dqm[[#This Row],[vehicle_age]]&lt;=19,"Older",qhkz_4dqm[[#This Row],[vehicle_age]]&gt;=20,"Very Old")</f>
        <v>Newer</v>
      </c>
    </row>
    <row r="183" spans="1:10">
      <c r="A183" s="2">
        <v>24035549</v>
      </c>
      <c r="B183" s="2">
        <v>2403554901</v>
      </c>
      <c r="C183" s="2">
        <v>1</v>
      </c>
      <c r="D183" s="2">
        <v>2015</v>
      </c>
      <c r="E183" s="2">
        <v>1</v>
      </c>
      <c r="F183" s="2">
        <v>962.65</v>
      </c>
      <c r="G183" s="2">
        <v>839.89</v>
      </c>
      <c r="H183" s="2" t="str">
        <f>VLOOKUP(qhkz_4dqm[[#This Row],[fuel_type]],lookup!A:B,2,FALSE)</f>
        <v>Gasoline</v>
      </c>
      <c r="I183" s="2">
        <f ca="1">YEAR(TODAY())-qhkz_4dqm[[#This Row],[year]]</f>
        <v>11</v>
      </c>
      <c r="J183" s="2" t="str" cm="1">
        <f t="array" aca="1" ref="J183" ca="1">_xlfn.IFS(qhkz_4dqm[[#This Row],[vehicle_age]]&lt;=3,"Newer",qhkz_4dqm[[#This Row],[vehicle_age]]&lt;=9,"Mid-age",qhkz_4dqm[[#This Row],[vehicle_age]]&lt;=19,"Older",qhkz_4dqm[[#This Row],[vehicle_age]]&gt;=20,"Very Old")</f>
        <v>Older</v>
      </c>
    </row>
    <row r="184" spans="1:10">
      <c r="A184" s="2">
        <v>24035555</v>
      </c>
      <c r="B184" s="2">
        <v>2403555501</v>
      </c>
      <c r="C184" s="2">
        <v>1</v>
      </c>
      <c r="D184" s="2">
        <v>2012</v>
      </c>
      <c r="E184" s="2">
        <v>1</v>
      </c>
      <c r="F184" s="2">
        <v>140.27000000000001</v>
      </c>
      <c r="G184" s="2">
        <v>589.15</v>
      </c>
      <c r="H184" s="2" t="str">
        <f>VLOOKUP(qhkz_4dqm[[#This Row],[fuel_type]],lookup!A:B,2,FALSE)</f>
        <v>Gasoline</v>
      </c>
      <c r="I184" s="2">
        <f ca="1">YEAR(TODAY())-qhkz_4dqm[[#This Row],[year]]</f>
        <v>14</v>
      </c>
      <c r="J184" s="2" t="str" cm="1">
        <f t="array" aca="1" ref="J184" ca="1">_xlfn.IFS(qhkz_4dqm[[#This Row],[vehicle_age]]&lt;=3,"Newer",qhkz_4dqm[[#This Row],[vehicle_age]]&lt;=9,"Mid-age",qhkz_4dqm[[#This Row],[vehicle_age]]&lt;=19,"Older",qhkz_4dqm[[#This Row],[vehicle_age]]&gt;=20,"Very Old")</f>
        <v>Older</v>
      </c>
    </row>
    <row r="185" spans="1:10">
      <c r="A185" s="2">
        <v>24035725</v>
      </c>
      <c r="B185" s="2">
        <v>2403572501</v>
      </c>
      <c r="C185" s="2">
        <v>1</v>
      </c>
      <c r="D185" s="2">
        <v>2018</v>
      </c>
      <c r="E185" s="2">
        <v>1</v>
      </c>
      <c r="F185" s="2">
        <v>625.87</v>
      </c>
      <c r="G185" s="2">
        <v>690.42</v>
      </c>
      <c r="H185" s="2" t="str">
        <f>VLOOKUP(qhkz_4dqm[[#This Row],[fuel_type]],lookup!A:B,2,FALSE)</f>
        <v>Gasoline</v>
      </c>
      <c r="I185" s="2">
        <f ca="1">YEAR(TODAY())-qhkz_4dqm[[#This Row],[year]]</f>
        <v>8</v>
      </c>
      <c r="J185" s="2" t="str" cm="1">
        <f t="array" aca="1" ref="J185" ca="1">_xlfn.IFS(qhkz_4dqm[[#This Row],[vehicle_age]]&lt;=3,"Newer",qhkz_4dqm[[#This Row],[vehicle_age]]&lt;=9,"Mid-age",qhkz_4dqm[[#This Row],[vehicle_age]]&lt;=19,"Older",qhkz_4dqm[[#This Row],[vehicle_age]]&gt;=20,"Very Old")</f>
        <v>Mid-age</v>
      </c>
    </row>
    <row r="186" spans="1:10">
      <c r="A186" s="2">
        <v>24035764</v>
      </c>
      <c r="B186" s="2">
        <v>2403576401</v>
      </c>
      <c r="C186" s="2">
        <v>1</v>
      </c>
      <c r="D186" s="2">
        <v>2022</v>
      </c>
      <c r="E186" s="2">
        <v>1</v>
      </c>
      <c r="F186" s="2">
        <v>468.06</v>
      </c>
      <c r="G186" s="2">
        <v>1246.95</v>
      </c>
      <c r="H186" s="2" t="str">
        <f>VLOOKUP(qhkz_4dqm[[#This Row],[fuel_type]],lookup!A:B,2,FALSE)</f>
        <v>Gasoline</v>
      </c>
      <c r="I186" s="2">
        <f ca="1">YEAR(TODAY())-qhkz_4dqm[[#This Row],[year]]</f>
        <v>4</v>
      </c>
      <c r="J186" s="2" t="str" cm="1">
        <f t="array" aca="1" ref="J186" ca="1">_xlfn.IFS(qhkz_4dqm[[#This Row],[vehicle_age]]&lt;=3,"Newer",qhkz_4dqm[[#This Row],[vehicle_age]]&lt;=9,"Mid-age",qhkz_4dqm[[#This Row],[vehicle_age]]&lt;=19,"Older",qhkz_4dqm[[#This Row],[vehicle_age]]&gt;=20,"Very Old")</f>
        <v>Mid-age</v>
      </c>
    </row>
    <row r="187" spans="1:10">
      <c r="A187" s="2">
        <v>24035800</v>
      </c>
      <c r="B187" s="2">
        <v>2403580001</v>
      </c>
      <c r="C187" s="2">
        <v>1</v>
      </c>
      <c r="D187" s="2">
        <v>2013</v>
      </c>
      <c r="E187" s="2">
        <v>1</v>
      </c>
      <c r="F187" s="2">
        <v>105.03</v>
      </c>
      <c r="G187" s="2">
        <v>218.62</v>
      </c>
      <c r="H187" s="2" t="str">
        <f>VLOOKUP(qhkz_4dqm[[#This Row],[fuel_type]],lookup!A:B,2,FALSE)</f>
        <v>Gasoline</v>
      </c>
      <c r="I187" s="2">
        <f ca="1">YEAR(TODAY())-qhkz_4dqm[[#This Row],[year]]</f>
        <v>13</v>
      </c>
      <c r="J187" s="2" t="str" cm="1">
        <f t="array" aca="1" ref="J187" ca="1">_xlfn.IFS(qhkz_4dqm[[#This Row],[vehicle_age]]&lt;=3,"Newer",qhkz_4dqm[[#This Row],[vehicle_age]]&lt;=9,"Mid-age",qhkz_4dqm[[#This Row],[vehicle_age]]&lt;=19,"Older",qhkz_4dqm[[#This Row],[vehicle_age]]&gt;=20,"Very Old")</f>
        <v>Older</v>
      </c>
    </row>
    <row r="188" spans="1:10">
      <c r="A188" s="2">
        <v>24036349</v>
      </c>
      <c r="B188" s="2">
        <v>2403634901</v>
      </c>
      <c r="C188" s="2">
        <v>1</v>
      </c>
      <c r="D188" s="2">
        <v>2023</v>
      </c>
      <c r="E188" s="2">
        <v>1</v>
      </c>
      <c r="F188" s="2">
        <v>2355.73</v>
      </c>
      <c r="G188" s="2">
        <v>1836.9</v>
      </c>
      <c r="H188" s="2" t="str">
        <f>VLOOKUP(qhkz_4dqm[[#This Row],[fuel_type]],lookup!A:B,2,FALSE)</f>
        <v>Gasoline</v>
      </c>
      <c r="I188" s="2">
        <f ca="1">YEAR(TODAY())-qhkz_4dqm[[#This Row],[year]]</f>
        <v>3</v>
      </c>
      <c r="J188" s="2" t="str" cm="1">
        <f t="array" aca="1" ref="J188" ca="1">_xlfn.IFS(qhkz_4dqm[[#This Row],[vehicle_age]]&lt;=3,"Newer",qhkz_4dqm[[#This Row],[vehicle_age]]&lt;=9,"Mid-age",qhkz_4dqm[[#This Row],[vehicle_age]]&lt;=19,"Older",qhkz_4dqm[[#This Row],[vehicle_age]]&gt;=20,"Very Old")</f>
        <v>Newer</v>
      </c>
    </row>
    <row r="189" spans="1:10">
      <c r="A189" s="2">
        <v>24037636</v>
      </c>
      <c r="B189" s="2">
        <v>2403763601</v>
      </c>
      <c r="C189" s="2">
        <v>1</v>
      </c>
      <c r="D189" s="2">
        <v>2012</v>
      </c>
      <c r="E189" s="2">
        <v>1</v>
      </c>
      <c r="F189" s="2">
        <v>39.880000000000003</v>
      </c>
      <c r="G189" s="2">
        <v>361.63</v>
      </c>
      <c r="H189" s="2" t="str">
        <f>VLOOKUP(qhkz_4dqm[[#This Row],[fuel_type]],lookup!A:B,2,FALSE)</f>
        <v>Gasoline</v>
      </c>
      <c r="I189" s="2">
        <f ca="1">YEAR(TODAY())-qhkz_4dqm[[#This Row],[year]]</f>
        <v>14</v>
      </c>
      <c r="J189" s="2" t="str" cm="1">
        <f t="array" aca="1" ref="J189" ca="1">_xlfn.IFS(qhkz_4dqm[[#This Row],[vehicle_age]]&lt;=3,"Newer",qhkz_4dqm[[#This Row],[vehicle_age]]&lt;=9,"Mid-age",qhkz_4dqm[[#This Row],[vehicle_age]]&lt;=19,"Older",qhkz_4dqm[[#This Row],[vehicle_age]]&gt;=20,"Very Old")</f>
        <v>Older</v>
      </c>
    </row>
    <row r="190" spans="1:10">
      <c r="A190" s="2">
        <v>24037845</v>
      </c>
      <c r="B190" s="2">
        <v>2403784501</v>
      </c>
      <c r="C190" s="2">
        <v>1</v>
      </c>
      <c r="D190" s="2">
        <v>2020</v>
      </c>
      <c r="E190" s="2">
        <v>1</v>
      </c>
      <c r="F190" s="2">
        <v>8.4600000000000009</v>
      </c>
      <c r="G190" s="2">
        <v>270.5</v>
      </c>
      <c r="H190" s="2" t="str">
        <f>VLOOKUP(qhkz_4dqm[[#This Row],[fuel_type]],lookup!A:B,2,FALSE)</f>
        <v>Gasoline</v>
      </c>
      <c r="I190" s="2">
        <f ca="1">YEAR(TODAY())-qhkz_4dqm[[#This Row],[year]]</f>
        <v>6</v>
      </c>
      <c r="J190" s="2" t="str" cm="1">
        <f t="array" aca="1" ref="J190" ca="1">_xlfn.IFS(qhkz_4dqm[[#This Row],[vehicle_age]]&lt;=3,"Newer",qhkz_4dqm[[#This Row],[vehicle_age]]&lt;=9,"Mid-age",qhkz_4dqm[[#This Row],[vehicle_age]]&lt;=19,"Older",qhkz_4dqm[[#This Row],[vehicle_age]]&gt;=20,"Very Old")</f>
        <v>Mid-age</v>
      </c>
    </row>
    <row r="191" spans="1:10">
      <c r="A191" s="2">
        <v>24037972</v>
      </c>
      <c r="B191" s="2">
        <v>2403797201</v>
      </c>
      <c r="C191" s="2">
        <v>1</v>
      </c>
      <c r="D191" s="2">
        <v>2012</v>
      </c>
      <c r="E191" s="2">
        <v>1</v>
      </c>
      <c r="F191" s="2">
        <v>144.02000000000001</v>
      </c>
      <c r="G191" s="2">
        <v>557.77</v>
      </c>
      <c r="H191" s="2" t="str">
        <f>VLOOKUP(qhkz_4dqm[[#This Row],[fuel_type]],lookup!A:B,2,FALSE)</f>
        <v>Gasoline</v>
      </c>
      <c r="I191" s="2">
        <f ca="1">YEAR(TODAY())-qhkz_4dqm[[#This Row],[year]]</f>
        <v>14</v>
      </c>
      <c r="J191" s="2" t="str" cm="1">
        <f t="array" aca="1" ref="J191" ca="1">_xlfn.IFS(qhkz_4dqm[[#This Row],[vehicle_age]]&lt;=3,"Newer",qhkz_4dqm[[#This Row],[vehicle_age]]&lt;=9,"Mid-age",qhkz_4dqm[[#This Row],[vehicle_age]]&lt;=19,"Older",qhkz_4dqm[[#This Row],[vehicle_age]]&gt;=20,"Very Old")</f>
        <v>Older</v>
      </c>
    </row>
    <row r="192" spans="1:10">
      <c r="A192" s="2">
        <v>24038118</v>
      </c>
      <c r="B192" s="2">
        <v>2403811801</v>
      </c>
      <c r="C192" s="2">
        <v>1</v>
      </c>
      <c r="D192" s="2">
        <v>2014</v>
      </c>
      <c r="E192" s="2">
        <v>1</v>
      </c>
      <c r="F192" s="2">
        <v>2755.98</v>
      </c>
      <c r="G192" s="2">
        <v>1617.56</v>
      </c>
      <c r="H192" s="2" t="str">
        <f>VLOOKUP(qhkz_4dqm[[#This Row],[fuel_type]],lookup!A:B,2,FALSE)</f>
        <v>Gasoline</v>
      </c>
      <c r="I192" s="2">
        <f ca="1">YEAR(TODAY())-qhkz_4dqm[[#This Row],[year]]</f>
        <v>12</v>
      </c>
      <c r="J192" s="2" t="str" cm="1">
        <f t="array" aca="1" ref="J192" ca="1">_xlfn.IFS(qhkz_4dqm[[#This Row],[vehicle_age]]&lt;=3,"Newer",qhkz_4dqm[[#This Row],[vehicle_age]]&lt;=9,"Mid-age",qhkz_4dqm[[#This Row],[vehicle_age]]&lt;=19,"Older",qhkz_4dqm[[#This Row],[vehicle_age]]&gt;=20,"Very Old")</f>
        <v>Older</v>
      </c>
    </row>
    <row r="193" spans="1:10">
      <c r="A193" s="2">
        <v>24038183</v>
      </c>
      <c r="B193" s="2">
        <v>2403818301</v>
      </c>
      <c r="C193" s="2">
        <v>1</v>
      </c>
      <c r="D193" s="2">
        <v>2017</v>
      </c>
      <c r="E193" s="2">
        <v>1</v>
      </c>
      <c r="F193" s="2">
        <v>4.88</v>
      </c>
      <c r="G193" s="2">
        <v>37.22</v>
      </c>
      <c r="H193" s="2" t="str">
        <f>VLOOKUP(qhkz_4dqm[[#This Row],[fuel_type]],lookup!A:B,2,FALSE)</f>
        <v>Gasoline</v>
      </c>
      <c r="I193" s="2">
        <f ca="1">YEAR(TODAY())-qhkz_4dqm[[#This Row],[year]]</f>
        <v>9</v>
      </c>
      <c r="J193" s="2" t="str" cm="1">
        <f t="array" aca="1" ref="J193" ca="1">_xlfn.IFS(qhkz_4dqm[[#This Row],[vehicle_age]]&lt;=3,"Newer",qhkz_4dqm[[#This Row],[vehicle_age]]&lt;=9,"Mid-age",qhkz_4dqm[[#This Row],[vehicle_age]]&lt;=19,"Older",qhkz_4dqm[[#This Row],[vehicle_age]]&gt;=20,"Very Old")</f>
        <v>Mid-age</v>
      </c>
    </row>
    <row r="194" spans="1:10">
      <c r="A194" s="2">
        <v>24038234</v>
      </c>
      <c r="B194" s="2">
        <v>2403823401</v>
      </c>
      <c r="C194" s="2">
        <v>1</v>
      </c>
      <c r="D194" s="2">
        <v>2008</v>
      </c>
      <c r="E194" s="2">
        <v>1</v>
      </c>
      <c r="F194" s="2">
        <v>51.75</v>
      </c>
      <c r="G194" s="2">
        <v>1042.17</v>
      </c>
      <c r="H194" s="2" t="str">
        <f>VLOOKUP(qhkz_4dqm[[#This Row],[fuel_type]],lookup!A:B,2,FALSE)</f>
        <v>Gasoline</v>
      </c>
      <c r="I194" s="2">
        <f ca="1">YEAR(TODAY())-qhkz_4dqm[[#This Row],[year]]</f>
        <v>18</v>
      </c>
      <c r="J194" s="2" t="str" cm="1">
        <f t="array" aca="1" ref="J194" ca="1">_xlfn.IFS(qhkz_4dqm[[#This Row],[vehicle_age]]&lt;=3,"Newer",qhkz_4dqm[[#This Row],[vehicle_age]]&lt;=9,"Mid-age",qhkz_4dqm[[#This Row],[vehicle_age]]&lt;=19,"Older",qhkz_4dqm[[#This Row],[vehicle_age]]&gt;=20,"Very Old")</f>
        <v>Older</v>
      </c>
    </row>
    <row r="195" spans="1:10">
      <c r="A195" s="2">
        <v>24038899</v>
      </c>
      <c r="B195" s="2">
        <v>2403889901</v>
      </c>
      <c r="C195" s="2">
        <v>1</v>
      </c>
      <c r="D195" s="2">
        <v>2020</v>
      </c>
      <c r="E195" s="2">
        <v>1</v>
      </c>
      <c r="F195" s="2">
        <v>197.82</v>
      </c>
      <c r="G195" s="2">
        <v>166.28</v>
      </c>
      <c r="H195" s="2" t="str">
        <f>VLOOKUP(qhkz_4dqm[[#This Row],[fuel_type]],lookup!A:B,2,FALSE)</f>
        <v>Gasoline</v>
      </c>
      <c r="I195" s="2">
        <f ca="1">YEAR(TODAY())-qhkz_4dqm[[#This Row],[year]]</f>
        <v>6</v>
      </c>
      <c r="J195" s="2" t="str" cm="1">
        <f t="array" aca="1" ref="J195" ca="1">_xlfn.IFS(qhkz_4dqm[[#This Row],[vehicle_age]]&lt;=3,"Newer",qhkz_4dqm[[#This Row],[vehicle_age]]&lt;=9,"Mid-age",qhkz_4dqm[[#This Row],[vehicle_age]]&lt;=19,"Older",qhkz_4dqm[[#This Row],[vehicle_age]]&gt;=20,"Very Old")</f>
        <v>Mid-age</v>
      </c>
    </row>
    <row r="196" spans="1:10">
      <c r="A196" s="2">
        <v>24039189</v>
      </c>
      <c r="B196" s="2">
        <v>2403918901</v>
      </c>
      <c r="C196" s="2">
        <v>1</v>
      </c>
      <c r="D196" s="2">
        <v>2020</v>
      </c>
      <c r="E196" s="2">
        <v>1</v>
      </c>
      <c r="F196" s="2">
        <v>446.39</v>
      </c>
      <c r="G196" s="2">
        <v>711.35</v>
      </c>
      <c r="H196" s="2" t="str">
        <f>VLOOKUP(qhkz_4dqm[[#This Row],[fuel_type]],lookup!A:B,2,FALSE)</f>
        <v>Gasoline</v>
      </c>
      <c r="I196" s="2">
        <f ca="1">YEAR(TODAY())-qhkz_4dqm[[#This Row],[year]]</f>
        <v>6</v>
      </c>
      <c r="J196" s="2" t="str" cm="1">
        <f t="array" aca="1" ref="J196" ca="1">_xlfn.IFS(qhkz_4dqm[[#This Row],[vehicle_age]]&lt;=3,"Newer",qhkz_4dqm[[#This Row],[vehicle_age]]&lt;=9,"Mid-age",qhkz_4dqm[[#This Row],[vehicle_age]]&lt;=19,"Older",qhkz_4dqm[[#This Row],[vehicle_age]]&gt;=20,"Very Old")</f>
        <v>Mid-age</v>
      </c>
    </row>
    <row r="197" spans="1:10">
      <c r="A197" s="2">
        <v>24039451</v>
      </c>
      <c r="B197" s="2">
        <v>2403945101</v>
      </c>
      <c r="C197" s="2">
        <v>1</v>
      </c>
      <c r="D197" s="2">
        <v>2011</v>
      </c>
      <c r="E197" s="2">
        <v>1</v>
      </c>
      <c r="F197" s="2">
        <v>1342.53</v>
      </c>
      <c r="G197" s="2">
        <v>1270.69</v>
      </c>
      <c r="H197" s="2" t="str">
        <f>VLOOKUP(qhkz_4dqm[[#This Row],[fuel_type]],lookup!A:B,2,FALSE)</f>
        <v>Gasoline</v>
      </c>
      <c r="I197" s="2">
        <f ca="1">YEAR(TODAY())-qhkz_4dqm[[#This Row],[year]]</f>
        <v>15</v>
      </c>
      <c r="J197" s="2" t="str" cm="1">
        <f t="array" aca="1" ref="J197" ca="1">_xlfn.IFS(qhkz_4dqm[[#This Row],[vehicle_age]]&lt;=3,"Newer",qhkz_4dqm[[#This Row],[vehicle_age]]&lt;=9,"Mid-age",qhkz_4dqm[[#This Row],[vehicle_age]]&lt;=19,"Older",qhkz_4dqm[[#This Row],[vehicle_age]]&gt;=20,"Very Old")</f>
        <v>Older</v>
      </c>
    </row>
    <row r="198" spans="1:10">
      <c r="A198" s="2">
        <v>24039487</v>
      </c>
      <c r="B198" s="2">
        <v>2403948701</v>
      </c>
      <c r="C198" s="2">
        <v>1</v>
      </c>
      <c r="D198" s="2">
        <v>2016</v>
      </c>
      <c r="E198" s="2">
        <v>1</v>
      </c>
      <c r="F198" s="2">
        <v>5.6</v>
      </c>
      <c r="G198" s="2">
        <v>45.59</v>
      </c>
      <c r="H198" s="2" t="str">
        <f>VLOOKUP(qhkz_4dqm[[#This Row],[fuel_type]],lookup!A:B,2,FALSE)</f>
        <v>Gasoline</v>
      </c>
      <c r="I198" s="2">
        <f ca="1">YEAR(TODAY())-qhkz_4dqm[[#This Row],[year]]</f>
        <v>10</v>
      </c>
      <c r="J198" s="2" t="str" cm="1">
        <f t="array" aca="1" ref="J198" ca="1">_xlfn.IFS(qhkz_4dqm[[#This Row],[vehicle_age]]&lt;=3,"Newer",qhkz_4dqm[[#This Row],[vehicle_age]]&lt;=9,"Mid-age",qhkz_4dqm[[#This Row],[vehicle_age]]&lt;=19,"Older",qhkz_4dqm[[#This Row],[vehicle_age]]&gt;=20,"Very Old")</f>
        <v>Older</v>
      </c>
    </row>
    <row r="199" spans="1:10">
      <c r="A199" s="2">
        <v>24039570</v>
      </c>
      <c r="B199" s="2">
        <v>2403957001</v>
      </c>
      <c r="C199" s="2">
        <v>1</v>
      </c>
      <c r="D199" s="2">
        <v>2013</v>
      </c>
      <c r="E199" s="2">
        <v>1</v>
      </c>
      <c r="F199" s="2">
        <v>29.18</v>
      </c>
      <c r="G199" s="2">
        <v>311.19</v>
      </c>
      <c r="H199" s="2" t="str">
        <f>VLOOKUP(qhkz_4dqm[[#This Row],[fuel_type]],lookup!A:B,2,FALSE)</f>
        <v>Gasoline</v>
      </c>
      <c r="I199" s="2">
        <f ca="1">YEAR(TODAY())-qhkz_4dqm[[#This Row],[year]]</f>
        <v>13</v>
      </c>
      <c r="J199" s="2" t="str" cm="1">
        <f t="array" aca="1" ref="J199" ca="1">_xlfn.IFS(qhkz_4dqm[[#This Row],[vehicle_age]]&lt;=3,"Newer",qhkz_4dqm[[#This Row],[vehicle_age]]&lt;=9,"Mid-age",qhkz_4dqm[[#This Row],[vehicle_age]]&lt;=19,"Older",qhkz_4dqm[[#This Row],[vehicle_age]]&gt;=20,"Very Old")</f>
        <v>Older</v>
      </c>
    </row>
    <row r="200" spans="1:10">
      <c r="A200" s="2">
        <v>24039581</v>
      </c>
      <c r="B200" s="2">
        <v>2403958101</v>
      </c>
      <c r="C200" s="2">
        <v>1</v>
      </c>
      <c r="D200" s="2">
        <v>2008</v>
      </c>
      <c r="E200" s="2">
        <v>1</v>
      </c>
      <c r="F200" s="2">
        <v>1433.06</v>
      </c>
      <c r="G200" s="2">
        <v>713.69</v>
      </c>
      <c r="H200" s="2" t="str">
        <f>VLOOKUP(qhkz_4dqm[[#This Row],[fuel_type]],lookup!A:B,2,FALSE)</f>
        <v>Gasoline</v>
      </c>
      <c r="I200" s="2">
        <f ca="1">YEAR(TODAY())-qhkz_4dqm[[#This Row],[year]]</f>
        <v>18</v>
      </c>
      <c r="J200" s="2" t="str" cm="1">
        <f t="array" aca="1" ref="J200" ca="1">_xlfn.IFS(qhkz_4dqm[[#This Row],[vehicle_age]]&lt;=3,"Newer",qhkz_4dqm[[#This Row],[vehicle_age]]&lt;=9,"Mid-age",qhkz_4dqm[[#This Row],[vehicle_age]]&lt;=19,"Older",qhkz_4dqm[[#This Row],[vehicle_age]]&gt;=20,"Very Old")</f>
        <v>Older</v>
      </c>
    </row>
    <row r="201" spans="1:10">
      <c r="A201" s="2">
        <v>24039631</v>
      </c>
      <c r="B201" s="2">
        <v>2403963101</v>
      </c>
      <c r="C201" s="2">
        <v>1</v>
      </c>
      <c r="D201" s="2">
        <v>2013</v>
      </c>
      <c r="E201" s="2">
        <v>1</v>
      </c>
      <c r="F201" s="2">
        <v>32.909999999999997</v>
      </c>
      <c r="G201" s="2">
        <v>321.99</v>
      </c>
      <c r="H201" s="2" t="str">
        <f>VLOOKUP(qhkz_4dqm[[#This Row],[fuel_type]],lookup!A:B,2,FALSE)</f>
        <v>Gasoline</v>
      </c>
      <c r="I201" s="2">
        <f ca="1">YEAR(TODAY())-qhkz_4dqm[[#This Row],[year]]</f>
        <v>13</v>
      </c>
      <c r="J201" s="2" t="str" cm="1">
        <f t="array" aca="1" ref="J201" ca="1">_xlfn.IFS(qhkz_4dqm[[#This Row],[vehicle_age]]&lt;=3,"Newer",qhkz_4dqm[[#This Row],[vehicle_age]]&lt;=9,"Mid-age",qhkz_4dqm[[#This Row],[vehicle_age]]&lt;=19,"Older",qhkz_4dqm[[#This Row],[vehicle_age]]&gt;=20,"Very Old")</f>
        <v>Older</v>
      </c>
    </row>
    <row r="202" spans="1:10">
      <c r="A202" s="2">
        <v>24040333</v>
      </c>
      <c r="B202" s="2">
        <v>2404033301</v>
      </c>
      <c r="C202" s="2">
        <v>1</v>
      </c>
      <c r="D202" s="2">
        <v>2007</v>
      </c>
      <c r="E202" s="2">
        <v>1</v>
      </c>
      <c r="F202" s="2">
        <v>288.79000000000002</v>
      </c>
      <c r="G202" s="2">
        <v>572.58000000000004</v>
      </c>
      <c r="H202" s="2" t="str">
        <f>VLOOKUP(qhkz_4dqm[[#This Row],[fuel_type]],lookup!A:B,2,FALSE)</f>
        <v>Gasoline</v>
      </c>
      <c r="I202" s="2">
        <f ca="1">YEAR(TODAY())-qhkz_4dqm[[#This Row],[year]]</f>
        <v>19</v>
      </c>
      <c r="J202" s="2" t="str" cm="1">
        <f t="array" aca="1" ref="J202" ca="1">_xlfn.IFS(qhkz_4dqm[[#This Row],[vehicle_age]]&lt;=3,"Newer",qhkz_4dqm[[#This Row],[vehicle_age]]&lt;=9,"Mid-age",qhkz_4dqm[[#This Row],[vehicle_age]]&lt;=19,"Older",qhkz_4dqm[[#This Row],[vehicle_age]]&gt;=20,"Very Old")</f>
        <v>Older</v>
      </c>
    </row>
    <row r="203" spans="1:10">
      <c r="A203" s="2">
        <v>24040617</v>
      </c>
      <c r="B203" s="2">
        <v>2404061701</v>
      </c>
      <c r="C203" s="2">
        <v>1</v>
      </c>
      <c r="D203" s="2">
        <v>2005</v>
      </c>
      <c r="E203" s="2">
        <v>1</v>
      </c>
      <c r="F203" s="2">
        <v>2.48</v>
      </c>
      <c r="G203" s="2">
        <v>79.56</v>
      </c>
      <c r="H203" s="2" t="str">
        <f>VLOOKUP(qhkz_4dqm[[#This Row],[fuel_type]],lookup!A:B,2,FALSE)</f>
        <v>Gasoline</v>
      </c>
      <c r="I203" s="2">
        <f ca="1">YEAR(TODAY())-qhkz_4dqm[[#This Row],[year]]</f>
        <v>21</v>
      </c>
      <c r="J203" s="2" t="str" cm="1">
        <f t="array" aca="1" ref="J203" ca="1">_xlfn.IFS(qhkz_4dqm[[#This Row],[vehicle_age]]&lt;=3,"Newer",qhkz_4dqm[[#This Row],[vehicle_age]]&lt;=9,"Mid-age",qhkz_4dqm[[#This Row],[vehicle_age]]&lt;=19,"Older",qhkz_4dqm[[#This Row],[vehicle_age]]&gt;=20,"Very Old")</f>
        <v>Very Old</v>
      </c>
    </row>
    <row r="204" spans="1:10">
      <c r="A204" s="2">
        <v>24041222</v>
      </c>
      <c r="B204" s="2">
        <v>2404122201</v>
      </c>
      <c r="C204" s="2">
        <v>1</v>
      </c>
      <c r="D204" s="2">
        <v>2007</v>
      </c>
      <c r="E204" s="2">
        <v>1</v>
      </c>
      <c r="F204" s="2">
        <v>6.64</v>
      </c>
      <c r="G204" s="2">
        <v>152.57</v>
      </c>
      <c r="H204" s="2" t="str">
        <f>VLOOKUP(qhkz_4dqm[[#This Row],[fuel_type]],lookup!A:B,2,FALSE)</f>
        <v>Gasoline</v>
      </c>
      <c r="I204" s="2">
        <f ca="1">YEAR(TODAY())-qhkz_4dqm[[#This Row],[year]]</f>
        <v>19</v>
      </c>
      <c r="J204" s="2" t="str" cm="1">
        <f t="array" aca="1" ref="J204" ca="1">_xlfn.IFS(qhkz_4dqm[[#This Row],[vehicle_age]]&lt;=3,"Newer",qhkz_4dqm[[#This Row],[vehicle_age]]&lt;=9,"Mid-age",qhkz_4dqm[[#This Row],[vehicle_age]]&lt;=19,"Older",qhkz_4dqm[[#This Row],[vehicle_age]]&gt;=20,"Very Old")</f>
        <v>Older</v>
      </c>
    </row>
    <row r="205" spans="1:10">
      <c r="A205" s="2">
        <v>24041310</v>
      </c>
      <c r="B205" s="2">
        <v>2404131001</v>
      </c>
      <c r="C205" s="2">
        <v>1</v>
      </c>
      <c r="D205" s="2">
        <v>2017</v>
      </c>
      <c r="E205" s="2">
        <v>1</v>
      </c>
      <c r="F205" s="2">
        <v>16.63</v>
      </c>
      <c r="G205" s="2">
        <v>223.45</v>
      </c>
      <c r="H205" s="2" t="str">
        <f>VLOOKUP(qhkz_4dqm[[#This Row],[fuel_type]],lookup!A:B,2,FALSE)</f>
        <v>Gasoline</v>
      </c>
      <c r="I205" s="2">
        <f ca="1">YEAR(TODAY())-qhkz_4dqm[[#This Row],[year]]</f>
        <v>9</v>
      </c>
      <c r="J205" s="2" t="str" cm="1">
        <f t="array" aca="1" ref="J205" ca="1">_xlfn.IFS(qhkz_4dqm[[#This Row],[vehicle_age]]&lt;=3,"Newer",qhkz_4dqm[[#This Row],[vehicle_age]]&lt;=9,"Mid-age",qhkz_4dqm[[#This Row],[vehicle_age]]&lt;=19,"Older",qhkz_4dqm[[#This Row],[vehicle_age]]&gt;=20,"Very Old")</f>
        <v>Mid-age</v>
      </c>
    </row>
    <row r="206" spans="1:10">
      <c r="A206" s="2">
        <v>24041364</v>
      </c>
      <c r="B206" s="2">
        <v>2404136401</v>
      </c>
      <c r="C206" s="2">
        <v>1</v>
      </c>
      <c r="D206" s="2">
        <v>2014</v>
      </c>
      <c r="E206" s="2">
        <v>1</v>
      </c>
      <c r="F206" s="2">
        <v>159.87</v>
      </c>
      <c r="G206" s="2">
        <v>646.66999999999996</v>
      </c>
      <c r="H206" s="2" t="str">
        <f>VLOOKUP(qhkz_4dqm[[#This Row],[fuel_type]],lookup!A:B,2,FALSE)</f>
        <v>Gasoline</v>
      </c>
      <c r="I206" s="2">
        <f ca="1">YEAR(TODAY())-qhkz_4dqm[[#This Row],[year]]</f>
        <v>12</v>
      </c>
      <c r="J206" s="2" t="str" cm="1">
        <f t="array" aca="1" ref="J206" ca="1">_xlfn.IFS(qhkz_4dqm[[#This Row],[vehicle_age]]&lt;=3,"Newer",qhkz_4dqm[[#This Row],[vehicle_age]]&lt;=9,"Mid-age",qhkz_4dqm[[#This Row],[vehicle_age]]&lt;=19,"Older",qhkz_4dqm[[#This Row],[vehicle_age]]&gt;=20,"Very Old")</f>
        <v>Older</v>
      </c>
    </row>
    <row r="207" spans="1:10">
      <c r="A207" s="2">
        <v>24042009</v>
      </c>
      <c r="B207" s="2">
        <v>2404200901</v>
      </c>
      <c r="C207" s="2">
        <v>1</v>
      </c>
      <c r="D207" s="2">
        <v>2016</v>
      </c>
      <c r="E207" s="2">
        <v>1</v>
      </c>
      <c r="F207" s="2">
        <v>5.32</v>
      </c>
      <c r="G207" s="2">
        <v>177.81</v>
      </c>
      <c r="H207" s="2" t="str">
        <f>VLOOKUP(qhkz_4dqm[[#This Row],[fuel_type]],lookup!A:B,2,FALSE)</f>
        <v>Gasoline</v>
      </c>
      <c r="I207" s="2">
        <f ca="1">YEAR(TODAY())-qhkz_4dqm[[#This Row],[year]]</f>
        <v>10</v>
      </c>
      <c r="J207" s="2" t="str" cm="1">
        <f t="array" aca="1" ref="J207" ca="1">_xlfn.IFS(qhkz_4dqm[[#This Row],[vehicle_age]]&lt;=3,"Newer",qhkz_4dqm[[#This Row],[vehicle_age]]&lt;=9,"Mid-age",qhkz_4dqm[[#This Row],[vehicle_age]]&lt;=19,"Older",qhkz_4dqm[[#This Row],[vehicle_age]]&gt;=20,"Very Old")</f>
        <v>Older</v>
      </c>
    </row>
    <row r="208" spans="1:10">
      <c r="A208" s="2">
        <v>24042072</v>
      </c>
      <c r="B208" s="2">
        <v>2404207201</v>
      </c>
      <c r="C208" s="2">
        <v>1</v>
      </c>
      <c r="D208" s="2">
        <v>2018</v>
      </c>
      <c r="E208" s="2">
        <v>1</v>
      </c>
      <c r="F208" s="2">
        <v>1642.49</v>
      </c>
      <c r="G208" s="2">
        <v>1838.08</v>
      </c>
      <c r="H208" s="2" t="str">
        <f>VLOOKUP(qhkz_4dqm[[#This Row],[fuel_type]],lookup!A:B,2,FALSE)</f>
        <v>Gasoline</v>
      </c>
      <c r="I208" s="2">
        <f ca="1">YEAR(TODAY())-qhkz_4dqm[[#This Row],[year]]</f>
        <v>8</v>
      </c>
      <c r="J208" s="2" t="str" cm="1">
        <f t="array" aca="1" ref="J208" ca="1">_xlfn.IFS(qhkz_4dqm[[#This Row],[vehicle_age]]&lt;=3,"Newer",qhkz_4dqm[[#This Row],[vehicle_age]]&lt;=9,"Mid-age",qhkz_4dqm[[#This Row],[vehicle_age]]&lt;=19,"Older",qhkz_4dqm[[#This Row],[vehicle_age]]&gt;=20,"Very Old")</f>
        <v>Mid-age</v>
      </c>
    </row>
    <row r="209" spans="1:10">
      <c r="A209" s="2">
        <v>24042119</v>
      </c>
      <c r="B209" s="2">
        <v>2404211901</v>
      </c>
      <c r="C209" s="2">
        <v>1</v>
      </c>
      <c r="D209" s="2">
        <v>2018</v>
      </c>
      <c r="E209" s="2">
        <v>1</v>
      </c>
      <c r="F209" s="2">
        <v>2.1800000000000002</v>
      </c>
      <c r="G209" s="2">
        <v>195.69</v>
      </c>
      <c r="H209" s="2" t="str">
        <f>VLOOKUP(qhkz_4dqm[[#This Row],[fuel_type]],lookup!A:B,2,FALSE)</f>
        <v>Gasoline</v>
      </c>
      <c r="I209" s="2">
        <f ca="1">YEAR(TODAY())-qhkz_4dqm[[#This Row],[year]]</f>
        <v>8</v>
      </c>
      <c r="J209" s="2" t="str" cm="1">
        <f t="array" aca="1" ref="J209" ca="1">_xlfn.IFS(qhkz_4dqm[[#This Row],[vehicle_age]]&lt;=3,"Newer",qhkz_4dqm[[#This Row],[vehicle_age]]&lt;=9,"Mid-age",qhkz_4dqm[[#This Row],[vehicle_age]]&lt;=19,"Older",qhkz_4dqm[[#This Row],[vehicle_age]]&gt;=20,"Very Old")</f>
        <v>Mid-age</v>
      </c>
    </row>
    <row r="210" spans="1:10">
      <c r="A210" s="2">
        <v>24042401</v>
      </c>
      <c r="B210" s="2">
        <v>2404240101</v>
      </c>
      <c r="C210" s="2">
        <v>1</v>
      </c>
      <c r="D210" s="2">
        <v>2015</v>
      </c>
      <c r="E210" s="2">
        <v>1</v>
      </c>
      <c r="F210" s="2">
        <v>13.22</v>
      </c>
      <c r="G210" s="2">
        <v>841.81</v>
      </c>
      <c r="H210" s="2" t="str">
        <f>VLOOKUP(qhkz_4dqm[[#This Row],[fuel_type]],lookup!A:B,2,FALSE)</f>
        <v>Gasoline</v>
      </c>
      <c r="I210" s="2">
        <f ca="1">YEAR(TODAY())-qhkz_4dqm[[#This Row],[year]]</f>
        <v>11</v>
      </c>
      <c r="J210" s="2" t="str" cm="1">
        <f t="array" aca="1" ref="J210" ca="1">_xlfn.IFS(qhkz_4dqm[[#This Row],[vehicle_age]]&lt;=3,"Newer",qhkz_4dqm[[#This Row],[vehicle_age]]&lt;=9,"Mid-age",qhkz_4dqm[[#This Row],[vehicle_age]]&lt;=19,"Older",qhkz_4dqm[[#This Row],[vehicle_age]]&gt;=20,"Very Old")</f>
        <v>Older</v>
      </c>
    </row>
    <row r="211" spans="1:10">
      <c r="A211" s="2">
        <v>24042887</v>
      </c>
      <c r="B211" s="2">
        <v>2404288701</v>
      </c>
      <c r="C211" s="2">
        <v>1</v>
      </c>
      <c r="D211" s="2">
        <v>2009</v>
      </c>
      <c r="E211" s="2">
        <v>1</v>
      </c>
      <c r="F211" s="2">
        <v>5.36</v>
      </c>
      <c r="G211" s="2">
        <v>175.59</v>
      </c>
      <c r="H211" s="2" t="str">
        <f>VLOOKUP(qhkz_4dqm[[#This Row],[fuel_type]],lookup!A:B,2,FALSE)</f>
        <v>Gasoline</v>
      </c>
      <c r="I211" s="2">
        <f ca="1">YEAR(TODAY())-qhkz_4dqm[[#This Row],[year]]</f>
        <v>17</v>
      </c>
      <c r="J211" s="2" t="str" cm="1">
        <f t="array" aca="1" ref="J211" ca="1">_xlfn.IFS(qhkz_4dqm[[#This Row],[vehicle_age]]&lt;=3,"Newer",qhkz_4dqm[[#This Row],[vehicle_age]]&lt;=9,"Mid-age",qhkz_4dqm[[#This Row],[vehicle_age]]&lt;=19,"Older",qhkz_4dqm[[#This Row],[vehicle_age]]&gt;=20,"Very Old")</f>
        <v>Older</v>
      </c>
    </row>
    <row r="212" spans="1:10">
      <c r="A212" s="2">
        <v>24043426</v>
      </c>
      <c r="B212" s="2">
        <v>2404342601</v>
      </c>
      <c r="C212" s="2">
        <v>1</v>
      </c>
      <c r="D212" s="2">
        <v>2019</v>
      </c>
      <c r="E212" s="2">
        <v>1</v>
      </c>
      <c r="F212" s="2">
        <v>773.44</v>
      </c>
      <c r="G212" s="2">
        <v>397.21</v>
      </c>
      <c r="H212" s="2" t="str">
        <f>VLOOKUP(qhkz_4dqm[[#This Row],[fuel_type]],lookup!A:B,2,FALSE)</f>
        <v>Gasoline</v>
      </c>
      <c r="I212" s="2">
        <f ca="1">YEAR(TODAY())-qhkz_4dqm[[#This Row],[year]]</f>
        <v>7</v>
      </c>
      <c r="J212" s="2" t="str" cm="1">
        <f t="array" aca="1" ref="J212" ca="1">_xlfn.IFS(qhkz_4dqm[[#This Row],[vehicle_age]]&lt;=3,"Newer",qhkz_4dqm[[#This Row],[vehicle_age]]&lt;=9,"Mid-age",qhkz_4dqm[[#This Row],[vehicle_age]]&lt;=19,"Older",qhkz_4dqm[[#This Row],[vehicle_age]]&gt;=20,"Very Old")</f>
        <v>Mid-age</v>
      </c>
    </row>
    <row r="213" spans="1:10">
      <c r="A213" s="2">
        <v>24044595</v>
      </c>
      <c r="B213" s="2">
        <v>2404459501</v>
      </c>
      <c r="C213" s="2">
        <v>1</v>
      </c>
      <c r="D213" s="2">
        <v>2016</v>
      </c>
      <c r="E213" s="2">
        <v>1</v>
      </c>
      <c r="F213" s="2">
        <v>6974.13</v>
      </c>
      <c r="G213" s="2">
        <v>4840.67</v>
      </c>
      <c r="H213" s="2" t="str">
        <f>VLOOKUP(qhkz_4dqm[[#This Row],[fuel_type]],lookup!A:B,2,FALSE)</f>
        <v>Gasoline</v>
      </c>
      <c r="I213" s="2">
        <f ca="1">YEAR(TODAY())-qhkz_4dqm[[#This Row],[year]]</f>
        <v>10</v>
      </c>
      <c r="J213" s="2" t="str" cm="1">
        <f t="array" aca="1" ref="J213" ca="1">_xlfn.IFS(qhkz_4dqm[[#This Row],[vehicle_age]]&lt;=3,"Newer",qhkz_4dqm[[#This Row],[vehicle_age]]&lt;=9,"Mid-age",qhkz_4dqm[[#This Row],[vehicle_age]]&lt;=19,"Older",qhkz_4dqm[[#This Row],[vehicle_age]]&gt;=20,"Very Old")</f>
        <v>Older</v>
      </c>
    </row>
    <row r="214" spans="1:10">
      <c r="A214" s="2">
        <v>24044900</v>
      </c>
      <c r="B214" s="2">
        <v>2404490001</v>
      </c>
      <c r="C214" s="2">
        <v>1</v>
      </c>
      <c r="D214" s="2">
        <v>2011</v>
      </c>
      <c r="E214" s="2">
        <v>1</v>
      </c>
      <c r="F214" s="2">
        <v>283.42</v>
      </c>
      <c r="G214" s="2">
        <v>292.16000000000003</v>
      </c>
      <c r="H214" s="2" t="str">
        <f>VLOOKUP(qhkz_4dqm[[#This Row],[fuel_type]],lookup!A:B,2,FALSE)</f>
        <v>Gasoline</v>
      </c>
      <c r="I214" s="2">
        <f ca="1">YEAR(TODAY())-qhkz_4dqm[[#This Row],[year]]</f>
        <v>15</v>
      </c>
      <c r="J214" s="2" t="str" cm="1">
        <f t="array" aca="1" ref="J214" ca="1">_xlfn.IFS(qhkz_4dqm[[#This Row],[vehicle_age]]&lt;=3,"Newer",qhkz_4dqm[[#This Row],[vehicle_age]]&lt;=9,"Mid-age",qhkz_4dqm[[#This Row],[vehicle_age]]&lt;=19,"Older",qhkz_4dqm[[#This Row],[vehicle_age]]&gt;=20,"Very Old")</f>
        <v>Older</v>
      </c>
    </row>
    <row r="215" spans="1:10">
      <c r="A215" s="2">
        <v>24044944</v>
      </c>
      <c r="B215" s="2">
        <v>2404494401</v>
      </c>
      <c r="C215" s="2">
        <v>1</v>
      </c>
      <c r="D215" s="2">
        <v>2024</v>
      </c>
      <c r="E215" s="2">
        <v>3</v>
      </c>
      <c r="F215" s="2">
        <v>7286.61</v>
      </c>
      <c r="G215" s="2">
        <v>4952.67</v>
      </c>
      <c r="H215" s="2" t="str">
        <f>VLOOKUP(qhkz_4dqm[[#This Row],[fuel_type]],lookup!A:B,2,FALSE)</f>
        <v>Hybrid</v>
      </c>
      <c r="I215" s="2">
        <f ca="1">YEAR(TODAY())-qhkz_4dqm[[#This Row],[year]]</f>
        <v>2</v>
      </c>
      <c r="J215" s="2" t="str" cm="1">
        <f t="array" aca="1" ref="J215" ca="1">_xlfn.IFS(qhkz_4dqm[[#This Row],[vehicle_age]]&lt;=3,"Newer",qhkz_4dqm[[#This Row],[vehicle_age]]&lt;=9,"Mid-age",qhkz_4dqm[[#This Row],[vehicle_age]]&lt;=19,"Older",qhkz_4dqm[[#This Row],[vehicle_age]]&gt;=20,"Very Old")</f>
        <v>Newer</v>
      </c>
    </row>
    <row r="216" spans="1:10">
      <c r="A216" s="2">
        <v>24045129</v>
      </c>
      <c r="B216" s="2">
        <v>2404512901</v>
      </c>
      <c r="C216" s="2">
        <v>1</v>
      </c>
      <c r="D216" s="2">
        <v>2021</v>
      </c>
      <c r="E216" s="2">
        <v>2</v>
      </c>
      <c r="F216" s="2">
        <v>166.28</v>
      </c>
      <c r="G216" s="2">
        <v>597.82000000000005</v>
      </c>
      <c r="H216" s="2" t="str">
        <f>VLOOKUP(qhkz_4dqm[[#This Row],[fuel_type]],lookup!A:B,2,FALSE)</f>
        <v>Diesel</v>
      </c>
      <c r="I216" s="2">
        <f ca="1">YEAR(TODAY())-qhkz_4dqm[[#This Row],[year]]</f>
        <v>5</v>
      </c>
      <c r="J216" s="2" t="str" cm="1">
        <f t="array" aca="1" ref="J216" ca="1">_xlfn.IFS(qhkz_4dqm[[#This Row],[vehicle_age]]&lt;=3,"Newer",qhkz_4dqm[[#This Row],[vehicle_age]]&lt;=9,"Mid-age",qhkz_4dqm[[#This Row],[vehicle_age]]&lt;=19,"Older",qhkz_4dqm[[#This Row],[vehicle_age]]&gt;=20,"Very Old")</f>
        <v>Mid-age</v>
      </c>
    </row>
    <row r="217" spans="1:10">
      <c r="A217" s="2">
        <v>24045504</v>
      </c>
      <c r="B217" s="2">
        <v>2404550401</v>
      </c>
      <c r="C217" s="2">
        <v>1</v>
      </c>
      <c r="D217" s="2">
        <v>2014</v>
      </c>
      <c r="E217" s="2">
        <v>2</v>
      </c>
      <c r="F217" s="2">
        <v>1719.57</v>
      </c>
      <c r="G217" s="2">
        <v>2931.91</v>
      </c>
      <c r="H217" s="2" t="str">
        <f>VLOOKUP(qhkz_4dqm[[#This Row],[fuel_type]],lookup!A:B,2,FALSE)</f>
        <v>Diesel</v>
      </c>
      <c r="I217" s="2">
        <f ca="1">YEAR(TODAY())-qhkz_4dqm[[#This Row],[year]]</f>
        <v>12</v>
      </c>
      <c r="J217" s="2" t="str" cm="1">
        <f t="array" aca="1" ref="J217" ca="1">_xlfn.IFS(qhkz_4dqm[[#This Row],[vehicle_age]]&lt;=3,"Newer",qhkz_4dqm[[#This Row],[vehicle_age]]&lt;=9,"Mid-age",qhkz_4dqm[[#This Row],[vehicle_age]]&lt;=19,"Older",qhkz_4dqm[[#This Row],[vehicle_age]]&gt;=20,"Very Old")</f>
        <v>Older</v>
      </c>
    </row>
    <row r="218" spans="1:10">
      <c r="A218" s="2">
        <v>24045555</v>
      </c>
      <c r="B218" s="2">
        <v>2404555501</v>
      </c>
      <c r="C218" s="2">
        <v>1</v>
      </c>
      <c r="D218" s="2">
        <v>2010</v>
      </c>
      <c r="E218" s="2">
        <v>1</v>
      </c>
      <c r="F218" s="2">
        <v>418.74</v>
      </c>
      <c r="G218" s="2">
        <v>274.92</v>
      </c>
      <c r="H218" s="2" t="str">
        <f>VLOOKUP(qhkz_4dqm[[#This Row],[fuel_type]],lookup!A:B,2,FALSE)</f>
        <v>Gasoline</v>
      </c>
      <c r="I218" s="2">
        <f ca="1">YEAR(TODAY())-qhkz_4dqm[[#This Row],[year]]</f>
        <v>16</v>
      </c>
      <c r="J218" s="2" t="str" cm="1">
        <f t="array" aca="1" ref="J218" ca="1">_xlfn.IFS(qhkz_4dqm[[#This Row],[vehicle_age]]&lt;=3,"Newer",qhkz_4dqm[[#This Row],[vehicle_age]]&lt;=9,"Mid-age",qhkz_4dqm[[#This Row],[vehicle_age]]&lt;=19,"Older",qhkz_4dqm[[#This Row],[vehicle_age]]&gt;=20,"Very Old")</f>
        <v>Older</v>
      </c>
    </row>
    <row r="219" spans="1:10">
      <c r="A219" s="2">
        <v>24045636</v>
      </c>
      <c r="B219" s="2">
        <v>2404563601</v>
      </c>
      <c r="C219" s="2">
        <v>1</v>
      </c>
      <c r="D219" s="2">
        <v>2017</v>
      </c>
      <c r="E219" s="2">
        <v>1</v>
      </c>
      <c r="F219" s="2">
        <v>200.58</v>
      </c>
      <c r="G219" s="2">
        <v>597.12</v>
      </c>
      <c r="H219" s="2" t="str">
        <f>VLOOKUP(qhkz_4dqm[[#This Row],[fuel_type]],lookup!A:B,2,FALSE)</f>
        <v>Gasoline</v>
      </c>
      <c r="I219" s="2">
        <f ca="1">YEAR(TODAY())-qhkz_4dqm[[#This Row],[year]]</f>
        <v>9</v>
      </c>
      <c r="J219" s="2" t="str" cm="1">
        <f t="array" aca="1" ref="J219" ca="1">_xlfn.IFS(qhkz_4dqm[[#This Row],[vehicle_age]]&lt;=3,"Newer",qhkz_4dqm[[#This Row],[vehicle_age]]&lt;=9,"Mid-age",qhkz_4dqm[[#This Row],[vehicle_age]]&lt;=19,"Older",qhkz_4dqm[[#This Row],[vehicle_age]]&gt;=20,"Very Old")</f>
        <v>Mid-age</v>
      </c>
    </row>
    <row r="220" spans="1:10">
      <c r="A220" s="2">
        <v>24045742</v>
      </c>
      <c r="B220" s="2">
        <v>2404574201</v>
      </c>
      <c r="C220" s="2">
        <v>1</v>
      </c>
      <c r="D220" s="2">
        <v>2022</v>
      </c>
      <c r="E220" s="2">
        <v>1</v>
      </c>
      <c r="F220" s="2">
        <v>4803.47</v>
      </c>
      <c r="G220" s="2">
        <v>1696.94</v>
      </c>
      <c r="H220" s="2" t="str">
        <f>VLOOKUP(qhkz_4dqm[[#This Row],[fuel_type]],lookup!A:B,2,FALSE)</f>
        <v>Gasoline</v>
      </c>
      <c r="I220" s="2">
        <f ca="1">YEAR(TODAY())-qhkz_4dqm[[#This Row],[year]]</f>
        <v>4</v>
      </c>
      <c r="J220" s="2" t="str" cm="1">
        <f t="array" aca="1" ref="J220" ca="1">_xlfn.IFS(qhkz_4dqm[[#This Row],[vehicle_age]]&lt;=3,"Newer",qhkz_4dqm[[#This Row],[vehicle_age]]&lt;=9,"Mid-age",qhkz_4dqm[[#This Row],[vehicle_age]]&lt;=19,"Older",qhkz_4dqm[[#This Row],[vehicle_age]]&gt;=20,"Very Old")</f>
        <v>Mid-age</v>
      </c>
    </row>
    <row r="221" spans="1:10">
      <c r="A221" s="2">
        <v>24046052</v>
      </c>
      <c r="B221" s="2">
        <v>2404605201</v>
      </c>
      <c r="C221" s="2">
        <v>1</v>
      </c>
      <c r="D221" s="2">
        <v>2010</v>
      </c>
      <c r="E221" s="2">
        <v>2</v>
      </c>
      <c r="F221" s="2">
        <v>852.12</v>
      </c>
      <c r="G221" s="2">
        <v>2168.7199999999998</v>
      </c>
      <c r="H221" s="2" t="str">
        <f>VLOOKUP(qhkz_4dqm[[#This Row],[fuel_type]],lookup!A:B,2,FALSE)</f>
        <v>Diesel</v>
      </c>
      <c r="I221" s="2">
        <f ca="1">YEAR(TODAY())-qhkz_4dqm[[#This Row],[year]]</f>
        <v>16</v>
      </c>
      <c r="J221" s="2" t="str" cm="1">
        <f t="array" aca="1" ref="J221" ca="1">_xlfn.IFS(qhkz_4dqm[[#This Row],[vehicle_age]]&lt;=3,"Newer",qhkz_4dqm[[#This Row],[vehicle_age]]&lt;=9,"Mid-age",qhkz_4dqm[[#This Row],[vehicle_age]]&lt;=19,"Older",qhkz_4dqm[[#This Row],[vehicle_age]]&gt;=20,"Very Old")</f>
        <v>Older</v>
      </c>
    </row>
    <row r="222" spans="1:10">
      <c r="A222" s="2">
        <v>24046129</v>
      </c>
      <c r="B222" s="2">
        <v>2404612901</v>
      </c>
      <c r="C222" s="2">
        <v>1</v>
      </c>
      <c r="D222" s="2">
        <v>2018</v>
      </c>
      <c r="E222" s="2">
        <v>1</v>
      </c>
      <c r="F222" s="2">
        <v>2371.12</v>
      </c>
      <c r="G222" s="2">
        <v>1984.23</v>
      </c>
      <c r="H222" s="2" t="str">
        <f>VLOOKUP(qhkz_4dqm[[#This Row],[fuel_type]],lookup!A:B,2,FALSE)</f>
        <v>Gasoline</v>
      </c>
      <c r="I222" s="2">
        <f ca="1">YEAR(TODAY())-qhkz_4dqm[[#This Row],[year]]</f>
        <v>8</v>
      </c>
      <c r="J222" s="2" t="str" cm="1">
        <f t="array" aca="1" ref="J222" ca="1">_xlfn.IFS(qhkz_4dqm[[#This Row],[vehicle_age]]&lt;=3,"Newer",qhkz_4dqm[[#This Row],[vehicle_age]]&lt;=9,"Mid-age",qhkz_4dqm[[#This Row],[vehicle_age]]&lt;=19,"Older",qhkz_4dqm[[#This Row],[vehicle_age]]&gt;=20,"Very Old")</f>
        <v>Mid-age</v>
      </c>
    </row>
    <row r="223" spans="1:10">
      <c r="A223" s="2">
        <v>24046276</v>
      </c>
      <c r="B223" s="2">
        <v>2404627601</v>
      </c>
      <c r="C223" s="2">
        <v>1</v>
      </c>
      <c r="D223" s="2">
        <v>2015</v>
      </c>
      <c r="E223" s="2">
        <v>1</v>
      </c>
      <c r="F223" s="2">
        <v>365.57</v>
      </c>
      <c r="G223" s="2">
        <v>347.21</v>
      </c>
      <c r="H223" s="2" t="str">
        <f>VLOOKUP(qhkz_4dqm[[#This Row],[fuel_type]],lookup!A:B,2,FALSE)</f>
        <v>Gasoline</v>
      </c>
      <c r="I223" s="2">
        <f ca="1">YEAR(TODAY())-qhkz_4dqm[[#This Row],[year]]</f>
        <v>11</v>
      </c>
      <c r="J223" s="2" t="str" cm="1">
        <f t="array" aca="1" ref="J223" ca="1">_xlfn.IFS(qhkz_4dqm[[#This Row],[vehicle_age]]&lt;=3,"Newer",qhkz_4dqm[[#This Row],[vehicle_age]]&lt;=9,"Mid-age",qhkz_4dqm[[#This Row],[vehicle_age]]&lt;=19,"Older",qhkz_4dqm[[#This Row],[vehicle_age]]&gt;=20,"Very Old")</f>
        <v>Older</v>
      </c>
    </row>
    <row r="224" spans="1:10">
      <c r="A224" s="2">
        <v>24046484</v>
      </c>
      <c r="B224" s="2">
        <v>2404648401</v>
      </c>
      <c r="C224" s="2">
        <v>1</v>
      </c>
      <c r="D224" s="2">
        <v>2012</v>
      </c>
      <c r="E224" s="2">
        <v>2</v>
      </c>
      <c r="F224" s="2">
        <v>889.16</v>
      </c>
      <c r="G224" s="2">
        <v>992.35</v>
      </c>
      <c r="H224" s="2" t="str">
        <f>VLOOKUP(qhkz_4dqm[[#This Row],[fuel_type]],lookup!A:B,2,FALSE)</f>
        <v>Diesel</v>
      </c>
      <c r="I224" s="2">
        <f ca="1">YEAR(TODAY())-qhkz_4dqm[[#This Row],[year]]</f>
        <v>14</v>
      </c>
      <c r="J224" s="2" t="str" cm="1">
        <f t="array" aca="1" ref="J224" ca="1">_xlfn.IFS(qhkz_4dqm[[#This Row],[vehicle_age]]&lt;=3,"Newer",qhkz_4dqm[[#This Row],[vehicle_age]]&lt;=9,"Mid-age",qhkz_4dqm[[#This Row],[vehicle_age]]&lt;=19,"Older",qhkz_4dqm[[#This Row],[vehicle_age]]&gt;=20,"Very Old")</f>
        <v>Older</v>
      </c>
    </row>
    <row r="225" spans="1:10">
      <c r="A225" s="2">
        <v>24046492</v>
      </c>
      <c r="B225" s="2">
        <v>2404649201</v>
      </c>
      <c r="C225" s="2">
        <v>1</v>
      </c>
      <c r="D225" s="2">
        <v>2018</v>
      </c>
      <c r="E225" s="2">
        <v>1</v>
      </c>
      <c r="F225" s="2">
        <v>286.37</v>
      </c>
      <c r="G225" s="2">
        <v>405.29</v>
      </c>
      <c r="H225" s="2" t="str">
        <f>VLOOKUP(qhkz_4dqm[[#This Row],[fuel_type]],lookup!A:B,2,FALSE)</f>
        <v>Gasoline</v>
      </c>
      <c r="I225" s="2">
        <f ca="1">YEAR(TODAY())-qhkz_4dqm[[#This Row],[year]]</f>
        <v>8</v>
      </c>
      <c r="J225" s="2" t="str" cm="1">
        <f t="array" aca="1" ref="J225" ca="1">_xlfn.IFS(qhkz_4dqm[[#This Row],[vehicle_age]]&lt;=3,"Newer",qhkz_4dqm[[#This Row],[vehicle_age]]&lt;=9,"Mid-age",qhkz_4dqm[[#This Row],[vehicle_age]]&lt;=19,"Older",qhkz_4dqm[[#This Row],[vehicle_age]]&gt;=20,"Very Old")</f>
        <v>Mid-age</v>
      </c>
    </row>
    <row r="226" spans="1:10">
      <c r="A226" s="2">
        <v>24046691</v>
      </c>
      <c r="B226" s="2">
        <v>2404669101</v>
      </c>
      <c r="C226" s="2">
        <v>1</v>
      </c>
      <c r="D226" s="2">
        <v>2022</v>
      </c>
      <c r="E226" s="2">
        <v>4</v>
      </c>
      <c r="F226" s="2">
        <v>81.47</v>
      </c>
      <c r="G226" s="2">
        <v>636.94000000000005</v>
      </c>
      <c r="H226" s="2" t="str">
        <f>VLOOKUP(qhkz_4dqm[[#This Row],[fuel_type]],lookup!A:B,2,FALSE)</f>
        <v>Electric</v>
      </c>
      <c r="I226" s="2">
        <f ca="1">YEAR(TODAY())-qhkz_4dqm[[#This Row],[year]]</f>
        <v>4</v>
      </c>
      <c r="J226" s="2" t="str" cm="1">
        <f t="array" aca="1" ref="J226" ca="1">_xlfn.IFS(qhkz_4dqm[[#This Row],[vehicle_age]]&lt;=3,"Newer",qhkz_4dqm[[#This Row],[vehicle_age]]&lt;=9,"Mid-age",qhkz_4dqm[[#This Row],[vehicle_age]]&lt;=19,"Older",qhkz_4dqm[[#This Row],[vehicle_age]]&gt;=20,"Very Old")</f>
        <v>Mid-age</v>
      </c>
    </row>
    <row r="227" spans="1:10">
      <c r="A227" s="2">
        <v>24046795</v>
      </c>
      <c r="B227" s="2">
        <v>2404679501</v>
      </c>
      <c r="C227" s="2">
        <v>1</v>
      </c>
      <c r="D227" s="2">
        <v>2020</v>
      </c>
      <c r="E227" s="2">
        <v>1</v>
      </c>
      <c r="F227" s="2">
        <v>883.21</v>
      </c>
      <c r="G227" s="2">
        <v>674.86</v>
      </c>
      <c r="H227" s="2" t="str">
        <f>VLOOKUP(qhkz_4dqm[[#This Row],[fuel_type]],lookup!A:B,2,FALSE)</f>
        <v>Gasoline</v>
      </c>
      <c r="I227" s="2">
        <f ca="1">YEAR(TODAY())-qhkz_4dqm[[#This Row],[year]]</f>
        <v>6</v>
      </c>
      <c r="J227" s="2" t="str" cm="1">
        <f t="array" aca="1" ref="J227" ca="1">_xlfn.IFS(qhkz_4dqm[[#This Row],[vehicle_age]]&lt;=3,"Newer",qhkz_4dqm[[#This Row],[vehicle_age]]&lt;=9,"Mid-age",qhkz_4dqm[[#This Row],[vehicle_age]]&lt;=19,"Older",qhkz_4dqm[[#This Row],[vehicle_age]]&gt;=20,"Very Old")</f>
        <v>Mid-age</v>
      </c>
    </row>
    <row r="228" spans="1:10">
      <c r="A228" s="2">
        <v>24046802</v>
      </c>
      <c r="B228" s="2">
        <v>2404680201</v>
      </c>
      <c r="C228" s="2">
        <v>1</v>
      </c>
      <c r="D228" s="2">
        <v>2013</v>
      </c>
      <c r="E228" s="2">
        <v>1</v>
      </c>
      <c r="F228" s="2">
        <v>2749.71</v>
      </c>
      <c r="G228" s="2">
        <v>4529.93</v>
      </c>
      <c r="H228" s="2" t="str">
        <f>VLOOKUP(qhkz_4dqm[[#This Row],[fuel_type]],lookup!A:B,2,FALSE)</f>
        <v>Gasoline</v>
      </c>
      <c r="I228" s="2">
        <f ca="1">YEAR(TODAY())-qhkz_4dqm[[#This Row],[year]]</f>
        <v>13</v>
      </c>
      <c r="J228" s="2" t="str" cm="1">
        <f t="array" aca="1" ref="J228" ca="1">_xlfn.IFS(qhkz_4dqm[[#This Row],[vehicle_age]]&lt;=3,"Newer",qhkz_4dqm[[#This Row],[vehicle_age]]&lt;=9,"Mid-age",qhkz_4dqm[[#This Row],[vehicle_age]]&lt;=19,"Older",qhkz_4dqm[[#This Row],[vehicle_age]]&gt;=20,"Very Old")</f>
        <v>Older</v>
      </c>
    </row>
    <row r="229" spans="1:10">
      <c r="A229" s="2">
        <v>24046845</v>
      </c>
      <c r="B229" s="2">
        <v>2404684501</v>
      </c>
      <c r="C229" s="2">
        <v>1</v>
      </c>
      <c r="D229" s="2">
        <v>2014</v>
      </c>
      <c r="E229" s="2">
        <v>1</v>
      </c>
      <c r="F229" s="2">
        <v>3462.5</v>
      </c>
      <c r="G229" s="2">
        <v>2402.13</v>
      </c>
      <c r="H229" s="2" t="str">
        <f>VLOOKUP(qhkz_4dqm[[#This Row],[fuel_type]],lookup!A:B,2,FALSE)</f>
        <v>Gasoline</v>
      </c>
      <c r="I229" s="2">
        <f ca="1">YEAR(TODAY())-qhkz_4dqm[[#This Row],[year]]</f>
        <v>12</v>
      </c>
      <c r="J229" s="2" t="str" cm="1">
        <f t="array" aca="1" ref="J229" ca="1">_xlfn.IFS(qhkz_4dqm[[#This Row],[vehicle_age]]&lt;=3,"Newer",qhkz_4dqm[[#This Row],[vehicle_age]]&lt;=9,"Mid-age",qhkz_4dqm[[#This Row],[vehicle_age]]&lt;=19,"Older",qhkz_4dqm[[#This Row],[vehicle_age]]&gt;=20,"Very Old")</f>
        <v>Older</v>
      </c>
    </row>
    <row r="230" spans="1:10">
      <c r="A230" s="2">
        <v>24046970</v>
      </c>
      <c r="B230" s="2">
        <v>2404697001</v>
      </c>
      <c r="C230" s="2">
        <v>1</v>
      </c>
      <c r="D230" s="2">
        <v>2015</v>
      </c>
      <c r="E230" s="2">
        <v>1</v>
      </c>
      <c r="F230" s="2">
        <v>99.59</v>
      </c>
      <c r="G230" s="2">
        <v>291.66000000000003</v>
      </c>
      <c r="H230" s="2" t="str">
        <f>VLOOKUP(qhkz_4dqm[[#This Row],[fuel_type]],lookup!A:B,2,FALSE)</f>
        <v>Gasoline</v>
      </c>
      <c r="I230" s="2">
        <f ca="1">YEAR(TODAY())-qhkz_4dqm[[#This Row],[year]]</f>
        <v>11</v>
      </c>
      <c r="J230" s="2" t="str" cm="1">
        <f t="array" aca="1" ref="J230" ca="1">_xlfn.IFS(qhkz_4dqm[[#This Row],[vehicle_age]]&lt;=3,"Newer",qhkz_4dqm[[#This Row],[vehicle_age]]&lt;=9,"Mid-age",qhkz_4dqm[[#This Row],[vehicle_age]]&lt;=19,"Older",qhkz_4dqm[[#This Row],[vehicle_age]]&gt;=20,"Very Old")</f>
        <v>Older</v>
      </c>
    </row>
    <row r="231" spans="1:10">
      <c r="A231" s="2">
        <v>24047003</v>
      </c>
      <c r="B231" s="2">
        <v>2404700301</v>
      </c>
      <c r="C231" s="2">
        <v>1</v>
      </c>
      <c r="D231" s="2">
        <v>2015</v>
      </c>
      <c r="E231" s="2">
        <v>1</v>
      </c>
      <c r="F231" s="2">
        <v>1955.75</v>
      </c>
      <c r="G231" s="2">
        <v>799.78</v>
      </c>
      <c r="H231" s="2" t="str">
        <f>VLOOKUP(qhkz_4dqm[[#This Row],[fuel_type]],lookup!A:B,2,FALSE)</f>
        <v>Gasoline</v>
      </c>
      <c r="I231" s="2">
        <f ca="1">YEAR(TODAY())-qhkz_4dqm[[#This Row],[year]]</f>
        <v>11</v>
      </c>
      <c r="J231" s="2" t="str" cm="1">
        <f t="array" aca="1" ref="J231" ca="1">_xlfn.IFS(qhkz_4dqm[[#This Row],[vehicle_age]]&lt;=3,"Newer",qhkz_4dqm[[#This Row],[vehicle_age]]&lt;=9,"Mid-age",qhkz_4dqm[[#This Row],[vehicle_age]]&lt;=19,"Older",qhkz_4dqm[[#This Row],[vehicle_age]]&gt;=20,"Very Old")</f>
        <v>Older</v>
      </c>
    </row>
    <row r="232" spans="1:10">
      <c r="A232" s="2">
        <v>24047307</v>
      </c>
      <c r="B232" s="2">
        <v>2404730701</v>
      </c>
      <c r="C232" s="2">
        <v>1</v>
      </c>
      <c r="D232" s="2">
        <v>2023</v>
      </c>
      <c r="E232" s="2">
        <v>1</v>
      </c>
      <c r="F232" s="2">
        <v>440.08</v>
      </c>
      <c r="G232" s="2">
        <v>463.45</v>
      </c>
      <c r="H232" s="2" t="str">
        <f>VLOOKUP(qhkz_4dqm[[#This Row],[fuel_type]],lookup!A:B,2,FALSE)</f>
        <v>Gasoline</v>
      </c>
      <c r="I232" s="2">
        <f ca="1">YEAR(TODAY())-qhkz_4dqm[[#This Row],[year]]</f>
        <v>3</v>
      </c>
      <c r="J232" s="2" t="str" cm="1">
        <f t="array" aca="1" ref="J232" ca="1">_xlfn.IFS(qhkz_4dqm[[#This Row],[vehicle_age]]&lt;=3,"Newer",qhkz_4dqm[[#This Row],[vehicle_age]]&lt;=9,"Mid-age",qhkz_4dqm[[#This Row],[vehicle_age]]&lt;=19,"Older",qhkz_4dqm[[#This Row],[vehicle_age]]&gt;=20,"Very Old")</f>
        <v>Newer</v>
      </c>
    </row>
    <row r="233" spans="1:10">
      <c r="A233" s="2">
        <v>24047354</v>
      </c>
      <c r="B233" s="2">
        <v>2404735401</v>
      </c>
      <c r="C233" s="2">
        <v>1</v>
      </c>
      <c r="D233" s="2">
        <v>2014</v>
      </c>
      <c r="E233" s="2">
        <v>2</v>
      </c>
      <c r="F233" s="2">
        <v>736.29</v>
      </c>
      <c r="G233" s="2">
        <v>710.86</v>
      </c>
      <c r="H233" s="2" t="str">
        <f>VLOOKUP(qhkz_4dqm[[#This Row],[fuel_type]],lookup!A:B,2,FALSE)</f>
        <v>Diesel</v>
      </c>
      <c r="I233" s="2">
        <f ca="1">YEAR(TODAY())-qhkz_4dqm[[#This Row],[year]]</f>
        <v>12</v>
      </c>
      <c r="J233" s="2" t="str" cm="1">
        <f t="array" aca="1" ref="J233" ca="1">_xlfn.IFS(qhkz_4dqm[[#This Row],[vehicle_age]]&lt;=3,"Newer",qhkz_4dqm[[#This Row],[vehicle_age]]&lt;=9,"Mid-age",qhkz_4dqm[[#This Row],[vehicle_age]]&lt;=19,"Older",qhkz_4dqm[[#This Row],[vehicle_age]]&gt;=20,"Very Old")</f>
        <v>Older</v>
      </c>
    </row>
    <row r="234" spans="1:10">
      <c r="A234" s="2">
        <v>24047491</v>
      </c>
      <c r="B234" s="2">
        <v>2404749101</v>
      </c>
      <c r="C234" s="2">
        <v>1</v>
      </c>
      <c r="D234" s="2">
        <v>2022</v>
      </c>
      <c r="E234" s="2">
        <v>1</v>
      </c>
      <c r="F234" s="2">
        <v>570.85</v>
      </c>
      <c r="G234" s="2">
        <v>598.15</v>
      </c>
      <c r="H234" s="2" t="str">
        <f>VLOOKUP(qhkz_4dqm[[#This Row],[fuel_type]],lookup!A:B,2,FALSE)</f>
        <v>Gasoline</v>
      </c>
      <c r="I234" s="2">
        <f ca="1">YEAR(TODAY())-qhkz_4dqm[[#This Row],[year]]</f>
        <v>4</v>
      </c>
      <c r="J234" s="2" t="str" cm="1">
        <f t="array" aca="1" ref="J234" ca="1">_xlfn.IFS(qhkz_4dqm[[#This Row],[vehicle_age]]&lt;=3,"Newer",qhkz_4dqm[[#This Row],[vehicle_age]]&lt;=9,"Mid-age",qhkz_4dqm[[#This Row],[vehicle_age]]&lt;=19,"Older",qhkz_4dqm[[#This Row],[vehicle_age]]&gt;=20,"Very Old")</f>
        <v>Mid-age</v>
      </c>
    </row>
    <row r="235" spans="1:10">
      <c r="A235" s="2">
        <v>24047784</v>
      </c>
      <c r="B235" s="2">
        <v>2404778401</v>
      </c>
      <c r="C235" s="2">
        <v>1</v>
      </c>
      <c r="D235" s="2">
        <v>2020</v>
      </c>
      <c r="E235" s="2">
        <v>1</v>
      </c>
      <c r="F235" s="2">
        <v>145.87</v>
      </c>
      <c r="G235" s="2">
        <v>151.79</v>
      </c>
      <c r="H235" s="2" t="str">
        <f>VLOOKUP(qhkz_4dqm[[#This Row],[fuel_type]],lookup!A:B,2,FALSE)</f>
        <v>Gasoline</v>
      </c>
      <c r="I235" s="2">
        <f ca="1">YEAR(TODAY())-qhkz_4dqm[[#This Row],[year]]</f>
        <v>6</v>
      </c>
      <c r="J235" s="2" t="str" cm="1">
        <f t="array" aca="1" ref="J235" ca="1">_xlfn.IFS(qhkz_4dqm[[#This Row],[vehicle_age]]&lt;=3,"Newer",qhkz_4dqm[[#This Row],[vehicle_age]]&lt;=9,"Mid-age",qhkz_4dqm[[#This Row],[vehicle_age]]&lt;=19,"Older",qhkz_4dqm[[#This Row],[vehicle_age]]&gt;=20,"Very Old")</f>
        <v>Mid-age</v>
      </c>
    </row>
    <row r="236" spans="1:10">
      <c r="A236" s="2">
        <v>24047809</v>
      </c>
      <c r="B236" s="2">
        <v>2404780901</v>
      </c>
      <c r="C236" s="2">
        <v>1</v>
      </c>
      <c r="D236" s="2">
        <v>2020</v>
      </c>
      <c r="E236" s="2">
        <v>1</v>
      </c>
      <c r="F236" s="2">
        <v>697.94</v>
      </c>
      <c r="G236" s="2">
        <v>866.79</v>
      </c>
      <c r="H236" s="2" t="str">
        <f>VLOOKUP(qhkz_4dqm[[#This Row],[fuel_type]],lookup!A:B,2,FALSE)</f>
        <v>Gasoline</v>
      </c>
      <c r="I236" s="2">
        <f ca="1">YEAR(TODAY())-qhkz_4dqm[[#This Row],[year]]</f>
        <v>6</v>
      </c>
      <c r="J236" s="2" t="str" cm="1">
        <f t="array" aca="1" ref="J236" ca="1">_xlfn.IFS(qhkz_4dqm[[#This Row],[vehicle_age]]&lt;=3,"Newer",qhkz_4dqm[[#This Row],[vehicle_age]]&lt;=9,"Mid-age",qhkz_4dqm[[#This Row],[vehicle_age]]&lt;=19,"Older",qhkz_4dqm[[#This Row],[vehicle_age]]&gt;=20,"Very Old")</f>
        <v>Mid-age</v>
      </c>
    </row>
    <row r="237" spans="1:10">
      <c r="A237" s="2">
        <v>24047815</v>
      </c>
      <c r="B237" s="2">
        <v>2404781501</v>
      </c>
      <c r="C237" s="2">
        <v>1</v>
      </c>
      <c r="D237" s="2">
        <v>2024</v>
      </c>
      <c r="E237" s="2">
        <v>1</v>
      </c>
      <c r="F237" s="2">
        <v>258.72000000000003</v>
      </c>
      <c r="G237" s="2">
        <v>709.63</v>
      </c>
      <c r="H237" s="2" t="str">
        <f>VLOOKUP(qhkz_4dqm[[#This Row],[fuel_type]],lookup!A:B,2,FALSE)</f>
        <v>Gasoline</v>
      </c>
      <c r="I237" s="2">
        <f ca="1">YEAR(TODAY())-qhkz_4dqm[[#This Row],[year]]</f>
        <v>2</v>
      </c>
      <c r="J237" s="2" t="str" cm="1">
        <f t="array" aca="1" ref="J237" ca="1">_xlfn.IFS(qhkz_4dqm[[#This Row],[vehicle_age]]&lt;=3,"Newer",qhkz_4dqm[[#This Row],[vehicle_age]]&lt;=9,"Mid-age",qhkz_4dqm[[#This Row],[vehicle_age]]&lt;=19,"Older",qhkz_4dqm[[#This Row],[vehicle_age]]&gt;=20,"Very Old")</f>
        <v>Newer</v>
      </c>
    </row>
    <row r="238" spans="1:10">
      <c r="A238" s="2">
        <v>24048056</v>
      </c>
      <c r="B238" s="2">
        <v>2404805601</v>
      </c>
      <c r="C238" s="2">
        <v>1</v>
      </c>
      <c r="D238" s="2">
        <v>2023</v>
      </c>
      <c r="E238" s="2">
        <v>1</v>
      </c>
      <c r="F238" s="2">
        <v>154.80000000000001</v>
      </c>
      <c r="G238" s="2">
        <v>779.64</v>
      </c>
      <c r="H238" s="2" t="str">
        <f>VLOOKUP(qhkz_4dqm[[#This Row],[fuel_type]],lookup!A:B,2,FALSE)</f>
        <v>Gasoline</v>
      </c>
      <c r="I238" s="2">
        <f ca="1">YEAR(TODAY())-qhkz_4dqm[[#This Row],[year]]</f>
        <v>3</v>
      </c>
      <c r="J238" s="2" t="str" cm="1">
        <f t="array" aca="1" ref="J238" ca="1">_xlfn.IFS(qhkz_4dqm[[#This Row],[vehicle_age]]&lt;=3,"Newer",qhkz_4dqm[[#This Row],[vehicle_age]]&lt;=9,"Mid-age",qhkz_4dqm[[#This Row],[vehicle_age]]&lt;=19,"Older",qhkz_4dqm[[#This Row],[vehicle_age]]&gt;=20,"Very Old")</f>
        <v>Newer</v>
      </c>
    </row>
    <row r="239" spans="1:10">
      <c r="A239" s="2">
        <v>24048214</v>
      </c>
      <c r="B239" s="2">
        <v>2404821401</v>
      </c>
      <c r="C239" s="2">
        <v>1</v>
      </c>
      <c r="D239" s="2">
        <v>2015</v>
      </c>
      <c r="E239" s="2">
        <v>1</v>
      </c>
      <c r="F239" s="2">
        <v>570.85</v>
      </c>
      <c r="G239" s="2">
        <v>598.15</v>
      </c>
      <c r="H239" s="2" t="str">
        <f>VLOOKUP(qhkz_4dqm[[#This Row],[fuel_type]],lookup!A:B,2,FALSE)</f>
        <v>Gasoline</v>
      </c>
      <c r="I239" s="2">
        <f ca="1">YEAR(TODAY())-qhkz_4dqm[[#This Row],[year]]</f>
        <v>11</v>
      </c>
      <c r="J239" s="2" t="str" cm="1">
        <f t="array" aca="1" ref="J239" ca="1">_xlfn.IFS(qhkz_4dqm[[#This Row],[vehicle_age]]&lt;=3,"Newer",qhkz_4dqm[[#This Row],[vehicle_age]]&lt;=9,"Mid-age",qhkz_4dqm[[#This Row],[vehicle_age]]&lt;=19,"Older",qhkz_4dqm[[#This Row],[vehicle_age]]&gt;=20,"Very Old")</f>
        <v>Older</v>
      </c>
    </row>
    <row r="240" spans="1:10">
      <c r="A240" s="2">
        <v>24048270</v>
      </c>
      <c r="B240" s="2">
        <v>2404827001</v>
      </c>
      <c r="C240" s="2">
        <v>1</v>
      </c>
      <c r="D240" s="2">
        <v>2023</v>
      </c>
      <c r="E240" s="2">
        <v>3</v>
      </c>
      <c r="F240" s="2">
        <v>576.78</v>
      </c>
      <c r="G240" s="2">
        <v>829.76</v>
      </c>
      <c r="H240" s="2" t="str">
        <f>VLOOKUP(qhkz_4dqm[[#This Row],[fuel_type]],lookup!A:B,2,FALSE)</f>
        <v>Hybrid</v>
      </c>
      <c r="I240" s="2">
        <f ca="1">YEAR(TODAY())-qhkz_4dqm[[#This Row],[year]]</f>
        <v>3</v>
      </c>
      <c r="J240" s="2" t="str" cm="1">
        <f t="array" aca="1" ref="J240" ca="1">_xlfn.IFS(qhkz_4dqm[[#This Row],[vehicle_age]]&lt;=3,"Newer",qhkz_4dqm[[#This Row],[vehicle_age]]&lt;=9,"Mid-age",qhkz_4dqm[[#This Row],[vehicle_age]]&lt;=19,"Older",qhkz_4dqm[[#This Row],[vehicle_age]]&gt;=20,"Very Old")</f>
        <v>Newer</v>
      </c>
    </row>
    <row r="241" spans="1:10">
      <c r="A241" s="2">
        <v>24048284</v>
      </c>
      <c r="B241" s="2">
        <v>2404828401</v>
      </c>
      <c r="C241" s="2">
        <v>1</v>
      </c>
      <c r="D241" s="2">
        <v>2024</v>
      </c>
      <c r="E241" s="2">
        <v>1</v>
      </c>
      <c r="F241" s="2">
        <v>1181.8</v>
      </c>
      <c r="G241" s="2">
        <v>1722.2</v>
      </c>
      <c r="H241" s="2" t="str">
        <f>VLOOKUP(qhkz_4dqm[[#This Row],[fuel_type]],lookup!A:B,2,FALSE)</f>
        <v>Gasoline</v>
      </c>
      <c r="I241" s="2">
        <f ca="1">YEAR(TODAY())-qhkz_4dqm[[#This Row],[year]]</f>
        <v>2</v>
      </c>
      <c r="J241" s="2" t="str" cm="1">
        <f t="array" aca="1" ref="J241" ca="1">_xlfn.IFS(qhkz_4dqm[[#This Row],[vehicle_age]]&lt;=3,"Newer",qhkz_4dqm[[#This Row],[vehicle_age]]&lt;=9,"Mid-age",qhkz_4dqm[[#This Row],[vehicle_age]]&lt;=19,"Older",qhkz_4dqm[[#This Row],[vehicle_age]]&gt;=20,"Very Old")</f>
        <v>Newer</v>
      </c>
    </row>
    <row r="242" spans="1:10">
      <c r="A242" s="2">
        <v>24048331</v>
      </c>
      <c r="B242" s="2">
        <v>2404833101</v>
      </c>
      <c r="C242" s="2">
        <v>1</v>
      </c>
      <c r="D242" s="2">
        <v>2012</v>
      </c>
      <c r="E242" s="2">
        <v>1</v>
      </c>
      <c r="F242" s="2">
        <v>240.38</v>
      </c>
      <c r="G242" s="2">
        <v>807.23</v>
      </c>
      <c r="H242" s="2" t="str">
        <f>VLOOKUP(qhkz_4dqm[[#This Row],[fuel_type]],lookup!A:B,2,FALSE)</f>
        <v>Gasoline</v>
      </c>
      <c r="I242" s="2">
        <f ca="1">YEAR(TODAY())-qhkz_4dqm[[#This Row],[year]]</f>
        <v>14</v>
      </c>
      <c r="J242" s="2" t="str" cm="1">
        <f t="array" aca="1" ref="J242" ca="1">_xlfn.IFS(qhkz_4dqm[[#This Row],[vehicle_age]]&lt;=3,"Newer",qhkz_4dqm[[#This Row],[vehicle_age]]&lt;=9,"Mid-age",qhkz_4dqm[[#This Row],[vehicle_age]]&lt;=19,"Older",qhkz_4dqm[[#This Row],[vehicle_age]]&gt;=20,"Very Old")</f>
        <v>Older</v>
      </c>
    </row>
    <row r="243" spans="1:10">
      <c r="A243" s="2">
        <v>24048600</v>
      </c>
      <c r="B243" s="2">
        <v>2404860001</v>
      </c>
      <c r="C243" s="2">
        <v>1</v>
      </c>
      <c r="D243" s="2">
        <v>2023</v>
      </c>
      <c r="E243" s="2">
        <v>2</v>
      </c>
      <c r="F243" s="2">
        <v>586.76</v>
      </c>
      <c r="G243" s="2">
        <v>841.19</v>
      </c>
      <c r="H243" s="2" t="str">
        <f>VLOOKUP(qhkz_4dqm[[#This Row],[fuel_type]],lookup!A:B,2,FALSE)</f>
        <v>Diesel</v>
      </c>
      <c r="I243" s="2">
        <f ca="1">YEAR(TODAY())-qhkz_4dqm[[#This Row],[year]]</f>
        <v>3</v>
      </c>
      <c r="J243" s="2" t="str" cm="1">
        <f t="array" aca="1" ref="J243" ca="1">_xlfn.IFS(qhkz_4dqm[[#This Row],[vehicle_age]]&lt;=3,"Newer",qhkz_4dqm[[#This Row],[vehicle_age]]&lt;=9,"Mid-age",qhkz_4dqm[[#This Row],[vehicle_age]]&lt;=19,"Older",qhkz_4dqm[[#This Row],[vehicle_age]]&gt;=20,"Very Old")</f>
        <v>Newer</v>
      </c>
    </row>
    <row r="244" spans="1:10">
      <c r="A244" s="2">
        <v>24048650</v>
      </c>
      <c r="B244" s="2">
        <v>2404865001</v>
      </c>
      <c r="C244" s="2">
        <v>1</v>
      </c>
      <c r="D244" s="2">
        <v>2005</v>
      </c>
      <c r="E244" s="2">
        <v>1</v>
      </c>
      <c r="F244" s="2">
        <v>440.08</v>
      </c>
      <c r="G244" s="2">
        <v>463.45</v>
      </c>
      <c r="H244" s="2" t="str">
        <f>VLOOKUP(qhkz_4dqm[[#This Row],[fuel_type]],lookup!A:B,2,FALSE)</f>
        <v>Gasoline</v>
      </c>
      <c r="I244" s="2">
        <f ca="1">YEAR(TODAY())-qhkz_4dqm[[#This Row],[year]]</f>
        <v>21</v>
      </c>
      <c r="J244" s="2" t="str" cm="1">
        <f t="array" aca="1" ref="J244" ca="1">_xlfn.IFS(qhkz_4dqm[[#This Row],[vehicle_age]]&lt;=3,"Newer",qhkz_4dqm[[#This Row],[vehicle_age]]&lt;=9,"Mid-age",qhkz_4dqm[[#This Row],[vehicle_age]]&lt;=19,"Older",qhkz_4dqm[[#This Row],[vehicle_age]]&gt;=20,"Very Old")</f>
        <v>Very Old</v>
      </c>
    </row>
    <row r="245" spans="1:10">
      <c r="A245" s="2">
        <v>24048670</v>
      </c>
      <c r="B245" s="2">
        <v>2404867001</v>
      </c>
      <c r="C245" s="2">
        <v>1</v>
      </c>
      <c r="D245" s="2">
        <v>2020</v>
      </c>
      <c r="E245" s="2">
        <v>4</v>
      </c>
      <c r="F245" s="2">
        <v>335.3</v>
      </c>
      <c r="G245" s="2">
        <v>470.92</v>
      </c>
      <c r="H245" s="2" t="str">
        <f>VLOOKUP(qhkz_4dqm[[#This Row],[fuel_type]],lookup!A:B,2,FALSE)</f>
        <v>Electric</v>
      </c>
      <c r="I245" s="2">
        <f ca="1">YEAR(TODAY())-qhkz_4dqm[[#This Row],[year]]</f>
        <v>6</v>
      </c>
      <c r="J245" s="2" t="str" cm="1">
        <f t="array" aca="1" ref="J245" ca="1">_xlfn.IFS(qhkz_4dqm[[#This Row],[vehicle_age]]&lt;=3,"Newer",qhkz_4dqm[[#This Row],[vehicle_age]]&lt;=9,"Mid-age",qhkz_4dqm[[#This Row],[vehicle_age]]&lt;=19,"Older",qhkz_4dqm[[#This Row],[vehicle_age]]&gt;=20,"Very Old")</f>
        <v>Mid-age</v>
      </c>
    </row>
    <row r="246" spans="1:10">
      <c r="A246" s="2">
        <v>24048890</v>
      </c>
      <c r="B246" s="2">
        <v>2404889001</v>
      </c>
      <c r="C246" s="2">
        <v>1</v>
      </c>
      <c r="D246" s="2">
        <v>2015</v>
      </c>
      <c r="E246" s="2">
        <v>1</v>
      </c>
      <c r="F246" s="2">
        <v>756.81</v>
      </c>
      <c r="G246" s="2">
        <v>999.7</v>
      </c>
      <c r="H246" s="2" t="str">
        <f>VLOOKUP(qhkz_4dqm[[#This Row],[fuel_type]],lookup!A:B,2,FALSE)</f>
        <v>Gasoline</v>
      </c>
      <c r="I246" s="2">
        <f ca="1">YEAR(TODAY())-qhkz_4dqm[[#This Row],[year]]</f>
        <v>11</v>
      </c>
      <c r="J246" s="2" t="str" cm="1">
        <f t="array" aca="1" ref="J246" ca="1">_xlfn.IFS(qhkz_4dqm[[#This Row],[vehicle_age]]&lt;=3,"Newer",qhkz_4dqm[[#This Row],[vehicle_age]]&lt;=9,"Mid-age",qhkz_4dqm[[#This Row],[vehicle_age]]&lt;=19,"Older",qhkz_4dqm[[#This Row],[vehicle_age]]&gt;=20,"Very Old")</f>
        <v>Older</v>
      </c>
    </row>
    <row r="247" spans="1:10">
      <c r="A247" s="2">
        <v>24048940</v>
      </c>
      <c r="B247" s="2">
        <v>2404894001</v>
      </c>
      <c r="C247" s="2">
        <v>1</v>
      </c>
      <c r="D247" s="2">
        <v>2020</v>
      </c>
      <c r="E247" s="2">
        <v>2</v>
      </c>
      <c r="F247" s="2">
        <v>258.72000000000003</v>
      </c>
      <c r="G247" s="2">
        <v>709.63</v>
      </c>
      <c r="H247" s="2" t="str">
        <f>VLOOKUP(qhkz_4dqm[[#This Row],[fuel_type]],lookup!A:B,2,FALSE)</f>
        <v>Diesel</v>
      </c>
      <c r="I247" s="2">
        <f ca="1">YEAR(TODAY())-qhkz_4dqm[[#This Row],[year]]</f>
        <v>6</v>
      </c>
      <c r="J247" s="2" t="str" cm="1">
        <f t="array" aca="1" ref="J247" ca="1">_xlfn.IFS(qhkz_4dqm[[#This Row],[vehicle_age]]&lt;=3,"Newer",qhkz_4dqm[[#This Row],[vehicle_age]]&lt;=9,"Mid-age",qhkz_4dqm[[#This Row],[vehicle_age]]&lt;=19,"Older",qhkz_4dqm[[#This Row],[vehicle_age]]&gt;=20,"Very Old")</f>
        <v>Mid-age</v>
      </c>
    </row>
    <row r="248" spans="1:10">
      <c r="A248" s="2">
        <v>24049041</v>
      </c>
      <c r="B248" s="2">
        <v>2404904101</v>
      </c>
      <c r="C248" s="2">
        <v>1</v>
      </c>
      <c r="D248" s="2">
        <v>2017</v>
      </c>
      <c r="E248" s="2">
        <v>4</v>
      </c>
      <c r="F248" s="2">
        <v>200.58</v>
      </c>
      <c r="G248" s="2">
        <v>597.12</v>
      </c>
      <c r="H248" s="2" t="str">
        <f>VLOOKUP(qhkz_4dqm[[#This Row],[fuel_type]],lookup!A:B,2,FALSE)</f>
        <v>Electric</v>
      </c>
      <c r="I248" s="2">
        <f ca="1">YEAR(TODAY())-qhkz_4dqm[[#This Row],[year]]</f>
        <v>9</v>
      </c>
      <c r="J248" s="2" t="str" cm="1">
        <f t="array" aca="1" ref="J248" ca="1">_xlfn.IFS(qhkz_4dqm[[#This Row],[vehicle_age]]&lt;=3,"Newer",qhkz_4dqm[[#This Row],[vehicle_age]]&lt;=9,"Mid-age",qhkz_4dqm[[#This Row],[vehicle_age]]&lt;=19,"Older",qhkz_4dqm[[#This Row],[vehicle_age]]&gt;=20,"Very Old")</f>
        <v>Mid-age</v>
      </c>
    </row>
    <row r="249" spans="1:10">
      <c r="A249" s="2">
        <v>24049235</v>
      </c>
      <c r="B249" s="2">
        <v>2404923501</v>
      </c>
      <c r="C249" s="2">
        <v>1</v>
      </c>
      <c r="D249" s="2">
        <v>2005</v>
      </c>
      <c r="E249" s="2">
        <v>1</v>
      </c>
      <c r="F249" s="2">
        <v>282.85000000000002</v>
      </c>
      <c r="G249" s="2">
        <v>390.43</v>
      </c>
      <c r="H249" s="2" t="str">
        <f>VLOOKUP(qhkz_4dqm[[#This Row],[fuel_type]],lookup!A:B,2,FALSE)</f>
        <v>Gasoline</v>
      </c>
      <c r="I249" s="2">
        <f ca="1">YEAR(TODAY())-qhkz_4dqm[[#This Row],[year]]</f>
        <v>21</v>
      </c>
      <c r="J249" s="2" t="str" cm="1">
        <f t="array" aca="1" ref="J249" ca="1">_xlfn.IFS(qhkz_4dqm[[#This Row],[vehicle_age]]&lt;=3,"Newer",qhkz_4dqm[[#This Row],[vehicle_age]]&lt;=9,"Mid-age",qhkz_4dqm[[#This Row],[vehicle_age]]&lt;=19,"Older",qhkz_4dqm[[#This Row],[vehicle_age]]&gt;=20,"Very Old")</f>
        <v>Very Old</v>
      </c>
    </row>
    <row r="250" spans="1:10">
      <c r="A250" s="2">
        <v>24049265</v>
      </c>
      <c r="B250" s="2">
        <v>2404926501</v>
      </c>
      <c r="C250" s="2">
        <v>1</v>
      </c>
      <c r="D250" s="2">
        <v>2014</v>
      </c>
      <c r="E250" s="2">
        <v>1</v>
      </c>
      <c r="F250" s="2">
        <v>6736.44</v>
      </c>
      <c r="G250" s="2">
        <v>1875.51</v>
      </c>
      <c r="H250" s="2" t="str">
        <f>VLOOKUP(qhkz_4dqm[[#This Row],[fuel_type]],lookup!A:B,2,FALSE)</f>
        <v>Gasoline</v>
      </c>
      <c r="I250" s="2">
        <f ca="1">YEAR(TODAY())-qhkz_4dqm[[#This Row],[year]]</f>
        <v>12</v>
      </c>
      <c r="J250" s="2" t="str" cm="1">
        <f t="array" aca="1" ref="J250" ca="1">_xlfn.IFS(qhkz_4dqm[[#This Row],[vehicle_age]]&lt;=3,"Newer",qhkz_4dqm[[#This Row],[vehicle_age]]&lt;=9,"Mid-age",qhkz_4dqm[[#This Row],[vehicle_age]]&lt;=19,"Older",qhkz_4dqm[[#This Row],[vehicle_age]]&gt;=20,"Very Old")</f>
        <v>Older</v>
      </c>
    </row>
    <row r="251" spans="1:10">
      <c r="A251" s="2">
        <v>24049428</v>
      </c>
      <c r="B251" s="2">
        <v>2404942801</v>
      </c>
      <c r="C251" s="2">
        <v>1</v>
      </c>
      <c r="D251" s="2">
        <v>2020</v>
      </c>
      <c r="E251" s="2">
        <v>1</v>
      </c>
      <c r="F251" s="2">
        <v>222.02</v>
      </c>
      <c r="G251" s="2">
        <v>341.03</v>
      </c>
      <c r="H251" s="2" t="str">
        <f>VLOOKUP(qhkz_4dqm[[#This Row],[fuel_type]],lookup!A:B,2,FALSE)</f>
        <v>Gasoline</v>
      </c>
      <c r="I251" s="2">
        <f ca="1">YEAR(TODAY())-qhkz_4dqm[[#This Row],[year]]</f>
        <v>6</v>
      </c>
      <c r="J251" s="2" t="str" cm="1">
        <f t="array" aca="1" ref="J251" ca="1">_xlfn.IFS(qhkz_4dqm[[#This Row],[vehicle_age]]&lt;=3,"Newer",qhkz_4dqm[[#This Row],[vehicle_age]]&lt;=9,"Mid-age",qhkz_4dqm[[#This Row],[vehicle_age]]&lt;=19,"Older",qhkz_4dqm[[#This Row],[vehicle_age]]&gt;=20,"Very Old")</f>
        <v>Mid-age</v>
      </c>
    </row>
    <row r="252" spans="1:10">
      <c r="A252" s="2">
        <v>24049681</v>
      </c>
      <c r="B252" s="2">
        <v>2404968101</v>
      </c>
      <c r="C252" s="2">
        <v>1</v>
      </c>
      <c r="D252" s="2">
        <v>2020</v>
      </c>
      <c r="E252" s="2">
        <v>1</v>
      </c>
      <c r="F252" s="2">
        <v>1778.88</v>
      </c>
      <c r="G252" s="2">
        <v>1381.67</v>
      </c>
      <c r="H252" s="2" t="str">
        <f>VLOOKUP(qhkz_4dqm[[#This Row],[fuel_type]],lookup!A:B,2,FALSE)</f>
        <v>Gasoline</v>
      </c>
      <c r="I252" s="2">
        <f ca="1">YEAR(TODAY())-qhkz_4dqm[[#This Row],[year]]</f>
        <v>6</v>
      </c>
      <c r="J252" s="2" t="str" cm="1">
        <f t="array" aca="1" ref="J252" ca="1">_xlfn.IFS(qhkz_4dqm[[#This Row],[vehicle_age]]&lt;=3,"Newer",qhkz_4dqm[[#This Row],[vehicle_age]]&lt;=9,"Mid-age",qhkz_4dqm[[#This Row],[vehicle_age]]&lt;=19,"Older",qhkz_4dqm[[#This Row],[vehicle_age]]&gt;=20,"Very Old")</f>
        <v>Mid-age</v>
      </c>
    </row>
    <row r="253" spans="1:10">
      <c r="A253" s="2">
        <v>24049894</v>
      </c>
      <c r="B253" s="2">
        <v>2404989401</v>
      </c>
      <c r="C253" s="2">
        <v>1</v>
      </c>
      <c r="D253" s="2">
        <v>2000</v>
      </c>
      <c r="E253" s="2">
        <v>1</v>
      </c>
      <c r="F253" s="2">
        <v>3593.36</v>
      </c>
      <c r="G253" s="2">
        <v>3154.37</v>
      </c>
      <c r="H253" s="2" t="str">
        <f>VLOOKUP(qhkz_4dqm[[#This Row],[fuel_type]],lookup!A:B,2,FALSE)</f>
        <v>Gasoline</v>
      </c>
      <c r="I253" s="2">
        <f ca="1">YEAR(TODAY())-qhkz_4dqm[[#This Row],[year]]</f>
        <v>26</v>
      </c>
      <c r="J253" s="2" t="str" cm="1">
        <f t="array" aca="1" ref="J253" ca="1">_xlfn.IFS(qhkz_4dqm[[#This Row],[vehicle_age]]&lt;=3,"Newer",qhkz_4dqm[[#This Row],[vehicle_age]]&lt;=9,"Mid-age",qhkz_4dqm[[#This Row],[vehicle_age]]&lt;=19,"Older",qhkz_4dqm[[#This Row],[vehicle_age]]&gt;=20,"Very Old")</f>
        <v>Very Old</v>
      </c>
    </row>
    <row r="254" spans="1:10">
      <c r="A254" s="2">
        <v>24050027</v>
      </c>
      <c r="B254" s="2">
        <v>2405002701</v>
      </c>
      <c r="C254" s="2">
        <v>1</v>
      </c>
      <c r="D254" s="2">
        <v>2024</v>
      </c>
      <c r="E254" s="2">
        <v>1</v>
      </c>
      <c r="F254" s="2">
        <v>1778.88</v>
      </c>
      <c r="G254" s="2">
        <v>1381.67</v>
      </c>
      <c r="H254" s="2" t="str">
        <f>VLOOKUP(qhkz_4dqm[[#This Row],[fuel_type]],lookup!A:B,2,FALSE)</f>
        <v>Gasoline</v>
      </c>
      <c r="I254" s="2">
        <f ca="1">YEAR(TODAY())-qhkz_4dqm[[#This Row],[year]]</f>
        <v>2</v>
      </c>
      <c r="J254" s="2" t="str" cm="1">
        <f t="array" aca="1" ref="J254" ca="1">_xlfn.IFS(qhkz_4dqm[[#This Row],[vehicle_age]]&lt;=3,"Newer",qhkz_4dqm[[#This Row],[vehicle_age]]&lt;=9,"Mid-age",qhkz_4dqm[[#This Row],[vehicle_age]]&lt;=19,"Older",qhkz_4dqm[[#This Row],[vehicle_age]]&gt;=20,"Very Old")</f>
        <v>Newer</v>
      </c>
    </row>
    <row r="255" spans="1:10">
      <c r="A255" s="2">
        <v>24050028</v>
      </c>
      <c r="B255" s="2">
        <v>2405002801</v>
      </c>
      <c r="C255" s="2">
        <v>1</v>
      </c>
      <c r="D255" s="2">
        <v>2022</v>
      </c>
      <c r="E255" s="2">
        <v>1</v>
      </c>
      <c r="F255" s="2">
        <v>7199.86</v>
      </c>
      <c r="G255" s="2">
        <v>4960.79</v>
      </c>
      <c r="H255" s="2" t="str">
        <f>VLOOKUP(qhkz_4dqm[[#This Row],[fuel_type]],lookup!A:B,2,FALSE)</f>
        <v>Gasoline</v>
      </c>
      <c r="I255" s="2">
        <f ca="1">YEAR(TODAY())-qhkz_4dqm[[#This Row],[year]]</f>
        <v>4</v>
      </c>
      <c r="J255" s="2" t="str" cm="1">
        <f t="array" aca="1" ref="J255" ca="1">_xlfn.IFS(qhkz_4dqm[[#This Row],[vehicle_age]]&lt;=3,"Newer",qhkz_4dqm[[#This Row],[vehicle_age]]&lt;=9,"Mid-age",qhkz_4dqm[[#This Row],[vehicle_age]]&lt;=19,"Older",qhkz_4dqm[[#This Row],[vehicle_age]]&gt;=20,"Very Old")</f>
        <v>Mid-age</v>
      </c>
    </row>
    <row r="256" spans="1:10">
      <c r="A256" s="2">
        <v>24050125</v>
      </c>
      <c r="B256" s="2">
        <v>2405012501</v>
      </c>
      <c r="C256" s="2">
        <v>1</v>
      </c>
      <c r="D256" s="2">
        <v>2020</v>
      </c>
      <c r="E256" s="2">
        <v>1</v>
      </c>
      <c r="F256" s="2">
        <v>6706.34</v>
      </c>
      <c r="G256" s="2">
        <v>4538.1099999999997</v>
      </c>
      <c r="H256" s="2" t="str">
        <f>VLOOKUP(qhkz_4dqm[[#This Row],[fuel_type]],lookup!A:B,2,FALSE)</f>
        <v>Gasoline</v>
      </c>
      <c r="I256" s="2">
        <f ca="1">YEAR(TODAY())-qhkz_4dqm[[#This Row],[year]]</f>
        <v>6</v>
      </c>
      <c r="J256" s="2" t="str" cm="1">
        <f t="array" aca="1" ref="J256" ca="1">_xlfn.IFS(qhkz_4dqm[[#This Row],[vehicle_age]]&lt;=3,"Newer",qhkz_4dqm[[#This Row],[vehicle_age]]&lt;=9,"Mid-age",qhkz_4dqm[[#This Row],[vehicle_age]]&lt;=19,"Older",qhkz_4dqm[[#This Row],[vehicle_age]]&gt;=20,"Very Old")</f>
        <v>Mid-age</v>
      </c>
    </row>
    <row r="257" spans="1:10">
      <c r="A257" s="2">
        <v>24050221</v>
      </c>
      <c r="B257" s="2">
        <v>2405022101</v>
      </c>
      <c r="C257" s="2">
        <v>1</v>
      </c>
      <c r="D257" s="2">
        <v>2017</v>
      </c>
      <c r="E257" s="2">
        <v>1</v>
      </c>
      <c r="F257" s="2">
        <v>1252.44</v>
      </c>
      <c r="G257" s="2">
        <v>464.25</v>
      </c>
      <c r="H257" s="2" t="str">
        <f>VLOOKUP(qhkz_4dqm[[#This Row],[fuel_type]],lookup!A:B,2,FALSE)</f>
        <v>Gasoline</v>
      </c>
      <c r="I257" s="2">
        <f ca="1">YEAR(TODAY())-qhkz_4dqm[[#This Row],[year]]</f>
        <v>9</v>
      </c>
      <c r="J257" s="2" t="str" cm="1">
        <f t="array" aca="1" ref="J257" ca="1">_xlfn.IFS(qhkz_4dqm[[#This Row],[vehicle_age]]&lt;=3,"Newer",qhkz_4dqm[[#This Row],[vehicle_age]]&lt;=9,"Mid-age",qhkz_4dqm[[#This Row],[vehicle_age]]&lt;=19,"Older",qhkz_4dqm[[#This Row],[vehicle_age]]&gt;=20,"Very Old")</f>
        <v>Mid-age</v>
      </c>
    </row>
    <row r="258" spans="1:10">
      <c r="A258" s="2">
        <v>24050234</v>
      </c>
      <c r="B258" s="2">
        <v>2405023401</v>
      </c>
      <c r="C258" s="2">
        <v>1</v>
      </c>
      <c r="D258" s="2">
        <v>2008</v>
      </c>
      <c r="E258" s="2">
        <v>1</v>
      </c>
      <c r="F258" s="2">
        <v>4187.1899999999996</v>
      </c>
      <c r="G258" s="2">
        <v>1942.42</v>
      </c>
      <c r="H258" s="2" t="str">
        <f>VLOOKUP(qhkz_4dqm[[#This Row],[fuel_type]],lookup!A:B,2,FALSE)</f>
        <v>Gasoline</v>
      </c>
      <c r="I258" s="2">
        <f ca="1">YEAR(TODAY())-qhkz_4dqm[[#This Row],[year]]</f>
        <v>18</v>
      </c>
      <c r="J258" s="2" t="str" cm="1">
        <f t="array" aca="1" ref="J258" ca="1">_xlfn.IFS(qhkz_4dqm[[#This Row],[vehicle_age]]&lt;=3,"Newer",qhkz_4dqm[[#This Row],[vehicle_age]]&lt;=9,"Mid-age",qhkz_4dqm[[#This Row],[vehicle_age]]&lt;=19,"Older",qhkz_4dqm[[#This Row],[vehicle_age]]&gt;=20,"Very Old")</f>
        <v>Older</v>
      </c>
    </row>
    <row r="259" spans="1:10">
      <c r="A259" s="2">
        <v>24050264</v>
      </c>
      <c r="B259" s="2">
        <v>2405026401</v>
      </c>
      <c r="C259" s="2">
        <v>1</v>
      </c>
      <c r="D259" s="2">
        <v>2024</v>
      </c>
      <c r="E259" s="2">
        <v>1</v>
      </c>
      <c r="F259" s="2">
        <v>1605.74</v>
      </c>
      <c r="G259" s="2">
        <v>768.92</v>
      </c>
      <c r="H259" s="2" t="str">
        <f>VLOOKUP(qhkz_4dqm[[#This Row],[fuel_type]],lookup!A:B,2,FALSE)</f>
        <v>Gasoline</v>
      </c>
      <c r="I259" s="2">
        <f ca="1">YEAR(TODAY())-qhkz_4dqm[[#This Row],[year]]</f>
        <v>2</v>
      </c>
      <c r="J259" s="2" t="str" cm="1">
        <f t="array" aca="1" ref="J259" ca="1">_xlfn.IFS(qhkz_4dqm[[#This Row],[vehicle_age]]&lt;=3,"Newer",qhkz_4dqm[[#This Row],[vehicle_age]]&lt;=9,"Mid-age",qhkz_4dqm[[#This Row],[vehicle_age]]&lt;=19,"Older",qhkz_4dqm[[#This Row],[vehicle_age]]&gt;=20,"Very Old")</f>
        <v>Newer</v>
      </c>
    </row>
    <row r="260" spans="1:10">
      <c r="A260" s="2">
        <v>24050389</v>
      </c>
      <c r="B260" s="2">
        <v>2405038901</v>
      </c>
      <c r="C260" s="2">
        <v>1</v>
      </c>
      <c r="D260" s="2">
        <v>2020</v>
      </c>
      <c r="E260" s="2">
        <v>4</v>
      </c>
      <c r="F260" s="2">
        <v>115.12</v>
      </c>
      <c r="G260" s="2">
        <v>311.64</v>
      </c>
      <c r="H260" s="2" t="str">
        <f>VLOOKUP(qhkz_4dqm[[#This Row],[fuel_type]],lookup!A:B,2,FALSE)</f>
        <v>Electric</v>
      </c>
      <c r="I260" s="2">
        <f ca="1">YEAR(TODAY())-qhkz_4dqm[[#This Row],[year]]</f>
        <v>6</v>
      </c>
      <c r="J260" s="2" t="str" cm="1">
        <f t="array" aca="1" ref="J260" ca="1">_xlfn.IFS(qhkz_4dqm[[#This Row],[vehicle_age]]&lt;=3,"Newer",qhkz_4dqm[[#This Row],[vehicle_age]]&lt;=9,"Mid-age",qhkz_4dqm[[#This Row],[vehicle_age]]&lt;=19,"Older",qhkz_4dqm[[#This Row],[vehicle_age]]&gt;=20,"Very Old")</f>
        <v>Mid-age</v>
      </c>
    </row>
    <row r="261" spans="1:10">
      <c r="A261" s="2">
        <v>24050391</v>
      </c>
      <c r="B261" s="2">
        <v>2405039101</v>
      </c>
      <c r="C261" s="2">
        <v>1</v>
      </c>
      <c r="D261" s="2">
        <v>2021</v>
      </c>
      <c r="E261" s="2">
        <v>4</v>
      </c>
      <c r="F261" s="2">
        <v>200.58</v>
      </c>
      <c r="G261" s="2">
        <v>597.12</v>
      </c>
      <c r="H261" s="2" t="str">
        <f>VLOOKUP(qhkz_4dqm[[#This Row],[fuel_type]],lookup!A:B,2,FALSE)</f>
        <v>Electric</v>
      </c>
      <c r="I261" s="2">
        <f ca="1">YEAR(TODAY())-qhkz_4dqm[[#This Row],[year]]</f>
        <v>5</v>
      </c>
      <c r="J261" s="2" t="str" cm="1">
        <f t="array" aca="1" ref="J261" ca="1">_xlfn.IFS(qhkz_4dqm[[#This Row],[vehicle_age]]&lt;=3,"Newer",qhkz_4dqm[[#This Row],[vehicle_age]]&lt;=9,"Mid-age",qhkz_4dqm[[#This Row],[vehicle_age]]&lt;=19,"Older",qhkz_4dqm[[#This Row],[vehicle_age]]&gt;=20,"Very Old")</f>
        <v>Mid-age</v>
      </c>
    </row>
    <row r="262" spans="1:10">
      <c r="A262" s="2">
        <v>24050980</v>
      </c>
      <c r="B262" s="2">
        <v>2405098001</v>
      </c>
      <c r="C262" s="2">
        <v>1</v>
      </c>
      <c r="D262" s="2">
        <v>2023</v>
      </c>
      <c r="E262" s="2">
        <v>1</v>
      </c>
      <c r="F262" s="2">
        <v>1072.5899999999999</v>
      </c>
      <c r="G262" s="2">
        <v>991.19</v>
      </c>
      <c r="H262" s="2" t="str">
        <f>VLOOKUP(qhkz_4dqm[[#This Row],[fuel_type]],lookup!A:B,2,FALSE)</f>
        <v>Gasoline</v>
      </c>
      <c r="I262" s="2">
        <f ca="1">YEAR(TODAY())-qhkz_4dqm[[#This Row],[year]]</f>
        <v>3</v>
      </c>
      <c r="J262" s="2" t="str" cm="1">
        <f t="array" aca="1" ref="J262" ca="1">_xlfn.IFS(qhkz_4dqm[[#This Row],[vehicle_age]]&lt;=3,"Newer",qhkz_4dqm[[#This Row],[vehicle_age]]&lt;=9,"Mid-age",qhkz_4dqm[[#This Row],[vehicle_age]]&lt;=19,"Older",qhkz_4dqm[[#This Row],[vehicle_age]]&gt;=20,"Very Old")</f>
        <v>Newer</v>
      </c>
    </row>
    <row r="263" spans="1:10">
      <c r="A263" s="2">
        <v>24051360</v>
      </c>
      <c r="B263" s="2">
        <v>2405136001</v>
      </c>
      <c r="C263" s="2">
        <v>1</v>
      </c>
      <c r="D263" s="2">
        <v>2013</v>
      </c>
      <c r="E263" s="2">
        <v>1</v>
      </c>
      <c r="F263" s="2">
        <v>365.57</v>
      </c>
      <c r="G263" s="2">
        <v>347.21</v>
      </c>
      <c r="H263" s="2" t="str">
        <f>VLOOKUP(qhkz_4dqm[[#This Row],[fuel_type]],lookup!A:B,2,FALSE)</f>
        <v>Gasoline</v>
      </c>
      <c r="I263" s="2">
        <f ca="1">YEAR(TODAY())-qhkz_4dqm[[#This Row],[year]]</f>
        <v>13</v>
      </c>
      <c r="J263" s="2" t="str" cm="1">
        <f t="array" aca="1" ref="J263" ca="1">_xlfn.IFS(qhkz_4dqm[[#This Row],[vehicle_age]]&lt;=3,"Newer",qhkz_4dqm[[#This Row],[vehicle_age]]&lt;=9,"Mid-age",qhkz_4dqm[[#This Row],[vehicle_age]]&lt;=19,"Older",qhkz_4dqm[[#This Row],[vehicle_age]]&gt;=20,"Very Old")</f>
        <v>Older</v>
      </c>
    </row>
    <row r="264" spans="1:10">
      <c r="A264" s="2">
        <v>24051391</v>
      </c>
      <c r="B264" s="2">
        <v>2405139101</v>
      </c>
      <c r="C264" s="2">
        <v>1</v>
      </c>
      <c r="D264" s="2">
        <v>2008</v>
      </c>
      <c r="E264" s="2">
        <v>1</v>
      </c>
      <c r="F264" s="2">
        <v>2176.7199999999998</v>
      </c>
      <c r="G264" s="2">
        <v>2736.45</v>
      </c>
      <c r="H264" s="2" t="str">
        <f>VLOOKUP(qhkz_4dqm[[#This Row],[fuel_type]],lookup!A:B,2,FALSE)</f>
        <v>Gasoline</v>
      </c>
      <c r="I264" s="2">
        <f ca="1">YEAR(TODAY())-qhkz_4dqm[[#This Row],[year]]</f>
        <v>18</v>
      </c>
      <c r="J264" s="2" t="str" cm="1">
        <f t="array" aca="1" ref="J264" ca="1">_xlfn.IFS(qhkz_4dqm[[#This Row],[vehicle_age]]&lt;=3,"Newer",qhkz_4dqm[[#This Row],[vehicle_age]]&lt;=9,"Mid-age",qhkz_4dqm[[#This Row],[vehicle_age]]&lt;=19,"Older",qhkz_4dqm[[#This Row],[vehicle_age]]&gt;=20,"Very Old")</f>
        <v>Older</v>
      </c>
    </row>
    <row r="265" spans="1:10">
      <c r="A265" s="2">
        <v>24051431</v>
      </c>
      <c r="B265" s="2">
        <v>2405143101</v>
      </c>
      <c r="C265" s="2">
        <v>1</v>
      </c>
      <c r="D265" s="2">
        <v>2003</v>
      </c>
      <c r="E265" s="2">
        <v>1</v>
      </c>
      <c r="F265" s="2">
        <v>90.97</v>
      </c>
      <c r="G265" s="2">
        <v>283.44</v>
      </c>
      <c r="H265" s="2" t="str">
        <f>VLOOKUP(qhkz_4dqm[[#This Row],[fuel_type]],lookup!A:B,2,FALSE)</f>
        <v>Gasoline</v>
      </c>
      <c r="I265" s="2">
        <f ca="1">YEAR(TODAY())-qhkz_4dqm[[#This Row],[year]]</f>
        <v>23</v>
      </c>
      <c r="J265" s="2" t="str" cm="1">
        <f t="array" aca="1" ref="J265" ca="1">_xlfn.IFS(qhkz_4dqm[[#This Row],[vehicle_age]]&lt;=3,"Newer",qhkz_4dqm[[#This Row],[vehicle_age]]&lt;=9,"Mid-age",qhkz_4dqm[[#This Row],[vehicle_age]]&lt;=19,"Older",qhkz_4dqm[[#This Row],[vehicle_age]]&gt;=20,"Very Old")</f>
        <v>Very Old</v>
      </c>
    </row>
    <row r="266" spans="1:10">
      <c r="A266" s="2">
        <v>24051448</v>
      </c>
      <c r="B266" s="2">
        <v>2405144801</v>
      </c>
      <c r="C266" s="2">
        <v>1</v>
      </c>
      <c r="D266" s="2">
        <v>2018</v>
      </c>
      <c r="E266" s="2">
        <v>1</v>
      </c>
      <c r="F266" s="2">
        <v>351.21</v>
      </c>
      <c r="G266" s="2">
        <v>253.59</v>
      </c>
      <c r="H266" s="2" t="str">
        <f>VLOOKUP(qhkz_4dqm[[#This Row],[fuel_type]],lookup!A:B,2,FALSE)</f>
        <v>Gasoline</v>
      </c>
      <c r="I266" s="2">
        <f ca="1">YEAR(TODAY())-qhkz_4dqm[[#This Row],[year]]</f>
        <v>8</v>
      </c>
      <c r="J266" s="2" t="str" cm="1">
        <f t="array" aca="1" ref="J266" ca="1">_xlfn.IFS(qhkz_4dqm[[#This Row],[vehicle_age]]&lt;=3,"Newer",qhkz_4dqm[[#This Row],[vehicle_age]]&lt;=9,"Mid-age",qhkz_4dqm[[#This Row],[vehicle_age]]&lt;=19,"Older",qhkz_4dqm[[#This Row],[vehicle_age]]&gt;=20,"Very Old")</f>
        <v>Mid-age</v>
      </c>
    </row>
    <row r="267" spans="1:10">
      <c r="A267" s="2">
        <v>24051645</v>
      </c>
      <c r="B267" s="2">
        <v>2405164501</v>
      </c>
      <c r="C267" s="2">
        <v>1</v>
      </c>
      <c r="D267" s="2">
        <v>2005</v>
      </c>
      <c r="E267" s="2">
        <v>1</v>
      </c>
      <c r="F267" s="2">
        <v>103.58</v>
      </c>
      <c r="G267" s="2">
        <v>263.10000000000002</v>
      </c>
      <c r="H267" s="2" t="str">
        <f>VLOOKUP(qhkz_4dqm[[#This Row],[fuel_type]],lookup!A:B,2,FALSE)</f>
        <v>Gasoline</v>
      </c>
      <c r="I267" s="2">
        <f ca="1">YEAR(TODAY())-qhkz_4dqm[[#This Row],[year]]</f>
        <v>21</v>
      </c>
      <c r="J267" s="2" t="str" cm="1">
        <f t="array" aca="1" ref="J267" ca="1">_xlfn.IFS(qhkz_4dqm[[#This Row],[vehicle_age]]&lt;=3,"Newer",qhkz_4dqm[[#This Row],[vehicle_age]]&lt;=9,"Mid-age",qhkz_4dqm[[#This Row],[vehicle_age]]&lt;=19,"Older",qhkz_4dqm[[#This Row],[vehicle_age]]&gt;=20,"Very Old")</f>
        <v>Very Old</v>
      </c>
    </row>
    <row r="268" spans="1:10">
      <c r="A268" s="2">
        <v>24051750</v>
      </c>
      <c r="B268" s="2">
        <v>2405175001</v>
      </c>
      <c r="C268" s="2">
        <v>1</v>
      </c>
      <c r="D268" s="2">
        <v>2007</v>
      </c>
      <c r="E268" s="2">
        <v>2</v>
      </c>
      <c r="F268" s="2">
        <v>258.72000000000003</v>
      </c>
      <c r="G268" s="2">
        <v>709.63</v>
      </c>
      <c r="H268" s="2" t="str">
        <f>VLOOKUP(qhkz_4dqm[[#This Row],[fuel_type]],lookup!A:B,2,FALSE)</f>
        <v>Diesel</v>
      </c>
      <c r="I268" s="2">
        <f ca="1">YEAR(TODAY())-qhkz_4dqm[[#This Row],[year]]</f>
        <v>19</v>
      </c>
      <c r="J268" s="2" t="str" cm="1">
        <f t="array" aca="1" ref="J268" ca="1">_xlfn.IFS(qhkz_4dqm[[#This Row],[vehicle_age]]&lt;=3,"Newer",qhkz_4dqm[[#This Row],[vehicle_age]]&lt;=9,"Mid-age",qhkz_4dqm[[#This Row],[vehicle_age]]&lt;=19,"Older",qhkz_4dqm[[#This Row],[vehicle_age]]&gt;=20,"Very Old")</f>
        <v>Older</v>
      </c>
    </row>
    <row r="269" spans="1:10">
      <c r="A269" s="2">
        <v>24051894</v>
      </c>
      <c r="B269" s="2">
        <v>2405189401</v>
      </c>
      <c r="C269" s="2">
        <v>1</v>
      </c>
      <c r="D269" s="2">
        <v>2023</v>
      </c>
      <c r="E269" s="2">
        <v>1</v>
      </c>
      <c r="F269" s="2">
        <v>864.87</v>
      </c>
      <c r="G269" s="2">
        <v>752.36</v>
      </c>
      <c r="H269" s="2" t="str">
        <f>VLOOKUP(qhkz_4dqm[[#This Row],[fuel_type]],lookup!A:B,2,FALSE)</f>
        <v>Gasoline</v>
      </c>
      <c r="I269" s="2">
        <f ca="1">YEAR(TODAY())-qhkz_4dqm[[#This Row],[year]]</f>
        <v>3</v>
      </c>
      <c r="J269" s="2" t="str" cm="1">
        <f t="array" aca="1" ref="J269" ca="1">_xlfn.IFS(qhkz_4dqm[[#This Row],[vehicle_age]]&lt;=3,"Newer",qhkz_4dqm[[#This Row],[vehicle_age]]&lt;=9,"Mid-age",qhkz_4dqm[[#This Row],[vehicle_age]]&lt;=19,"Older",qhkz_4dqm[[#This Row],[vehicle_age]]&gt;=20,"Very Old")</f>
        <v>Newer</v>
      </c>
    </row>
    <row r="270" spans="1:10">
      <c r="A270" s="2">
        <v>24051991</v>
      </c>
      <c r="B270" s="2">
        <v>2405199101</v>
      </c>
      <c r="C270" s="2">
        <v>1</v>
      </c>
      <c r="D270" s="2">
        <v>2012</v>
      </c>
      <c r="E270" s="2">
        <v>1</v>
      </c>
      <c r="F270" s="2">
        <v>618.64</v>
      </c>
      <c r="G270" s="2">
        <v>1237.99</v>
      </c>
      <c r="H270" s="2" t="str">
        <f>VLOOKUP(qhkz_4dqm[[#This Row],[fuel_type]],lookup!A:B,2,FALSE)</f>
        <v>Gasoline</v>
      </c>
      <c r="I270" s="2">
        <f ca="1">YEAR(TODAY())-qhkz_4dqm[[#This Row],[year]]</f>
        <v>14</v>
      </c>
      <c r="J270" s="2" t="str" cm="1">
        <f t="array" aca="1" ref="J270" ca="1">_xlfn.IFS(qhkz_4dqm[[#This Row],[vehicle_age]]&lt;=3,"Newer",qhkz_4dqm[[#This Row],[vehicle_age]]&lt;=9,"Mid-age",qhkz_4dqm[[#This Row],[vehicle_age]]&lt;=19,"Older",qhkz_4dqm[[#This Row],[vehicle_age]]&gt;=20,"Very Old")</f>
        <v>Older</v>
      </c>
    </row>
    <row r="271" spans="1:10">
      <c r="A271" s="2">
        <v>24052055</v>
      </c>
      <c r="B271" s="2">
        <v>2405205501</v>
      </c>
      <c r="C271" s="2">
        <v>1</v>
      </c>
      <c r="D271" s="2">
        <v>2010</v>
      </c>
      <c r="E271" s="2">
        <v>1</v>
      </c>
      <c r="F271" s="2">
        <v>570.85</v>
      </c>
      <c r="G271" s="2">
        <v>598.15</v>
      </c>
      <c r="H271" s="2" t="str">
        <f>VLOOKUP(qhkz_4dqm[[#This Row],[fuel_type]],lookup!A:B,2,FALSE)</f>
        <v>Gasoline</v>
      </c>
      <c r="I271" s="2">
        <f ca="1">YEAR(TODAY())-qhkz_4dqm[[#This Row],[year]]</f>
        <v>16</v>
      </c>
      <c r="J271" s="2" t="str" cm="1">
        <f t="array" aca="1" ref="J271" ca="1">_xlfn.IFS(qhkz_4dqm[[#This Row],[vehicle_age]]&lt;=3,"Newer",qhkz_4dqm[[#This Row],[vehicle_age]]&lt;=9,"Mid-age",qhkz_4dqm[[#This Row],[vehicle_age]]&lt;=19,"Older",qhkz_4dqm[[#This Row],[vehicle_age]]&gt;=20,"Very Old")</f>
        <v>Older</v>
      </c>
    </row>
    <row r="272" spans="1:10">
      <c r="A272" s="2">
        <v>24052178</v>
      </c>
      <c r="B272" s="2">
        <v>2405217801</v>
      </c>
      <c r="C272" s="2">
        <v>1</v>
      </c>
      <c r="D272" s="2">
        <v>2016</v>
      </c>
      <c r="E272" s="2">
        <v>1</v>
      </c>
      <c r="F272" s="2">
        <v>1778.88</v>
      </c>
      <c r="G272" s="2">
        <v>1381.67</v>
      </c>
      <c r="H272" s="2" t="str">
        <f>VLOOKUP(qhkz_4dqm[[#This Row],[fuel_type]],lookup!A:B,2,FALSE)</f>
        <v>Gasoline</v>
      </c>
      <c r="I272" s="2">
        <f ca="1">YEAR(TODAY())-qhkz_4dqm[[#This Row],[year]]</f>
        <v>10</v>
      </c>
      <c r="J272" s="2" t="str" cm="1">
        <f t="array" aca="1" ref="J272" ca="1">_xlfn.IFS(qhkz_4dqm[[#This Row],[vehicle_age]]&lt;=3,"Newer",qhkz_4dqm[[#This Row],[vehicle_age]]&lt;=9,"Mid-age",qhkz_4dqm[[#This Row],[vehicle_age]]&lt;=19,"Older",qhkz_4dqm[[#This Row],[vehicle_age]]&gt;=20,"Very Old")</f>
        <v>Older</v>
      </c>
    </row>
    <row r="273" spans="1:10">
      <c r="A273" s="2">
        <v>24052397</v>
      </c>
      <c r="B273" s="2">
        <v>2405239701</v>
      </c>
      <c r="C273" s="2">
        <v>1</v>
      </c>
      <c r="D273" s="2">
        <v>2010</v>
      </c>
      <c r="E273" s="2">
        <v>1</v>
      </c>
      <c r="F273" s="2">
        <v>2821.26</v>
      </c>
      <c r="G273" s="2">
        <v>2346.5700000000002</v>
      </c>
      <c r="H273" s="2" t="str">
        <f>VLOOKUP(qhkz_4dqm[[#This Row],[fuel_type]],lookup!A:B,2,FALSE)</f>
        <v>Gasoline</v>
      </c>
      <c r="I273" s="2">
        <f ca="1">YEAR(TODAY())-qhkz_4dqm[[#This Row],[year]]</f>
        <v>16</v>
      </c>
      <c r="J273" s="2" t="str" cm="1">
        <f t="array" aca="1" ref="J273" ca="1">_xlfn.IFS(qhkz_4dqm[[#This Row],[vehicle_age]]&lt;=3,"Newer",qhkz_4dqm[[#This Row],[vehicle_age]]&lt;=9,"Mid-age",qhkz_4dqm[[#This Row],[vehicle_age]]&lt;=19,"Older",qhkz_4dqm[[#This Row],[vehicle_age]]&gt;=20,"Very Old")</f>
        <v>Older</v>
      </c>
    </row>
    <row r="274" spans="1:10">
      <c r="A274" s="2">
        <v>24052428</v>
      </c>
      <c r="B274" s="2">
        <v>2405242801</v>
      </c>
      <c r="C274" s="2">
        <v>1</v>
      </c>
      <c r="D274" s="2">
        <v>2011</v>
      </c>
      <c r="E274" s="2">
        <v>1</v>
      </c>
      <c r="F274" s="2">
        <v>231.39</v>
      </c>
      <c r="G274" s="2">
        <v>852.65</v>
      </c>
      <c r="H274" s="2" t="str">
        <f>VLOOKUP(qhkz_4dqm[[#This Row],[fuel_type]],lookup!A:B,2,FALSE)</f>
        <v>Gasoline</v>
      </c>
      <c r="I274" s="2">
        <f ca="1">YEAR(TODAY())-qhkz_4dqm[[#This Row],[year]]</f>
        <v>15</v>
      </c>
      <c r="J274" s="2" t="str" cm="1">
        <f t="array" aca="1" ref="J274" ca="1">_xlfn.IFS(qhkz_4dqm[[#This Row],[vehicle_age]]&lt;=3,"Newer",qhkz_4dqm[[#This Row],[vehicle_age]]&lt;=9,"Mid-age",qhkz_4dqm[[#This Row],[vehicle_age]]&lt;=19,"Older",qhkz_4dqm[[#This Row],[vehicle_age]]&gt;=20,"Very Old")</f>
        <v>Older</v>
      </c>
    </row>
    <row r="275" spans="1:10">
      <c r="A275" s="2">
        <v>24052485</v>
      </c>
      <c r="B275" s="2">
        <v>2405248501</v>
      </c>
      <c r="C275" s="2">
        <v>1</v>
      </c>
      <c r="D275" s="2">
        <v>2017</v>
      </c>
      <c r="E275" s="2">
        <v>1</v>
      </c>
      <c r="F275" s="2">
        <v>214.47</v>
      </c>
      <c r="G275" s="2">
        <v>710.47</v>
      </c>
      <c r="H275" s="2" t="str">
        <f>VLOOKUP(qhkz_4dqm[[#This Row],[fuel_type]],lookup!A:B,2,FALSE)</f>
        <v>Gasoline</v>
      </c>
      <c r="I275" s="2">
        <f ca="1">YEAR(TODAY())-qhkz_4dqm[[#This Row],[year]]</f>
        <v>9</v>
      </c>
      <c r="J275" s="2" t="str" cm="1">
        <f t="array" aca="1" ref="J275" ca="1">_xlfn.IFS(qhkz_4dqm[[#This Row],[vehicle_age]]&lt;=3,"Newer",qhkz_4dqm[[#This Row],[vehicle_age]]&lt;=9,"Mid-age",qhkz_4dqm[[#This Row],[vehicle_age]]&lt;=19,"Older",qhkz_4dqm[[#This Row],[vehicle_age]]&gt;=20,"Very Old")</f>
        <v>Mid-age</v>
      </c>
    </row>
    <row r="276" spans="1:10">
      <c r="A276" s="2">
        <v>24052880</v>
      </c>
      <c r="B276" s="2">
        <v>2405288001</v>
      </c>
      <c r="C276" s="2">
        <v>1</v>
      </c>
      <c r="D276" s="2">
        <v>2007</v>
      </c>
      <c r="E276" s="2">
        <v>1</v>
      </c>
      <c r="F276" s="2">
        <v>736.29</v>
      </c>
      <c r="G276" s="2">
        <v>710.86</v>
      </c>
      <c r="H276" s="2" t="str">
        <f>VLOOKUP(qhkz_4dqm[[#This Row],[fuel_type]],lookup!A:B,2,FALSE)</f>
        <v>Gasoline</v>
      </c>
      <c r="I276" s="2">
        <f ca="1">YEAR(TODAY())-qhkz_4dqm[[#This Row],[year]]</f>
        <v>19</v>
      </c>
      <c r="J276" s="2" t="str" cm="1">
        <f t="array" aca="1" ref="J276" ca="1">_xlfn.IFS(qhkz_4dqm[[#This Row],[vehicle_age]]&lt;=3,"Newer",qhkz_4dqm[[#This Row],[vehicle_age]]&lt;=9,"Mid-age",qhkz_4dqm[[#This Row],[vehicle_age]]&lt;=19,"Older",qhkz_4dqm[[#This Row],[vehicle_age]]&gt;=20,"Very Old")</f>
        <v>Older</v>
      </c>
    </row>
    <row r="277" spans="1:10">
      <c r="A277" s="2">
        <v>24053031</v>
      </c>
      <c r="B277" s="2">
        <v>2405303101</v>
      </c>
      <c r="C277" s="2">
        <v>1</v>
      </c>
      <c r="D277" s="2">
        <v>2020</v>
      </c>
      <c r="E277" s="2">
        <v>1</v>
      </c>
      <c r="F277" s="2">
        <v>3715.1</v>
      </c>
      <c r="G277" s="2">
        <v>4377.3100000000004</v>
      </c>
      <c r="H277" s="2" t="str">
        <f>VLOOKUP(qhkz_4dqm[[#This Row],[fuel_type]],lookup!A:B,2,FALSE)</f>
        <v>Gasoline</v>
      </c>
      <c r="I277" s="2">
        <f ca="1">YEAR(TODAY())-qhkz_4dqm[[#This Row],[year]]</f>
        <v>6</v>
      </c>
      <c r="J277" s="2" t="str" cm="1">
        <f t="array" aca="1" ref="J277" ca="1">_xlfn.IFS(qhkz_4dqm[[#This Row],[vehicle_age]]&lt;=3,"Newer",qhkz_4dqm[[#This Row],[vehicle_age]]&lt;=9,"Mid-age",qhkz_4dqm[[#This Row],[vehicle_age]]&lt;=19,"Older",qhkz_4dqm[[#This Row],[vehicle_age]]&gt;=20,"Very Old")</f>
        <v>Mid-age</v>
      </c>
    </row>
    <row r="278" spans="1:10">
      <c r="A278" s="2">
        <v>24053033</v>
      </c>
      <c r="B278" s="2">
        <v>2405303301</v>
      </c>
      <c r="C278" s="2">
        <v>1</v>
      </c>
      <c r="D278" s="2">
        <v>2019</v>
      </c>
      <c r="E278" s="2">
        <v>1</v>
      </c>
      <c r="F278" s="2">
        <v>539.01</v>
      </c>
      <c r="G278" s="2">
        <v>436.61</v>
      </c>
      <c r="H278" s="2" t="str">
        <f>VLOOKUP(qhkz_4dqm[[#This Row],[fuel_type]],lookup!A:B,2,FALSE)</f>
        <v>Gasoline</v>
      </c>
      <c r="I278" s="2">
        <f ca="1">YEAR(TODAY())-qhkz_4dqm[[#This Row],[year]]</f>
        <v>7</v>
      </c>
      <c r="J278" s="2" t="str" cm="1">
        <f t="array" aca="1" ref="J278" ca="1">_xlfn.IFS(qhkz_4dqm[[#This Row],[vehicle_age]]&lt;=3,"Newer",qhkz_4dqm[[#This Row],[vehicle_age]]&lt;=9,"Mid-age",qhkz_4dqm[[#This Row],[vehicle_age]]&lt;=19,"Older",qhkz_4dqm[[#This Row],[vehicle_age]]&gt;=20,"Very Old")</f>
        <v>Mid-age</v>
      </c>
    </row>
    <row r="279" spans="1:10">
      <c r="A279" s="2">
        <v>24053082</v>
      </c>
      <c r="B279" s="2">
        <v>2405308201</v>
      </c>
      <c r="C279" s="2">
        <v>1</v>
      </c>
      <c r="D279" s="2">
        <v>2024</v>
      </c>
      <c r="E279" s="2">
        <v>1</v>
      </c>
      <c r="F279" s="2">
        <v>7785.57</v>
      </c>
      <c r="G279" s="2">
        <v>2263.2199999999998</v>
      </c>
      <c r="H279" s="2" t="str">
        <f>VLOOKUP(qhkz_4dqm[[#This Row],[fuel_type]],lookup!A:B,2,FALSE)</f>
        <v>Gasoline</v>
      </c>
      <c r="I279" s="2">
        <f ca="1">YEAR(TODAY())-qhkz_4dqm[[#This Row],[year]]</f>
        <v>2</v>
      </c>
      <c r="J279" s="2" t="str" cm="1">
        <f t="array" aca="1" ref="J279" ca="1">_xlfn.IFS(qhkz_4dqm[[#This Row],[vehicle_age]]&lt;=3,"Newer",qhkz_4dqm[[#This Row],[vehicle_age]]&lt;=9,"Mid-age",qhkz_4dqm[[#This Row],[vehicle_age]]&lt;=19,"Older",qhkz_4dqm[[#This Row],[vehicle_age]]&gt;=20,"Very Old")</f>
        <v>Newer</v>
      </c>
    </row>
    <row r="280" spans="1:10">
      <c r="A280" s="2">
        <v>24053409</v>
      </c>
      <c r="B280" s="2">
        <v>2405340901</v>
      </c>
      <c r="C280" s="2">
        <v>1</v>
      </c>
      <c r="D280" s="2">
        <v>2004</v>
      </c>
      <c r="E280" s="2">
        <v>1</v>
      </c>
      <c r="F280" s="2">
        <v>569.69000000000005</v>
      </c>
      <c r="G280" s="2">
        <v>799.34</v>
      </c>
      <c r="H280" s="2" t="str">
        <f>VLOOKUP(qhkz_4dqm[[#This Row],[fuel_type]],lookup!A:B,2,FALSE)</f>
        <v>Gasoline</v>
      </c>
      <c r="I280" s="2">
        <f ca="1">YEAR(TODAY())-qhkz_4dqm[[#This Row],[year]]</f>
        <v>22</v>
      </c>
      <c r="J280" s="2" t="str" cm="1">
        <f t="array" aca="1" ref="J280" ca="1">_xlfn.IFS(qhkz_4dqm[[#This Row],[vehicle_age]]&lt;=3,"Newer",qhkz_4dqm[[#This Row],[vehicle_age]]&lt;=9,"Mid-age",qhkz_4dqm[[#This Row],[vehicle_age]]&lt;=19,"Older",qhkz_4dqm[[#This Row],[vehicle_age]]&gt;=20,"Very Old")</f>
        <v>Very Old</v>
      </c>
    </row>
    <row r="281" spans="1:10">
      <c r="A281" s="2">
        <v>24053615</v>
      </c>
      <c r="B281" s="2">
        <v>2405361501</v>
      </c>
      <c r="C281" s="2">
        <v>1</v>
      </c>
      <c r="D281" s="2">
        <v>2014</v>
      </c>
      <c r="E281" s="2">
        <v>1</v>
      </c>
      <c r="F281" s="2">
        <v>760.65</v>
      </c>
      <c r="G281" s="2">
        <v>455.99</v>
      </c>
      <c r="H281" s="2" t="str">
        <f>VLOOKUP(qhkz_4dqm[[#This Row],[fuel_type]],lookup!A:B,2,FALSE)</f>
        <v>Gasoline</v>
      </c>
      <c r="I281" s="2">
        <f ca="1">YEAR(TODAY())-qhkz_4dqm[[#This Row],[year]]</f>
        <v>12</v>
      </c>
      <c r="J281" s="2" t="str" cm="1">
        <f t="array" aca="1" ref="J281" ca="1">_xlfn.IFS(qhkz_4dqm[[#This Row],[vehicle_age]]&lt;=3,"Newer",qhkz_4dqm[[#This Row],[vehicle_age]]&lt;=9,"Mid-age",qhkz_4dqm[[#This Row],[vehicle_age]]&lt;=19,"Older",qhkz_4dqm[[#This Row],[vehicle_age]]&gt;=20,"Very Old")</f>
        <v>Older</v>
      </c>
    </row>
    <row r="282" spans="1:10">
      <c r="A282" s="2">
        <v>24053701</v>
      </c>
      <c r="B282" s="2">
        <v>2405370101</v>
      </c>
      <c r="C282" s="2">
        <v>1</v>
      </c>
      <c r="D282" s="2">
        <v>2022</v>
      </c>
      <c r="E282" s="2">
        <v>2</v>
      </c>
      <c r="F282" s="2">
        <v>286.37</v>
      </c>
      <c r="G282" s="2">
        <v>405.29</v>
      </c>
      <c r="H282" s="2" t="str">
        <f>VLOOKUP(qhkz_4dqm[[#This Row],[fuel_type]],lookup!A:B,2,FALSE)</f>
        <v>Diesel</v>
      </c>
      <c r="I282" s="2">
        <f ca="1">YEAR(TODAY())-qhkz_4dqm[[#This Row],[year]]</f>
        <v>4</v>
      </c>
      <c r="J282" s="2" t="str" cm="1">
        <f t="array" aca="1" ref="J282" ca="1">_xlfn.IFS(qhkz_4dqm[[#This Row],[vehicle_age]]&lt;=3,"Newer",qhkz_4dqm[[#This Row],[vehicle_age]]&lt;=9,"Mid-age",qhkz_4dqm[[#This Row],[vehicle_age]]&lt;=19,"Older",qhkz_4dqm[[#This Row],[vehicle_age]]&gt;=20,"Very Old")</f>
        <v>Mid-age</v>
      </c>
    </row>
    <row r="283" spans="1:10">
      <c r="A283" s="2">
        <v>24053776</v>
      </c>
      <c r="B283" s="2">
        <v>2405377601</v>
      </c>
      <c r="C283" s="2">
        <v>1</v>
      </c>
      <c r="D283" s="2">
        <v>1998</v>
      </c>
      <c r="E283" s="2">
        <v>1</v>
      </c>
      <c r="F283" s="2">
        <v>477.24</v>
      </c>
      <c r="G283" s="2">
        <v>885.66</v>
      </c>
      <c r="H283" s="2" t="str">
        <f>VLOOKUP(qhkz_4dqm[[#This Row],[fuel_type]],lookup!A:B,2,FALSE)</f>
        <v>Gasoline</v>
      </c>
      <c r="I283" s="2">
        <f ca="1">YEAR(TODAY())-qhkz_4dqm[[#This Row],[year]]</f>
        <v>28</v>
      </c>
      <c r="J283" s="2" t="str" cm="1">
        <f t="array" aca="1" ref="J283" ca="1">_xlfn.IFS(qhkz_4dqm[[#This Row],[vehicle_age]]&lt;=3,"Newer",qhkz_4dqm[[#This Row],[vehicle_age]]&lt;=9,"Mid-age",qhkz_4dqm[[#This Row],[vehicle_age]]&lt;=19,"Older",qhkz_4dqm[[#This Row],[vehicle_age]]&gt;=20,"Very Old")</f>
        <v>Very Old</v>
      </c>
    </row>
    <row r="284" spans="1:10">
      <c r="A284" s="2">
        <v>24053784</v>
      </c>
      <c r="B284" s="2">
        <v>2405378401</v>
      </c>
      <c r="C284" s="2">
        <v>1</v>
      </c>
      <c r="D284" s="2">
        <v>2019</v>
      </c>
      <c r="E284" s="2">
        <v>1</v>
      </c>
      <c r="F284" s="2">
        <v>570.85</v>
      </c>
      <c r="G284" s="2">
        <v>598.15</v>
      </c>
      <c r="H284" s="2" t="str">
        <f>VLOOKUP(qhkz_4dqm[[#This Row],[fuel_type]],lookup!A:B,2,FALSE)</f>
        <v>Gasoline</v>
      </c>
      <c r="I284" s="2">
        <f ca="1">YEAR(TODAY())-qhkz_4dqm[[#This Row],[year]]</f>
        <v>7</v>
      </c>
      <c r="J284" s="2" t="str" cm="1">
        <f t="array" aca="1" ref="J284" ca="1">_xlfn.IFS(qhkz_4dqm[[#This Row],[vehicle_age]]&lt;=3,"Newer",qhkz_4dqm[[#This Row],[vehicle_age]]&lt;=9,"Mid-age",qhkz_4dqm[[#This Row],[vehicle_age]]&lt;=19,"Older",qhkz_4dqm[[#This Row],[vehicle_age]]&gt;=20,"Very Old")</f>
        <v>Mid-age</v>
      </c>
    </row>
    <row r="285" spans="1:10">
      <c r="A285" s="2">
        <v>24053792</v>
      </c>
      <c r="B285" s="2">
        <v>2405379201</v>
      </c>
      <c r="C285" s="2">
        <v>1</v>
      </c>
      <c r="D285" s="2">
        <v>2005</v>
      </c>
      <c r="E285" s="2">
        <v>1</v>
      </c>
      <c r="F285" s="2">
        <v>138.58000000000001</v>
      </c>
      <c r="G285" s="2">
        <v>415.98</v>
      </c>
      <c r="H285" s="2" t="str">
        <f>VLOOKUP(qhkz_4dqm[[#This Row],[fuel_type]],lookup!A:B,2,FALSE)</f>
        <v>Gasoline</v>
      </c>
      <c r="I285" s="2">
        <f ca="1">YEAR(TODAY())-qhkz_4dqm[[#This Row],[year]]</f>
        <v>21</v>
      </c>
      <c r="J285" s="2" t="str" cm="1">
        <f t="array" aca="1" ref="J285" ca="1">_xlfn.IFS(qhkz_4dqm[[#This Row],[vehicle_age]]&lt;=3,"Newer",qhkz_4dqm[[#This Row],[vehicle_age]]&lt;=9,"Mid-age",qhkz_4dqm[[#This Row],[vehicle_age]]&lt;=19,"Older",qhkz_4dqm[[#This Row],[vehicle_age]]&gt;=20,"Very Old")</f>
        <v>Very Old</v>
      </c>
    </row>
    <row r="286" spans="1:10">
      <c r="A286" s="2">
        <v>24053828</v>
      </c>
      <c r="B286" s="2">
        <v>2405382801</v>
      </c>
      <c r="C286" s="2">
        <v>1</v>
      </c>
      <c r="D286" s="2">
        <v>2016</v>
      </c>
      <c r="E286" s="2">
        <v>1</v>
      </c>
      <c r="F286" s="2">
        <v>570.85</v>
      </c>
      <c r="G286" s="2">
        <v>598.15</v>
      </c>
      <c r="H286" s="2" t="str">
        <f>VLOOKUP(qhkz_4dqm[[#This Row],[fuel_type]],lookup!A:B,2,FALSE)</f>
        <v>Gasoline</v>
      </c>
      <c r="I286" s="2">
        <f ca="1">YEAR(TODAY())-qhkz_4dqm[[#This Row],[year]]</f>
        <v>10</v>
      </c>
      <c r="J286" s="2" t="str" cm="1">
        <f t="array" aca="1" ref="J286" ca="1">_xlfn.IFS(qhkz_4dqm[[#This Row],[vehicle_age]]&lt;=3,"Newer",qhkz_4dqm[[#This Row],[vehicle_age]]&lt;=9,"Mid-age",qhkz_4dqm[[#This Row],[vehicle_age]]&lt;=19,"Older",qhkz_4dqm[[#This Row],[vehicle_age]]&gt;=20,"Very Old")</f>
        <v>Older</v>
      </c>
    </row>
    <row r="287" spans="1:10">
      <c r="A287" s="2">
        <v>24053883</v>
      </c>
      <c r="B287" s="2">
        <v>2405388301</v>
      </c>
      <c r="C287" s="2">
        <v>1</v>
      </c>
      <c r="D287" s="2">
        <v>2009</v>
      </c>
      <c r="E287" s="2">
        <v>1</v>
      </c>
      <c r="F287" s="2">
        <v>67.540000000000006</v>
      </c>
      <c r="G287" s="2">
        <v>637.69000000000005</v>
      </c>
      <c r="H287" s="2" t="str">
        <f>VLOOKUP(qhkz_4dqm[[#This Row],[fuel_type]],lookup!A:B,2,FALSE)</f>
        <v>Gasoline</v>
      </c>
      <c r="I287" s="2">
        <f ca="1">YEAR(TODAY())-qhkz_4dqm[[#This Row],[year]]</f>
        <v>17</v>
      </c>
      <c r="J287" s="2" t="str" cm="1">
        <f t="array" aca="1" ref="J287" ca="1">_xlfn.IFS(qhkz_4dqm[[#This Row],[vehicle_age]]&lt;=3,"Newer",qhkz_4dqm[[#This Row],[vehicle_age]]&lt;=9,"Mid-age",qhkz_4dqm[[#This Row],[vehicle_age]]&lt;=19,"Older",qhkz_4dqm[[#This Row],[vehicle_age]]&gt;=20,"Very Old")</f>
        <v>Older</v>
      </c>
    </row>
    <row r="288" spans="1:10">
      <c r="A288" s="2">
        <v>24053960</v>
      </c>
      <c r="B288" s="2">
        <v>2405396001</v>
      </c>
      <c r="C288" s="2">
        <v>1</v>
      </c>
      <c r="D288" s="2">
        <v>2015</v>
      </c>
      <c r="E288" s="2">
        <v>1</v>
      </c>
      <c r="F288" s="2">
        <v>256.19</v>
      </c>
      <c r="G288" s="2">
        <v>460.31</v>
      </c>
      <c r="H288" s="2" t="str">
        <f>VLOOKUP(qhkz_4dqm[[#This Row],[fuel_type]],lookup!A:B,2,FALSE)</f>
        <v>Gasoline</v>
      </c>
      <c r="I288" s="2">
        <f ca="1">YEAR(TODAY())-qhkz_4dqm[[#This Row],[year]]</f>
        <v>11</v>
      </c>
      <c r="J288" s="2" t="str" cm="1">
        <f t="array" aca="1" ref="J288" ca="1">_xlfn.IFS(qhkz_4dqm[[#This Row],[vehicle_age]]&lt;=3,"Newer",qhkz_4dqm[[#This Row],[vehicle_age]]&lt;=9,"Mid-age",qhkz_4dqm[[#This Row],[vehicle_age]]&lt;=19,"Older",qhkz_4dqm[[#This Row],[vehicle_age]]&gt;=20,"Very Old")</f>
        <v>Older</v>
      </c>
    </row>
    <row r="289" spans="1:10">
      <c r="A289" s="2">
        <v>24054154</v>
      </c>
      <c r="B289" s="2">
        <v>2405415401</v>
      </c>
      <c r="C289" s="2">
        <v>1</v>
      </c>
      <c r="D289" s="2">
        <v>2020</v>
      </c>
      <c r="E289" s="2">
        <v>1</v>
      </c>
      <c r="F289" s="2">
        <v>123.41</v>
      </c>
      <c r="G289" s="2">
        <v>253.15</v>
      </c>
      <c r="H289" s="2" t="str">
        <f>VLOOKUP(qhkz_4dqm[[#This Row],[fuel_type]],lookup!A:B,2,FALSE)</f>
        <v>Gasoline</v>
      </c>
      <c r="I289" s="2">
        <f ca="1">YEAR(TODAY())-qhkz_4dqm[[#This Row],[year]]</f>
        <v>6</v>
      </c>
      <c r="J289" s="2" t="str" cm="1">
        <f t="array" aca="1" ref="J289" ca="1">_xlfn.IFS(qhkz_4dqm[[#This Row],[vehicle_age]]&lt;=3,"Newer",qhkz_4dqm[[#This Row],[vehicle_age]]&lt;=9,"Mid-age",qhkz_4dqm[[#This Row],[vehicle_age]]&lt;=19,"Older",qhkz_4dqm[[#This Row],[vehicle_age]]&gt;=20,"Very Old")</f>
        <v>Mid-age</v>
      </c>
    </row>
    <row r="290" spans="1:10">
      <c r="A290" s="2">
        <v>24054186</v>
      </c>
      <c r="B290" s="2">
        <v>2405418601</v>
      </c>
      <c r="C290" s="2">
        <v>1</v>
      </c>
      <c r="D290" s="2">
        <v>2014</v>
      </c>
      <c r="E290" s="2">
        <v>1</v>
      </c>
      <c r="F290" s="2">
        <v>728.9</v>
      </c>
      <c r="G290" s="2">
        <v>329.98</v>
      </c>
      <c r="H290" s="2" t="str">
        <f>VLOOKUP(qhkz_4dqm[[#This Row],[fuel_type]],lookup!A:B,2,FALSE)</f>
        <v>Gasoline</v>
      </c>
      <c r="I290" s="2">
        <f ca="1">YEAR(TODAY())-qhkz_4dqm[[#This Row],[year]]</f>
        <v>12</v>
      </c>
      <c r="J290" s="2" t="str" cm="1">
        <f t="array" aca="1" ref="J290" ca="1">_xlfn.IFS(qhkz_4dqm[[#This Row],[vehicle_age]]&lt;=3,"Newer",qhkz_4dqm[[#This Row],[vehicle_age]]&lt;=9,"Mid-age",qhkz_4dqm[[#This Row],[vehicle_age]]&lt;=19,"Older",qhkz_4dqm[[#This Row],[vehicle_age]]&gt;=20,"Very Old")</f>
        <v>Older</v>
      </c>
    </row>
    <row r="291" spans="1:10">
      <c r="A291" s="2">
        <v>24054290</v>
      </c>
      <c r="B291" s="2">
        <v>2405429001</v>
      </c>
      <c r="C291" s="2">
        <v>1</v>
      </c>
      <c r="D291" s="2">
        <v>2021</v>
      </c>
      <c r="E291" s="2">
        <v>1</v>
      </c>
      <c r="F291" s="2">
        <v>200.58</v>
      </c>
      <c r="G291" s="2">
        <v>597.12</v>
      </c>
      <c r="H291" s="2" t="str">
        <f>VLOOKUP(qhkz_4dqm[[#This Row],[fuel_type]],lookup!A:B,2,FALSE)</f>
        <v>Gasoline</v>
      </c>
      <c r="I291" s="2">
        <f ca="1">YEAR(TODAY())-qhkz_4dqm[[#This Row],[year]]</f>
        <v>5</v>
      </c>
      <c r="J291" s="2" t="str" cm="1">
        <f t="array" aca="1" ref="J291" ca="1">_xlfn.IFS(qhkz_4dqm[[#This Row],[vehicle_age]]&lt;=3,"Newer",qhkz_4dqm[[#This Row],[vehicle_age]]&lt;=9,"Mid-age",qhkz_4dqm[[#This Row],[vehicle_age]]&lt;=19,"Older",qhkz_4dqm[[#This Row],[vehicle_age]]&gt;=20,"Very Old")</f>
        <v>Mid-age</v>
      </c>
    </row>
    <row r="292" spans="1:10">
      <c r="A292" s="2">
        <v>24054312</v>
      </c>
      <c r="B292" s="2">
        <v>2405431201</v>
      </c>
      <c r="C292" s="2">
        <v>1</v>
      </c>
      <c r="D292" s="2">
        <v>2013</v>
      </c>
      <c r="E292" s="2">
        <v>1</v>
      </c>
      <c r="F292" s="2">
        <v>1715.66</v>
      </c>
      <c r="G292" s="2">
        <v>4987.71</v>
      </c>
      <c r="H292" s="2" t="str">
        <f>VLOOKUP(qhkz_4dqm[[#This Row],[fuel_type]],lookup!A:B,2,FALSE)</f>
        <v>Gasoline</v>
      </c>
      <c r="I292" s="2">
        <f ca="1">YEAR(TODAY())-qhkz_4dqm[[#This Row],[year]]</f>
        <v>13</v>
      </c>
      <c r="J292" s="2" t="str" cm="1">
        <f t="array" aca="1" ref="J292" ca="1">_xlfn.IFS(qhkz_4dqm[[#This Row],[vehicle_age]]&lt;=3,"Newer",qhkz_4dqm[[#This Row],[vehicle_age]]&lt;=9,"Mid-age",qhkz_4dqm[[#This Row],[vehicle_age]]&lt;=19,"Older",qhkz_4dqm[[#This Row],[vehicle_age]]&gt;=20,"Very Old")</f>
        <v>Older</v>
      </c>
    </row>
    <row r="293" spans="1:10">
      <c r="A293" s="2">
        <v>24054349</v>
      </c>
      <c r="B293" s="2">
        <v>2405434901</v>
      </c>
      <c r="C293" s="2">
        <v>1</v>
      </c>
      <c r="D293" s="2">
        <v>2012</v>
      </c>
      <c r="E293" s="2">
        <v>1</v>
      </c>
      <c r="F293" s="2">
        <v>569.69000000000005</v>
      </c>
      <c r="G293" s="2">
        <v>799.34</v>
      </c>
      <c r="H293" s="2" t="str">
        <f>VLOOKUP(qhkz_4dqm[[#This Row],[fuel_type]],lookup!A:B,2,FALSE)</f>
        <v>Gasoline</v>
      </c>
      <c r="I293" s="2">
        <f ca="1">YEAR(TODAY())-qhkz_4dqm[[#This Row],[year]]</f>
        <v>14</v>
      </c>
      <c r="J293" s="2" t="str" cm="1">
        <f t="array" aca="1" ref="J293" ca="1">_xlfn.IFS(qhkz_4dqm[[#This Row],[vehicle_age]]&lt;=3,"Newer",qhkz_4dqm[[#This Row],[vehicle_age]]&lt;=9,"Mid-age",qhkz_4dqm[[#This Row],[vehicle_age]]&lt;=19,"Older",qhkz_4dqm[[#This Row],[vehicle_age]]&gt;=20,"Very Old")</f>
        <v>Older</v>
      </c>
    </row>
    <row r="294" spans="1:10">
      <c r="A294" s="2">
        <v>24054419</v>
      </c>
      <c r="B294" s="2">
        <v>2405441901</v>
      </c>
      <c r="C294" s="2">
        <v>1</v>
      </c>
      <c r="D294" s="2">
        <v>2020</v>
      </c>
      <c r="E294" s="2">
        <v>1</v>
      </c>
      <c r="F294" s="2">
        <v>1172.93</v>
      </c>
      <c r="G294" s="2">
        <v>1454.91</v>
      </c>
      <c r="H294" s="2" t="str">
        <f>VLOOKUP(qhkz_4dqm[[#This Row],[fuel_type]],lookup!A:B,2,FALSE)</f>
        <v>Gasoline</v>
      </c>
      <c r="I294" s="2">
        <f ca="1">YEAR(TODAY())-qhkz_4dqm[[#This Row],[year]]</f>
        <v>6</v>
      </c>
      <c r="J294" s="2" t="str" cm="1">
        <f t="array" aca="1" ref="J294" ca="1">_xlfn.IFS(qhkz_4dqm[[#This Row],[vehicle_age]]&lt;=3,"Newer",qhkz_4dqm[[#This Row],[vehicle_age]]&lt;=9,"Mid-age",qhkz_4dqm[[#This Row],[vehicle_age]]&lt;=19,"Older",qhkz_4dqm[[#This Row],[vehicle_age]]&gt;=20,"Very Old")</f>
        <v>Mid-age</v>
      </c>
    </row>
    <row r="295" spans="1:10">
      <c r="A295" s="2">
        <v>24054491</v>
      </c>
      <c r="B295" s="2">
        <v>2405449101</v>
      </c>
      <c r="C295" s="2">
        <v>1</v>
      </c>
      <c r="D295" s="2">
        <v>2010</v>
      </c>
      <c r="E295" s="2">
        <v>1</v>
      </c>
      <c r="F295" s="2">
        <v>1626.55</v>
      </c>
      <c r="G295" s="2">
        <v>766.03</v>
      </c>
      <c r="H295" s="2" t="str">
        <f>VLOOKUP(qhkz_4dqm[[#This Row],[fuel_type]],lookup!A:B,2,FALSE)</f>
        <v>Gasoline</v>
      </c>
      <c r="I295" s="2">
        <f ca="1">YEAR(TODAY())-qhkz_4dqm[[#This Row],[year]]</f>
        <v>16</v>
      </c>
      <c r="J295" s="2" t="str" cm="1">
        <f t="array" aca="1" ref="J295" ca="1">_xlfn.IFS(qhkz_4dqm[[#This Row],[vehicle_age]]&lt;=3,"Newer",qhkz_4dqm[[#This Row],[vehicle_age]]&lt;=9,"Mid-age",qhkz_4dqm[[#This Row],[vehicle_age]]&lt;=19,"Older",qhkz_4dqm[[#This Row],[vehicle_age]]&gt;=20,"Very Old")</f>
        <v>Older</v>
      </c>
    </row>
    <row r="296" spans="1:10">
      <c r="A296" s="2">
        <v>24054633</v>
      </c>
      <c r="B296" s="2">
        <v>2405463301</v>
      </c>
      <c r="C296" s="2">
        <v>1</v>
      </c>
      <c r="D296" s="2">
        <v>2017</v>
      </c>
      <c r="E296" s="2">
        <v>2</v>
      </c>
      <c r="F296" s="2">
        <v>102.3</v>
      </c>
      <c r="G296" s="2">
        <v>253.45</v>
      </c>
      <c r="H296" s="2" t="str">
        <f>VLOOKUP(qhkz_4dqm[[#This Row],[fuel_type]],lookup!A:B,2,FALSE)</f>
        <v>Diesel</v>
      </c>
      <c r="I296" s="2">
        <f ca="1">YEAR(TODAY())-qhkz_4dqm[[#This Row],[year]]</f>
        <v>9</v>
      </c>
      <c r="J296" s="2" t="str" cm="1">
        <f t="array" aca="1" ref="J296" ca="1">_xlfn.IFS(qhkz_4dqm[[#This Row],[vehicle_age]]&lt;=3,"Newer",qhkz_4dqm[[#This Row],[vehicle_age]]&lt;=9,"Mid-age",qhkz_4dqm[[#This Row],[vehicle_age]]&lt;=19,"Older",qhkz_4dqm[[#This Row],[vehicle_age]]&gt;=20,"Very Old")</f>
        <v>Mid-age</v>
      </c>
    </row>
    <row r="297" spans="1:10">
      <c r="A297" s="2">
        <v>24054780</v>
      </c>
      <c r="B297" s="2">
        <v>2405478001</v>
      </c>
      <c r="C297" s="2">
        <v>1</v>
      </c>
      <c r="D297" s="2">
        <v>2018</v>
      </c>
      <c r="E297" s="2">
        <v>2</v>
      </c>
      <c r="F297" s="2">
        <v>1955.75</v>
      </c>
      <c r="G297" s="2">
        <v>799.78</v>
      </c>
      <c r="H297" s="2" t="str">
        <f>VLOOKUP(qhkz_4dqm[[#This Row],[fuel_type]],lookup!A:B,2,FALSE)</f>
        <v>Diesel</v>
      </c>
      <c r="I297" s="2">
        <f ca="1">YEAR(TODAY())-qhkz_4dqm[[#This Row],[year]]</f>
        <v>8</v>
      </c>
      <c r="J297" s="2" t="str" cm="1">
        <f t="array" aca="1" ref="J297" ca="1">_xlfn.IFS(qhkz_4dqm[[#This Row],[vehicle_age]]&lt;=3,"Newer",qhkz_4dqm[[#This Row],[vehicle_age]]&lt;=9,"Mid-age",qhkz_4dqm[[#This Row],[vehicle_age]]&lt;=19,"Older",qhkz_4dqm[[#This Row],[vehicle_age]]&gt;=20,"Very Old")</f>
        <v>Mid-age</v>
      </c>
    </row>
    <row r="298" spans="1:10">
      <c r="A298" s="2">
        <v>24054843</v>
      </c>
      <c r="B298" s="2">
        <v>2405484301</v>
      </c>
      <c r="C298" s="2">
        <v>1</v>
      </c>
      <c r="D298" s="2">
        <v>2014</v>
      </c>
      <c r="E298" s="2">
        <v>1</v>
      </c>
      <c r="F298" s="2">
        <v>770.83</v>
      </c>
      <c r="G298" s="2">
        <v>414.33</v>
      </c>
      <c r="H298" s="2" t="str">
        <f>VLOOKUP(qhkz_4dqm[[#This Row],[fuel_type]],lookup!A:B,2,FALSE)</f>
        <v>Gasoline</v>
      </c>
      <c r="I298" s="2">
        <f ca="1">YEAR(TODAY())-qhkz_4dqm[[#This Row],[year]]</f>
        <v>12</v>
      </c>
      <c r="J298" s="2" t="str" cm="1">
        <f t="array" aca="1" ref="J298" ca="1">_xlfn.IFS(qhkz_4dqm[[#This Row],[vehicle_age]]&lt;=3,"Newer",qhkz_4dqm[[#This Row],[vehicle_age]]&lt;=9,"Mid-age",qhkz_4dqm[[#This Row],[vehicle_age]]&lt;=19,"Older",qhkz_4dqm[[#This Row],[vehicle_age]]&gt;=20,"Very Old")</f>
        <v>Older</v>
      </c>
    </row>
    <row r="299" spans="1:10">
      <c r="A299" s="2">
        <v>24054862</v>
      </c>
      <c r="B299" s="2">
        <v>2405486201</v>
      </c>
      <c r="C299" s="2">
        <v>1</v>
      </c>
      <c r="D299" s="2">
        <v>2009</v>
      </c>
      <c r="E299" s="2">
        <v>1</v>
      </c>
      <c r="F299" s="2">
        <v>793.97</v>
      </c>
      <c r="G299" s="2">
        <v>1630.54</v>
      </c>
      <c r="H299" s="2" t="str">
        <f>VLOOKUP(qhkz_4dqm[[#This Row],[fuel_type]],lookup!A:B,2,FALSE)</f>
        <v>Gasoline</v>
      </c>
      <c r="I299" s="2">
        <f ca="1">YEAR(TODAY())-qhkz_4dqm[[#This Row],[year]]</f>
        <v>17</v>
      </c>
      <c r="J299" s="2" t="str" cm="1">
        <f t="array" aca="1" ref="J299" ca="1">_xlfn.IFS(qhkz_4dqm[[#This Row],[vehicle_age]]&lt;=3,"Newer",qhkz_4dqm[[#This Row],[vehicle_age]]&lt;=9,"Mid-age",qhkz_4dqm[[#This Row],[vehicle_age]]&lt;=19,"Older",qhkz_4dqm[[#This Row],[vehicle_age]]&gt;=20,"Very Old")</f>
        <v>Older</v>
      </c>
    </row>
    <row r="300" spans="1:10">
      <c r="A300" s="2">
        <v>24055171</v>
      </c>
      <c r="B300" s="2">
        <v>2405517101</v>
      </c>
      <c r="C300" s="2">
        <v>1</v>
      </c>
      <c r="D300" s="2">
        <v>2004</v>
      </c>
      <c r="E300" s="2">
        <v>1</v>
      </c>
      <c r="F300" s="2">
        <v>231.86</v>
      </c>
      <c r="G300" s="2">
        <v>638.04</v>
      </c>
      <c r="H300" s="2" t="str">
        <f>VLOOKUP(qhkz_4dqm[[#This Row],[fuel_type]],lookup!A:B,2,FALSE)</f>
        <v>Gasoline</v>
      </c>
      <c r="I300" s="2">
        <f ca="1">YEAR(TODAY())-qhkz_4dqm[[#This Row],[year]]</f>
        <v>22</v>
      </c>
      <c r="J300" s="2" t="str" cm="1">
        <f t="array" aca="1" ref="J300" ca="1">_xlfn.IFS(qhkz_4dqm[[#This Row],[vehicle_age]]&lt;=3,"Newer",qhkz_4dqm[[#This Row],[vehicle_age]]&lt;=9,"Mid-age",qhkz_4dqm[[#This Row],[vehicle_age]]&lt;=19,"Older",qhkz_4dqm[[#This Row],[vehicle_age]]&gt;=20,"Very Old")</f>
        <v>Very Old</v>
      </c>
    </row>
    <row r="301" spans="1:10">
      <c r="A301" s="2">
        <v>24055277</v>
      </c>
      <c r="B301" s="2">
        <v>2405527701</v>
      </c>
      <c r="C301" s="2">
        <v>1</v>
      </c>
      <c r="D301" s="2">
        <v>2015</v>
      </c>
      <c r="E301" s="2">
        <v>1</v>
      </c>
      <c r="F301" s="2">
        <v>3913.56</v>
      </c>
      <c r="G301" s="2">
        <v>588.26</v>
      </c>
      <c r="H301" s="2" t="str">
        <f>VLOOKUP(qhkz_4dqm[[#This Row],[fuel_type]],lookup!A:B,2,FALSE)</f>
        <v>Gasoline</v>
      </c>
      <c r="I301" s="2">
        <f ca="1">YEAR(TODAY())-qhkz_4dqm[[#This Row],[year]]</f>
        <v>11</v>
      </c>
      <c r="J301" s="2" t="str" cm="1">
        <f t="array" aca="1" ref="J301" ca="1">_xlfn.IFS(qhkz_4dqm[[#This Row],[vehicle_age]]&lt;=3,"Newer",qhkz_4dqm[[#This Row],[vehicle_age]]&lt;=9,"Mid-age",qhkz_4dqm[[#This Row],[vehicle_age]]&lt;=19,"Older",qhkz_4dqm[[#This Row],[vehicle_age]]&gt;=20,"Very Old")</f>
        <v>Older</v>
      </c>
    </row>
    <row r="302" spans="1:10">
      <c r="A302" s="2">
        <v>24055462</v>
      </c>
      <c r="B302" s="2">
        <v>2405546201</v>
      </c>
      <c r="C302" s="2">
        <v>1</v>
      </c>
      <c r="D302" s="2">
        <v>2019</v>
      </c>
      <c r="E302" s="2">
        <v>1</v>
      </c>
      <c r="F302" s="2">
        <v>30.08</v>
      </c>
      <c r="G302" s="2">
        <v>280.92</v>
      </c>
      <c r="H302" s="2" t="str">
        <f>VLOOKUP(qhkz_4dqm[[#This Row],[fuel_type]],lookup!A:B,2,FALSE)</f>
        <v>Gasoline</v>
      </c>
      <c r="I302" s="2">
        <f ca="1">YEAR(TODAY())-qhkz_4dqm[[#This Row],[year]]</f>
        <v>7</v>
      </c>
      <c r="J302" s="2" t="str" cm="1">
        <f t="array" aca="1" ref="J302" ca="1">_xlfn.IFS(qhkz_4dqm[[#This Row],[vehicle_age]]&lt;=3,"Newer",qhkz_4dqm[[#This Row],[vehicle_age]]&lt;=9,"Mid-age",qhkz_4dqm[[#This Row],[vehicle_age]]&lt;=19,"Older",qhkz_4dqm[[#This Row],[vehicle_age]]&gt;=20,"Very Old")</f>
        <v>Mid-age</v>
      </c>
    </row>
    <row r="303" spans="1:10">
      <c r="A303" s="2">
        <v>24055591</v>
      </c>
      <c r="B303" s="2">
        <v>2405559101</v>
      </c>
      <c r="C303" s="2">
        <v>1</v>
      </c>
      <c r="D303" s="2">
        <v>2017</v>
      </c>
      <c r="E303" s="2">
        <v>1</v>
      </c>
      <c r="F303" s="2">
        <v>2709.81</v>
      </c>
      <c r="G303" s="2">
        <v>1998.48</v>
      </c>
      <c r="H303" s="2" t="str">
        <f>VLOOKUP(qhkz_4dqm[[#This Row],[fuel_type]],lookup!A:B,2,FALSE)</f>
        <v>Gasoline</v>
      </c>
      <c r="I303" s="2">
        <f ca="1">YEAR(TODAY())-qhkz_4dqm[[#This Row],[year]]</f>
        <v>9</v>
      </c>
      <c r="J303" s="2" t="str" cm="1">
        <f t="array" aca="1" ref="J303" ca="1">_xlfn.IFS(qhkz_4dqm[[#This Row],[vehicle_age]]&lt;=3,"Newer",qhkz_4dqm[[#This Row],[vehicle_age]]&lt;=9,"Mid-age",qhkz_4dqm[[#This Row],[vehicle_age]]&lt;=19,"Older",qhkz_4dqm[[#This Row],[vehicle_age]]&gt;=20,"Very Old")</f>
        <v>Mid-age</v>
      </c>
    </row>
    <row r="304" spans="1:10">
      <c r="A304" s="2">
        <v>24056397</v>
      </c>
      <c r="B304" s="2">
        <v>2405639701</v>
      </c>
      <c r="C304" s="2">
        <v>1</v>
      </c>
      <c r="D304" s="2">
        <v>2020</v>
      </c>
      <c r="E304" s="2">
        <v>1</v>
      </c>
      <c r="F304" s="2">
        <v>3276.86</v>
      </c>
      <c r="G304" s="2">
        <v>2899.52</v>
      </c>
      <c r="H304" s="2" t="str">
        <f>VLOOKUP(qhkz_4dqm[[#This Row],[fuel_type]],lookup!A:B,2,FALSE)</f>
        <v>Gasoline</v>
      </c>
      <c r="I304" s="2">
        <f ca="1">YEAR(TODAY())-qhkz_4dqm[[#This Row],[year]]</f>
        <v>6</v>
      </c>
      <c r="J304" s="2" t="str" cm="1">
        <f t="array" aca="1" ref="J304" ca="1">_xlfn.IFS(qhkz_4dqm[[#This Row],[vehicle_age]]&lt;=3,"Newer",qhkz_4dqm[[#This Row],[vehicle_age]]&lt;=9,"Mid-age",qhkz_4dqm[[#This Row],[vehicle_age]]&lt;=19,"Older",qhkz_4dqm[[#This Row],[vehicle_age]]&gt;=20,"Very Old")</f>
        <v>Mid-age</v>
      </c>
    </row>
    <row r="305" spans="1:10">
      <c r="A305" s="2">
        <v>24056489</v>
      </c>
      <c r="B305" s="2">
        <v>2405648901</v>
      </c>
      <c r="C305" s="2">
        <v>1</v>
      </c>
      <c r="D305" s="2">
        <v>2019</v>
      </c>
      <c r="E305" s="2">
        <v>1</v>
      </c>
      <c r="F305" s="2">
        <v>278.64</v>
      </c>
      <c r="G305" s="2">
        <v>829.48</v>
      </c>
      <c r="H305" s="2" t="str">
        <f>VLOOKUP(qhkz_4dqm[[#This Row],[fuel_type]],lookup!A:B,2,FALSE)</f>
        <v>Gasoline</v>
      </c>
      <c r="I305" s="2">
        <f ca="1">YEAR(TODAY())-qhkz_4dqm[[#This Row],[year]]</f>
        <v>7</v>
      </c>
      <c r="J305" s="2" t="str" cm="1">
        <f t="array" aca="1" ref="J305" ca="1">_xlfn.IFS(qhkz_4dqm[[#This Row],[vehicle_age]]&lt;=3,"Newer",qhkz_4dqm[[#This Row],[vehicle_age]]&lt;=9,"Mid-age",qhkz_4dqm[[#This Row],[vehicle_age]]&lt;=19,"Older",qhkz_4dqm[[#This Row],[vehicle_age]]&gt;=20,"Very Old")</f>
        <v>Mid-age</v>
      </c>
    </row>
    <row r="306" spans="1:10">
      <c r="A306" s="2">
        <v>24056507</v>
      </c>
      <c r="B306" s="2">
        <v>2405650701</v>
      </c>
      <c r="C306" s="2">
        <v>1</v>
      </c>
      <c r="D306" s="2">
        <v>2000</v>
      </c>
      <c r="E306" s="2">
        <v>1</v>
      </c>
      <c r="F306" s="2">
        <v>2027.04</v>
      </c>
      <c r="G306" s="2">
        <v>1476.95</v>
      </c>
      <c r="H306" s="2" t="str">
        <f>VLOOKUP(qhkz_4dqm[[#This Row],[fuel_type]],lookup!A:B,2,FALSE)</f>
        <v>Gasoline</v>
      </c>
      <c r="I306" s="2">
        <f ca="1">YEAR(TODAY())-qhkz_4dqm[[#This Row],[year]]</f>
        <v>26</v>
      </c>
      <c r="J306" s="2" t="str" cm="1">
        <f t="array" aca="1" ref="J306" ca="1">_xlfn.IFS(qhkz_4dqm[[#This Row],[vehicle_age]]&lt;=3,"Newer",qhkz_4dqm[[#This Row],[vehicle_age]]&lt;=9,"Mid-age",qhkz_4dqm[[#This Row],[vehicle_age]]&lt;=19,"Older",qhkz_4dqm[[#This Row],[vehicle_age]]&gt;=20,"Very Old")</f>
        <v>Very Old</v>
      </c>
    </row>
    <row r="307" spans="1:10">
      <c r="A307" s="2">
        <v>24056568</v>
      </c>
      <c r="B307" s="2">
        <v>2405656801</v>
      </c>
      <c r="C307" s="2">
        <v>1</v>
      </c>
      <c r="D307" s="2">
        <v>2017</v>
      </c>
      <c r="E307" s="2">
        <v>1</v>
      </c>
      <c r="F307" s="2">
        <v>954.68</v>
      </c>
      <c r="G307" s="2">
        <v>181.17</v>
      </c>
      <c r="H307" s="2" t="str">
        <f>VLOOKUP(qhkz_4dqm[[#This Row],[fuel_type]],lookup!A:B,2,FALSE)</f>
        <v>Gasoline</v>
      </c>
      <c r="I307" s="2">
        <f ca="1">YEAR(TODAY())-qhkz_4dqm[[#This Row],[year]]</f>
        <v>9</v>
      </c>
      <c r="J307" s="2" t="str" cm="1">
        <f t="array" aca="1" ref="J307" ca="1">_xlfn.IFS(qhkz_4dqm[[#This Row],[vehicle_age]]&lt;=3,"Newer",qhkz_4dqm[[#This Row],[vehicle_age]]&lt;=9,"Mid-age",qhkz_4dqm[[#This Row],[vehicle_age]]&lt;=19,"Older",qhkz_4dqm[[#This Row],[vehicle_age]]&gt;=20,"Very Old")</f>
        <v>Mid-age</v>
      </c>
    </row>
    <row r="308" spans="1:10">
      <c r="A308" s="2">
        <v>24056702</v>
      </c>
      <c r="B308" s="2">
        <v>2405670201</v>
      </c>
      <c r="C308" s="2">
        <v>1</v>
      </c>
      <c r="D308" s="2">
        <v>2006</v>
      </c>
      <c r="E308" s="2">
        <v>1</v>
      </c>
      <c r="F308" s="2">
        <v>2380.98</v>
      </c>
      <c r="G308" s="2">
        <v>1884.38</v>
      </c>
      <c r="H308" s="2" t="str">
        <f>VLOOKUP(qhkz_4dqm[[#This Row],[fuel_type]],lookup!A:B,2,FALSE)</f>
        <v>Gasoline</v>
      </c>
      <c r="I308" s="2">
        <f ca="1">YEAR(TODAY())-qhkz_4dqm[[#This Row],[year]]</f>
        <v>20</v>
      </c>
      <c r="J308" s="2" t="str" cm="1">
        <f t="array" aca="1" ref="J308" ca="1">_xlfn.IFS(qhkz_4dqm[[#This Row],[vehicle_age]]&lt;=3,"Newer",qhkz_4dqm[[#This Row],[vehicle_age]]&lt;=9,"Mid-age",qhkz_4dqm[[#This Row],[vehicle_age]]&lt;=19,"Older",qhkz_4dqm[[#This Row],[vehicle_age]]&gt;=20,"Very Old")</f>
        <v>Very Old</v>
      </c>
    </row>
    <row r="309" spans="1:10">
      <c r="A309" s="2">
        <v>24056977</v>
      </c>
      <c r="B309" s="2">
        <v>2405697701</v>
      </c>
      <c r="C309" s="2">
        <v>1</v>
      </c>
      <c r="D309" s="2">
        <v>2013</v>
      </c>
      <c r="E309" s="2">
        <v>6</v>
      </c>
      <c r="F309" s="2">
        <v>1056.01</v>
      </c>
      <c r="G309" s="2">
        <v>1469.97</v>
      </c>
      <c r="H309" s="2" t="str">
        <f>VLOOKUP(qhkz_4dqm[[#This Row],[fuel_type]],lookup!A:B,2,FALSE)</f>
        <v>Other</v>
      </c>
      <c r="I309" s="2">
        <f ca="1">YEAR(TODAY())-qhkz_4dqm[[#This Row],[year]]</f>
        <v>13</v>
      </c>
      <c r="J309" s="2" t="str" cm="1">
        <f t="array" aca="1" ref="J309" ca="1">_xlfn.IFS(qhkz_4dqm[[#This Row],[vehicle_age]]&lt;=3,"Newer",qhkz_4dqm[[#This Row],[vehicle_age]]&lt;=9,"Mid-age",qhkz_4dqm[[#This Row],[vehicle_age]]&lt;=19,"Older",qhkz_4dqm[[#This Row],[vehicle_age]]&gt;=20,"Very Old")</f>
        <v>Older</v>
      </c>
    </row>
    <row r="310" spans="1:10">
      <c r="A310" s="2">
        <v>24057334</v>
      </c>
      <c r="B310" s="2">
        <v>2405733401</v>
      </c>
      <c r="C310" s="2">
        <v>1</v>
      </c>
      <c r="D310" s="2">
        <v>2018</v>
      </c>
      <c r="E310" s="2">
        <v>1</v>
      </c>
      <c r="F310" s="2">
        <v>3401.15</v>
      </c>
      <c r="G310" s="2">
        <v>840.13</v>
      </c>
      <c r="H310" s="2" t="str">
        <f>VLOOKUP(qhkz_4dqm[[#This Row],[fuel_type]],lookup!A:B,2,FALSE)</f>
        <v>Gasoline</v>
      </c>
      <c r="I310" s="2">
        <f ca="1">YEAR(TODAY())-qhkz_4dqm[[#This Row],[year]]</f>
        <v>8</v>
      </c>
      <c r="J310" s="2" t="str" cm="1">
        <f t="array" aca="1" ref="J310" ca="1">_xlfn.IFS(qhkz_4dqm[[#This Row],[vehicle_age]]&lt;=3,"Newer",qhkz_4dqm[[#This Row],[vehicle_age]]&lt;=9,"Mid-age",qhkz_4dqm[[#This Row],[vehicle_age]]&lt;=19,"Older",qhkz_4dqm[[#This Row],[vehicle_age]]&gt;=20,"Very Old")</f>
        <v>Mid-age</v>
      </c>
    </row>
    <row r="311" spans="1:10">
      <c r="A311" s="2">
        <v>24057452</v>
      </c>
      <c r="B311" s="2">
        <v>2405745201</v>
      </c>
      <c r="C311" s="2">
        <v>1</v>
      </c>
      <c r="D311" s="2">
        <v>2019</v>
      </c>
      <c r="E311" s="2">
        <v>1</v>
      </c>
      <c r="F311" s="2">
        <v>2263.15</v>
      </c>
      <c r="G311" s="2">
        <v>1170.03</v>
      </c>
      <c r="H311" s="2" t="str">
        <f>VLOOKUP(qhkz_4dqm[[#This Row],[fuel_type]],lookup!A:B,2,FALSE)</f>
        <v>Gasoline</v>
      </c>
      <c r="I311" s="2">
        <f ca="1">YEAR(TODAY())-qhkz_4dqm[[#This Row],[year]]</f>
        <v>7</v>
      </c>
      <c r="J311" s="2" t="str" cm="1">
        <f t="array" aca="1" ref="J311" ca="1">_xlfn.IFS(qhkz_4dqm[[#This Row],[vehicle_age]]&lt;=3,"Newer",qhkz_4dqm[[#This Row],[vehicle_age]]&lt;=9,"Mid-age",qhkz_4dqm[[#This Row],[vehicle_age]]&lt;=19,"Older",qhkz_4dqm[[#This Row],[vehicle_age]]&gt;=20,"Very Old")</f>
        <v>Mid-age</v>
      </c>
    </row>
    <row r="312" spans="1:10">
      <c r="A312" s="2">
        <v>24057540</v>
      </c>
      <c r="B312" s="2">
        <v>2405754001</v>
      </c>
      <c r="C312" s="2">
        <v>1</v>
      </c>
      <c r="D312" s="2">
        <v>2017</v>
      </c>
      <c r="E312" s="2">
        <v>1</v>
      </c>
      <c r="F312" s="2">
        <v>52.8</v>
      </c>
      <c r="G312" s="2">
        <v>202</v>
      </c>
      <c r="H312" s="2" t="str">
        <f>VLOOKUP(qhkz_4dqm[[#This Row],[fuel_type]],lookup!A:B,2,FALSE)</f>
        <v>Gasoline</v>
      </c>
      <c r="I312" s="2">
        <f ca="1">YEAR(TODAY())-qhkz_4dqm[[#This Row],[year]]</f>
        <v>9</v>
      </c>
      <c r="J312" s="2" t="str" cm="1">
        <f t="array" aca="1" ref="J312" ca="1">_xlfn.IFS(qhkz_4dqm[[#This Row],[vehicle_age]]&lt;=3,"Newer",qhkz_4dqm[[#This Row],[vehicle_age]]&lt;=9,"Mid-age",qhkz_4dqm[[#This Row],[vehicle_age]]&lt;=19,"Older",qhkz_4dqm[[#This Row],[vehicle_age]]&gt;=20,"Very Old")</f>
        <v>Mid-age</v>
      </c>
    </row>
    <row r="313" spans="1:10">
      <c r="A313" s="2">
        <v>24058022</v>
      </c>
      <c r="B313" s="2">
        <v>2405802201</v>
      </c>
      <c r="C313" s="2">
        <v>1</v>
      </c>
      <c r="D313" s="2">
        <v>2023</v>
      </c>
      <c r="E313" s="2">
        <v>4</v>
      </c>
      <c r="F313" s="2">
        <v>141.37</v>
      </c>
      <c r="G313" s="2">
        <v>420.99</v>
      </c>
      <c r="H313" s="2" t="str">
        <f>VLOOKUP(qhkz_4dqm[[#This Row],[fuel_type]],lookup!A:B,2,FALSE)</f>
        <v>Electric</v>
      </c>
      <c r="I313" s="2">
        <f ca="1">YEAR(TODAY())-qhkz_4dqm[[#This Row],[year]]</f>
        <v>3</v>
      </c>
      <c r="J313" s="2" t="str" cm="1">
        <f t="array" aca="1" ref="J313" ca="1">_xlfn.IFS(qhkz_4dqm[[#This Row],[vehicle_age]]&lt;=3,"Newer",qhkz_4dqm[[#This Row],[vehicle_age]]&lt;=9,"Mid-age",qhkz_4dqm[[#This Row],[vehicle_age]]&lt;=19,"Older",qhkz_4dqm[[#This Row],[vehicle_age]]&gt;=20,"Very Old")</f>
        <v>Newer</v>
      </c>
    </row>
    <row r="314" spans="1:10">
      <c r="A314" s="2">
        <v>24058063</v>
      </c>
      <c r="B314" s="2">
        <v>2405806301</v>
      </c>
      <c r="C314" s="2">
        <v>1</v>
      </c>
      <c r="D314" s="2">
        <v>2024</v>
      </c>
      <c r="E314" s="2">
        <v>1</v>
      </c>
      <c r="F314" s="2">
        <v>3.95</v>
      </c>
      <c r="G314" s="2">
        <v>400.3</v>
      </c>
      <c r="H314" s="2" t="str">
        <f>VLOOKUP(qhkz_4dqm[[#This Row],[fuel_type]],lookup!A:B,2,FALSE)</f>
        <v>Gasoline</v>
      </c>
      <c r="I314" s="2">
        <f ca="1">YEAR(TODAY())-qhkz_4dqm[[#This Row],[year]]</f>
        <v>2</v>
      </c>
      <c r="J314" s="2" t="str" cm="1">
        <f t="array" aca="1" ref="J314" ca="1">_xlfn.IFS(qhkz_4dqm[[#This Row],[vehicle_age]]&lt;=3,"Newer",qhkz_4dqm[[#This Row],[vehicle_age]]&lt;=9,"Mid-age",qhkz_4dqm[[#This Row],[vehicle_age]]&lt;=19,"Older",qhkz_4dqm[[#This Row],[vehicle_age]]&gt;=20,"Very Old")</f>
        <v>Newer</v>
      </c>
    </row>
    <row r="315" spans="1:10">
      <c r="A315" s="2">
        <v>24058123</v>
      </c>
      <c r="B315" s="2">
        <v>2405812301</v>
      </c>
      <c r="C315" s="2">
        <v>1</v>
      </c>
      <c r="D315" s="2">
        <v>2017</v>
      </c>
      <c r="E315" s="2">
        <v>1</v>
      </c>
      <c r="F315" s="2">
        <v>2.5299999999999998</v>
      </c>
      <c r="G315" s="2">
        <v>197.78</v>
      </c>
      <c r="H315" s="2" t="str">
        <f>VLOOKUP(qhkz_4dqm[[#This Row],[fuel_type]],lookup!A:B,2,FALSE)</f>
        <v>Gasoline</v>
      </c>
      <c r="I315" s="2">
        <f ca="1">YEAR(TODAY())-qhkz_4dqm[[#This Row],[year]]</f>
        <v>9</v>
      </c>
      <c r="J315" s="2" t="str" cm="1">
        <f t="array" aca="1" ref="J315" ca="1">_xlfn.IFS(qhkz_4dqm[[#This Row],[vehicle_age]]&lt;=3,"Newer",qhkz_4dqm[[#This Row],[vehicle_age]]&lt;=9,"Mid-age",qhkz_4dqm[[#This Row],[vehicle_age]]&lt;=19,"Older",qhkz_4dqm[[#This Row],[vehicle_age]]&gt;=20,"Very Old")</f>
        <v>Mid-age</v>
      </c>
    </row>
    <row r="316" spans="1:10">
      <c r="A316" s="2">
        <v>24058231</v>
      </c>
      <c r="B316" s="2">
        <v>2405823101</v>
      </c>
      <c r="C316" s="2">
        <v>1</v>
      </c>
      <c r="D316" s="2">
        <v>2018</v>
      </c>
      <c r="E316" s="2">
        <v>1</v>
      </c>
      <c r="F316" s="2">
        <v>2515.96</v>
      </c>
      <c r="G316" s="2">
        <v>3064.51</v>
      </c>
      <c r="H316" s="2" t="str">
        <f>VLOOKUP(qhkz_4dqm[[#This Row],[fuel_type]],lookup!A:B,2,FALSE)</f>
        <v>Gasoline</v>
      </c>
      <c r="I316" s="2">
        <f ca="1">YEAR(TODAY())-qhkz_4dqm[[#This Row],[year]]</f>
        <v>8</v>
      </c>
      <c r="J316" s="2" t="str" cm="1">
        <f t="array" aca="1" ref="J316" ca="1">_xlfn.IFS(qhkz_4dqm[[#This Row],[vehicle_age]]&lt;=3,"Newer",qhkz_4dqm[[#This Row],[vehicle_age]]&lt;=9,"Mid-age",qhkz_4dqm[[#This Row],[vehicle_age]]&lt;=19,"Older",qhkz_4dqm[[#This Row],[vehicle_age]]&gt;=20,"Very Old")</f>
        <v>Mid-age</v>
      </c>
    </row>
    <row r="317" spans="1:10">
      <c r="A317" s="2">
        <v>24058323</v>
      </c>
      <c r="B317" s="2">
        <v>2405832301</v>
      </c>
      <c r="C317" s="2">
        <v>1</v>
      </c>
      <c r="D317" s="2">
        <v>2013</v>
      </c>
      <c r="E317" s="2">
        <v>1</v>
      </c>
      <c r="F317" s="2">
        <v>91.05</v>
      </c>
      <c r="G317" s="2">
        <v>899.53</v>
      </c>
      <c r="H317" s="2" t="str">
        <f>VLOOKUP(qhkz_4dqm[[#This Row],[fuel_type]],lookup!A:B,2,FALSE)</f>
        <v>Gasoline</v>
      </c>
      <c r="I317" s="2">
        <f ca="1">YEAR(TODAY())-qhkz_4dqm[[#This Row],[year]]</f>
        <v>13</v>
      </c>
      <c r="J317" s="2" t="str" cm="1">
        <f t="array" aca="1" ref="J317" ca="1">_xlfn.IFS(qhkz_4dqm[[#This Row],[vehicle_age]]&lt;=3,"Newer",qhkz_4dqm[[#This Row],[vehicle_age]]&lt;=9,"Mid-age",qhkz_4dqm[[#This Row],[vehicle_age]]&lt;=19,"Older",qhkz_4dqm[[#This Row],[vehicle_age]]&gt;=20,"Very Old")</f>
        <v>Older</v>
      </c>
    </row>
    <row r="318" spans="1:10">
      <c r="A318" s="2">
        <v>24058408</v>
      </c>
      <c r="B318" s="2">
        <v>2405840801</v>
      </c>
      <c r="C318" s="2">
        <v>1</v>
      </c>
      <c r="D318" s="2">
        <v>2010</v>
      </c>
      <c r="E318" s="2">
        <v>1</v>
      </c>
      <c r="F318" s="2">
        <v>14972.44</v>
      </c>
      <c r="G318" s="2">
        <v>7556.42</v>
      </c>
      <c r="H318" s="2" t="str">
        <f>VLOOKUP(qhkz_4dqm[[#This Row],[fuel_type]],lookup!A:B,2,FALSE)</f>
        <v>Gasoline</v>
      </c>
      <c r="I318" s="2">
        <f ca="1">YEAR(TODAY())-qhkz_4dqm[[#This Row],[year]]</f>
        <v>16</v>
      </c>
      <c r="J318" s="2" t="str" cm="1">
        <f t="array" aca="1" ref="J318" ca="1">_xlfn.IFS(qhkz_4dqm[[#This Row],[vehicle_age]]&lt;=3,"Newer",qhkz_4dqm[[#This Row],[vehicle_age]]&lt;=9,"Mid-age",qhkz_4dqm[[#This Row],[vehicle_age]]&lt;=19,"Older",qhkz_4dqm[[#This Row],[vehicle_age]]&gt;=20,"Very Old")</f>
        <v>Older</v>
      </c>
    </row>
    <row r="319" spans="1:10">
      <c r="A319" s="2">
        <v>24058590</v>
      </c>
      <c r="B319" s="2">
        <v>2405859001</v>
      </c>
      <c r="C319" s="2">
        <v>1</v>
      </c>
      <c r="D319" s="2">
        <v>2023</v>
      </c>
      <c r="E319" s="2">
        <v>1</v>
      </c>
      <c r="F319" s="2">
        <v>910.75</v>
      </c>
      <c r="G319" s="2">
        <v>238.27</v>
      </c>
      <c r="H319" s="2" t="str">
        <f>VLOOKUP(qhkz_4dqm[[#This Row],[fuel_type]],lookup!A:B,2,FALSE)</f>
        <v>Gasoline</v>
      </c>
      <c r="I319" s="2">
        <f ca="1">YEAR(TODAY())-qhkz_4dqm[[#This Row],[year]]</f>
        <v>3</v>
      </c>
      <c r="J319" s="2" t="str" cm="1">
        <f t="array" aca="1" ref="J319" ca="1">_xlfn.IFS(qhkz_4dqm[[#This Row],[vehicle_age]]&lt;=3,"Newer",qhkz_4dqm[[#This Row],[vehicle_age]]&lt;=9,"Mid-age",qhkz_4dqm[[#This Row],[vehicle_age]]&lt;=19,"Older",qhkz_4dqm[[#This Row],[vehicle_age]]&gt;=20,"Very Old")</f>
        <v>Newer</v>
      </c>
    </row>
    <row r="320" spans="1:10">
      <c r="A320" s="2">
        <v>24058845</v>
      </c>
      <c r="B320" s="2">
        <v>2405884501</v>
      </c>
      <c r="C320" s="2">
        <v>1</v>
      </c>
      <c r="D320" s="2">
        <v>2011</v>
      </c>
      <c r="E320" s="2">
        <v>1</v>
      </c>
      <c r="F320" s="2">
        <v>254.14</v>
      </c>
      <c r="G320" s="2">
        <v>971.15</v>
      </c>
      <c r="H320" s="2" t="str">
        <f>VLOOKUP(qhkz_4dqm[[#This Row],[fuel_type]],lookup!A:B,2,FALSE)</f>
        <v>Gasoline</v>
      </c>
      <c r="I320" s="2">
        <f ca="1">YEAR(TODAY())-qhkz_4dqm[[#This Row],[year]]</f>
        <v>15</v>
      </c>
      <c r="J320" s="2" t="str" cm="1">
        <f t="array" aca="1" ref="J320" ca="1">_xlfn.IFS(qhkz_4dqm[[#This Row],[vehicle_age]]&lt;=3,"Newer",qhkz_4dqm[[#This Row],[vehicle_age]]&lt;=9,"Mid-age",qhkz_4dqm[[#This Row],[vehicle_age]]&lt;=19,"Older",qhkz_4dqm[[#This Row],[vehicle_age]]&gt;=20,"Very Old")</f>
        <v>Older</v>
      </c>
    </row>
    <row r="321" spans="1:10">
      <c r="A321" s="2">
        <v>24059066</v>
      </c>
      <c r="B321" s="2">
        <v>2405906601</v>
      </c>
      <c r="C321" s="2">
        <v>1</v>
      </c>
      <c r="D321" s="2">
        <v>2019</v>
      </c>
      <c r="E321" s="2">
        <v>1</v>
      </c>
      <c r="F321" s="2">
        <v>2027.36</v>
      </c>
      <c r="G321" s="2">
        <v>1382.71</v>
      </c>
      <c r="H321" s="2" t="str">
        <f>VLOOKUP(qhkz_4dqm[[#This Row],[fuel_type]],lookup!A:B,2,FALSE)</f>
        <v>Gasoline</v>
      </c>
      <c r="I321" s="2">
        <f ca="1">YEAR(TODAY())-qhkz_4dqm[[#This Row],[year]]</f>
        <v>7</v>
      </c>
      <c r="J321" s="2" t="str" cm="1">
        <f t="array" aca="1" ref="J321" ca="1">_xlfn.IFS(qhkz_4dqm[[#This Row],[vehicle_age]]&lt;=3,"Newer",qhkz_4dqm[[#This Row],[vehicle_age]]&lt;=9,"Mid-age",qhkz_4dqm[[#This Row],[vehicle_age]]&lt;=19,"Older",qhkz_4dqm[[#This Row],[vehicle_age]]&gt;=20,"Very Old")</f>
        <v>Mid-age</v>
      </c>
    </row>
    <row r="322" spans="1:10">
      <c r="A322" s="2">
        <v>24059115</v>
      </c>
      <c r="B322" s="2">
        <v>2405911501</v>
      </c>
      <c r="C322" s="2">
        <v>1</v>
      </c>
      <c r="D322" s="2">
        <v>2019</v>
      </c>
      <c r="E322" s="2">
        <v>1</v>
      </c>
      <c r="F322" s="2">
        <v>569.62</v>
      </c>
      <c r="G322" s="2">
        <v>544.94000000000005</v>
      </c>
      <c r="H322" s="2" t="str">
        <f>VLOOKUP(qhkz_4dqm[[#This Row],[fuel_type]],lookup!A:B,2,FALSE)</f>
        <v>Gasoline</v>
      </c>
      <c r="I322" s="2">
        <f ca="1">YEAR(TODAY())-qhkz_4dqm[[#This Row],[year]]</f>
        <v>7</v>
      </c>
      <c r="J322" s="2" t="str" cm="1">
        <f t="array" aca="1" ref="J322" ca="1">_xlfn.IFS(qhkz_4dqm[[#This Row],[vehicle_age]]&lt;=3,"Newer",qhkz_4dqm[[#This Row],[vehicle_age]]&lt;=9,"Mid-age",qhkz_4dqm[[#This Row],[vehicle_age]]&lt;=19,"Older",qhkz_4dqm[[#This Row],[vehicle_age]]&gt;=20,"Very Old")</f>
        <v>Mid-age</v>
      </c>
    </row>
    <row r="323" spans="1:10">
      <c r="A323" s="2">
        <v>24059128</v>
      </c>
      <c r="B323" s="2">
        <v>2405912801</v>
      </c>
      <c r="C323" s="2">
        <v>1</v>
      </c>
      <c r="D323" s="2">
        <v>2007</v>
      </c>
      <c r="E323" s="2">
        <v>1</v>
      </c>
      <c r="F323" s="2">
        <v>4992.9399999999996</v>
      </c>
      <c r="G323" s="2">
        <v>3175.91</v>
      </c>
      <c r="H323" s="2" t="str">
        <f>VLOOKUP(qhkz_4dqm[[#This Row],[fuel_type]],lookup!A:B,2,FALSE)</f>
        <v>Gasoline</v>
      </c>
      <c r="I323" s="2">
        <f ca="1">YEAR(TODAY())-qhkz_4dqm[[#This Row],[year]]</f>
        <v>19</v>
      </c>
      <c r="J323" s="2" t="str" cm="1">
        <f t="array" aca="1" ref="J323" ca="1">_xlfn.IFS(qhkz_4dqm[[#This Row],[vehicle_age]]&lt;=3,"Newer",qhkz_4dqm[[#This Row],[vehicle_age]]&lt;=9,"Mid-age",qhkz_4dqm[[#This Row],[vehicle_age]]&lt;=19,"Older",qhkz_4dqm[[#This Row],[vehicle_age]]&gt;=20,"Very Old")</f>
        <v>Older</v>
      </c>
    </row>
    <row r="324" spans="1:10">
      <c r="A324" s="2">
        <v>24059141</v>
      </c>
      <c r="B324" s="2">
        <v>2405914101</v>
      </c>
      <c r="C324" s="2">
        <v>1</v>
      </c>
      <c r="D324" s="2">
        <v>2012</v>
      </c>
      <c r="E324" s="2">
        <v>1</v>
      </c>
      <c r="F324" s="2">
        <v>7482.35</v>
      </c>
      <c r="G324" s="2">
        <v>4309.71</v>
      </c>
      <c r="H324" s="2" t="str">
        <f>VLOOKUP(qhkz_4dqm[[#This Row],[fuel_type]],lookup!A:B,2,FALSE)</f>
        <v>Gasoline</v>
      </c>
      <c r="I324" s="2">
        <f ca="1">YEAR(TODAY())-qhkz_4dqm[[#This Row],[year]]</f>
        <v>14</v>
      </c>
      <c r="J324" s="2" t="str" cm="1">
        <f t="array" aca="1" ref="J324" ca="1">_xlfn.IFS(qhkz_4dqm[[#This Row],[vehicle_age]]&lt;=3,"Newer",qhkz_4dqm[[#This Row],[vehicle_age]]&lt;=9,"Mid-age",qhkz_4dqm[[#This Row],[vehicle_age]]&lt;=19,"Older",qhkz_4dqm[[#This Row],[vehicle_age]]&gt;=20,"Very Old")</f>
        <v>Older</v>
      </c>
    </row>
    <row r="325" spans="1:10">
      <c r="A325" s="2">
        <v>24059369</v>
      </c>
      <c r="B325" s="2">
        <v>2405936901</v>
      </c>
      <c r="C325" s="2">
        <v>1</v>
      </c>
      <c r="D325" s="2">
        <v>2024</v>
      </c>
      <c r="E325" s="2">
        <v>1</v>
      </c>
      <c r="F325" s="2">
        <v>7014.38</v>
      </c>
      <c r="G325" s="2">
        <v>4760.8999999999996</v>
      </c>
      <c r="H325" s="2" t="str">
        <f>VLOOKUP(qhkz_4dqm[[#This Row],[fuel_type]],lookup!A:B,2,FALSE)</f>
        <v>Gasoline</v>
      </c>
      <c r="I325" s="2">
        <f ca="1">YEAR(TODAY())-qhkz_4dqm[[#This Row],[year]]</f>
        <v>2</v>
      </c>
      <c r="J325" s="2" t="str" cm="1">
        <f t="array" aca="1" ref="J325" ca="1">_xlfn.IFS(qhkz_4dqm[[#This Row],[vehicle_age]]&lt;=3,"Newer",qhkz_4dqm[[#This Row],[vehicle_age]]&lt;=9,"Mid-age",qhkz_4dqm[[#This Row],[vehicle_age]]&lt;=19,"Older",qhkz_4dqm[[#This Row],[vehicle_age]]&gt;=20,"Very Old")</f>
        <v>Newer</v>
      </c>
    </row>
    <row r="326" spans="1:10">
      <c r="A326" s="2">
        <v>24059423</v>
      </c>
      <c r="B326" s="2">
        <v>2405942301</v>
      </c>
      <c r="C326" s="2">
        <v>1</v>
      </c>
      <c r="D326" s="2">
        <v>2023</v>
      </c>
      <c r="E326" s="2">
        <v>1</v>
      </c>
      <c r="F326" s="2">
        <v>305.20999999999998</v>
      </c>
      <c r="G326" s="2">
        <v>1496.83</v>
      </c>
      <c r="H326" s="2" t="str">
        <f>VLOOKUP(qhkz_4dqm[[#This Row],[fuel_type]],lookup!A:B,2,FALSE)</f>
        <v>Gasoline</v>
      </c>
      <c r="I326" s="2">
        <f ca="1">YEAR(TODAY())-qhkz_4dqm[[#This Row],[year]]</f>
        <v>3</v>
      </c>
      <c r="J326" s="2" t="str" cm="1">
        <f t="array" aca="1" ref="J326" ca="1">_xlfn.IFS(qhkz_4dqm[[#This Row],[vehicle_age]]&lt;=3,"Newer",qhkz_4dqm[[#This Row],[vehicle_age]]&lt;=9,"Mid-age",qhkz_4dqm[[#This Row],[vehicle_age]]&lt;=19,"Older",qhkz_4dqm[[#This Row],[vehicle_age]]&gt;=20,"Very Old")</f>
        <v>Newer</v>
      </c>
    </row>
    <row r="327" spans="1:10">
      <c r="A327" s="2">
        <v>24059489</v>
      </c>
      <c r="B327" s="2">
        <v>2405948901</v>
      </c>
      <c r="C327" s="2">
        <v>1</v>
      </c>
      <c r="D327" s="2">
        <v>2016</v>
      </c>
      <c r="E327" s="2">
        <v>1</v>
      </c>
      <c r="F327" s="2">
        <v>562.95000000000005</v>
      </c>
      <c r="G327" s="2">
        <v>1007.87</v>
      </c>
      <c r="H327" s="2" t="str">
        <f>VLOOKUP(qhkz_4dqm[[#This Row],[fuel_type]],lookup!A:B,2,FALSE)</f>
        <v>Gasoline</v>
      </c>
      <c r="I327" s="2">
        <f ca="1">YEAR(TODAY())-qhkz_4dqm[[#This Row],[year]]</f>
        <v>10</v>
      </c>
      <c r="J327" s="2" t="str" cm="1">
        <f t="array" aca="1" ref="J327" ca="1">_xlfn.IFS(qhkz_4dqm[[#This Row],[vehicle_age]]&lt;=3,"Newer",qhkz_4dqm[[#This Row],[vehicle_age]]&lt;=9,"Mid-age",qhkz_4dqm[[#This Row],[vehicle_age]]&lt;=19,"Older",qhkz_4dqm[[#This Row],[vehicle_age]]&gt;=20,"Very Old")</f>
        <v>Older</v>
      </c>
    </row>
    <row r="328" spans="1:10">
      <c r="A328" s="2">
        <v>24059569</v>
      </c>
      <c r="B328" s="2">
        <v>2405956901</v>
      </c>
      <c r="C328" s="2">
        <v>1</v>
      </c>
      <c r="D328" s="2">
        <v>2015</v>
      </c>
      <c r="E328" s="2">
        <v>1</v>
      </c>
      <c r="F328" s="2">
        <v>38.549999999999997</v>
      </c>
      <c r="G328" s="2">
        <v>489.51</v>
      </c>
      <c r="H328" s="2" t="str">
        <f>VLOOKUP(qhkz_4dqm[[#This Row],[fuel_type]],lookup!A:B,2,FALSE)</f>
        <v>Gasoline</v>
      </c>
      <c r="I328" s="2">
        <f ca="1">YEAR(TODAY())-qhkz_4dqm[[#This Row],[year]]</f>
        <v>11</v>
      </c>
      <c r="J328" s="2" t="str" cm="1">
        <f t="array" aca="1" ref="J328" ca="1">_xlfn.IFS(qhkz_4dqm[[#This Row],[vehicle_age]]&lt;=3,"Newer",qhkz_4dqm[[#This Row],[vehicle_age]]&lt;=9,"Mid-age",qhkz_4dqm[[#This Row],[vehicle_age]]&lt;=19,"Older",qhkz_4dqm[[#This Row],[vehicle_age]]&gt;=20,"Very Old")</f>
        <v>Older</v>
      </c>
    </row>
    <row r="329" spans="1:10">
      <c r="A329" s="2">
        <v>24059594</v>
      </c>
      <c r="B329" s="2">
        <v>2405959401</v>
      </c>
      <c r="C329" s="2">
        <v>1</v>
      </c>
      <c r="D329" s="2">
        <v>2022</v>
      </c>
      <c r="E329" s="2">
        <v>1</v>
      </c>
      <c r="F329" s="2">
        <v>1690.37</v>
      </c>
      <c r="G329" s="2">
        <v>2561.5500000000002</v>
      </c>
      <c r="H329" s="2" t="str">
        <f>VLOOKUP(qhkz_4dqm[[#This Row],[fuel_type]],lookup!A:B,2,FALSE)</f>
        <v>Gasoline</v>
      </c>
      <c r="I329" s="2">
        <f ca="1">YEAR(TODAY())-qhkz_4dqm[[#This Row],[year]]</f>
        <v>4</v>
      </c>
      <c r="J329" s="2" t="str" cm="1">
        <f t="array" aca="1" ref="J329" ca="1">_xlfn.IFS(qhkz_4dqm[[#This Row],[vehicle_age]]&lt;=3,"Newer",qhkz_4dqm[[#This Row],[vehicle_age]]&lt;=9,"Mid-age",qhkz_4dqm[[#This Row],[vehicle_age]]&lt;=19,"Older",qhkz_4dqm[[#This Row],[vehicle_age]]&gt;=20,"Very Old")</f>
        <v>Mid-age</v>
      </c>
    </row>
    <row r="330" spans="1:10">
      <c r="A330" s="2">
        <v>24059599</v>
      </c>
      <c r="B330" s="2">
        <v>2405959901</v>
      </c>
      <c r="C330" s="2">
        <v>1</v>
      </c>
      <c r="D330" s="2">
        <v>2022</v>
      </c>
      <c r="E330" s="2">
        <v>2</v>
      </c>
      <c r="F330" s="2">
        <v>10.43</v>
      </c>
      <c r="G330" s="2">
        <v>418.05</v>
      </c>
      <c r="H330" s="2" t="str">
        <f>VLOOKUP(qhkz_4dqm[[#This Row],[fuel_type]],lookup!A:B,2,FALSE)</f>
        <v>Diesel</v>
      </c>
      <c r="I330" s="2">
        <f ca="1">YEAR(TODAY())-qhkz_4dqm[[#This Row],[year]]</f>
        <v>4</v>
      </c>
      <c r="J330" s="2" t="str" cm="1">
        <f t="array" aca="1" ref="J330" ca="1">_xlfn.IFS(qhkz_4dqm[[#This Row],[vehicle_age]]&lt;=3,"Newer",qhkz_4dqm[[#This Row],[vehicle_age]]&lt;=9,"Mid-age",qhkz_4dqm[[#This Row],[vehicle_age]]&lt;=19,"Older",qhkz_4dqm[[#This Row],[vehicle_age]]&gt;=20,"Very Old")</f>
        <v>Mid-age</v>
      </c>
    </row>
    <row r="331" spans="1:10">
      <c r="A331" s="2">
        <v>24059645</v>
      </c>
      <c r="B331" s="2">
        <v>2405964501</v>
      </c>
      <c r="C331" s="2">
        <v>1</v>
      </c>
      <c r="D331" s="2">
        <v>2019</v>
      </c>
      <c r="E331" s="2">
        <v>1</v>
      </c>
      <c r="F331" s="2">
        <v>71.83</v>
      </c>
      <c r="G331" s="2">
        <v>698.78</v>
      </c>
      <c r="H331" s="2" t="str">
        <f>VLOOKUP(qhkz_4dqm[[#This Row],[fuel_type]],lookup!A:B,2,FALSE)</f>
        <v>Gasoline</v>
      </c>
      <c r="I331" s="2">
        <f ca="1">YEAR(TODAY())-qhkz_4dqm[[#This Row],[year]]</f>
        <v>7</v>
      </c>
      <c r="J331" s="2" t="str" cm="1">
        <f t="array" aca="1" ref="J331" ca="1">_xlfn.IFS(qhkz_4dqm[[#This Row],[vehicle_age]]&lt;=3,"Newer",qhkz_4dqm[[#This Row],[vehicle_age]]&lt;=9,"Mid-age",qhkz_4dqm[[#This Row],[vehicle_age]]&lt;=19,"Older",qhkz_4dqm[[#This Row],[vehicle_age]]&gt;=20,"Very Old")</f>
        <v>Mid-age</v>
      </c>
    </row>
    <row r="332" spans="1:10">
      <c r="A332" s="2">
        <v>24059806</v>
      </c>
      <c r="B332" s="2">
        <v>2405980601</v>
      </c>
      <c r="C332" s="2">
        <v>1</v>
      </c>
      <c r="D332" s="2">
        <v>2023</v>
      </c>
      <c r="E332" s="2">
        <v>1</v>
      </c>
      <c r="F332" s="2">
        <v>3229.86</v>
      </c>
      <c r="G332" s="2">
        <v>1074.17</v>
      </c>
      <c r="H332" s="2" t="str">
        <f>VLOOKUP(qhkz_4dqm[[#This Row],[fuel_type]],lookup!A:B,2,FALSE)</f>
        <v>Gasoline</v>
      </c>
      <c r="I332" s="2">
        <f ca="1">YEAR(TODAY())-qhkz_4dqm[[#This Row],[year]]</f>
        <v>3</v>
      </c>
      <c r="J332" s="2" t="str" cm="1">
        <f t="array" aca="1" ref="J332" ca="1">_xlfn.IFS(qhkz_4dqm[[#This Row],[vehicle_age]]&lt;=3,"Newer",qhkz_4dqm[[#This Row],[vehicle_age]]&lt;=9,"Mid-age",qhkz_4dqm[[#This Row],[vehicle_age]]&lt;=19,"Older",qhkz_4dqm[[#This Row],[vehicle_age]]&gt;=20,"Very Old")</f>
        <v>Newer</v>
      </c>
    </row>
    <row r="333" spans="1:10">
      <c r="A333" s="2">
        <v>24060130</v>
      </c>
      <c r="B333" s="2">
        <v>2406013001</v>
      </c>
      <c r="C333" s="2">
        <v>1</v>
      </c>
      <c r="D333" s="2">
        <v>2021</v>
      </c>
      <c r="E333" s="2">
        <v>1</v>
      </c>
      <c r="F333" s="2">
        <v>17.84</v>
      </c>
      <c r="G333" s="2">
        <v>288.51</v>
      </c>
      <c r="H333" s="2" t="str">
        <f>VLOOKUP(qhkz_4dqm[[#This Row],[fuel_type]],lookup!A:B,2,FALSE)</f>
        <v>Gasoline</v>
      </c>
      <c r="I333" s="2">
        <f ca="1">YEAR(TODAY())-qhkz_4dqm[[#This Row],[year]]</f>
        <v>5</v>
      </c>
      <c r="J333" s="2" t="str" cm="1">
        <f t="array" aca="1" ref="J333" ca="1">_xlfn.IFS(qhkz_4dqm[[#This Row],[vehicle_age]]&lt;=3,"Newer",qhkz_4dqm[[#This Row],[vehicle_age]]&lt;=9,"Mid-age",qhkz_4dqm[[#This Row],[vehicle_age]]&lt;=19,"Older",qhkz_4dqm[[#This Row],[vehicle_age]]&gt;=20,"Very Old")</f>
        <v>Mid-age</v>
      </c>
    </row>
    <row r="334" spans="1:10">
      <c r="A334" s="2">
        <v>24060433</v>
      </c>
      <c r="B334" s="2">
        <v>2406043301</v>
      </c>
      <c r="C334" s="2">
        <v>1</v>
      </c>
      <c r="D334" s="2">
        <v>2016</v>
      </c>
      <c r="E334" s="2">
        <v>1</v>
      </c>
      <c r="F334" s="2">
        <v>1.98</v>
      </c>
      <c r="G334" s="2">
        <v>174.53</v>
      </c>
      <c r="H334" s="2" t="str">
        <f>VLOOKUP(qhkz_4dqm[[#This Row],[fuel_type]],lookup!A:B,2,FALSE)</f>
        <v>Gasoline</v>
      </c>
      <c r="I334" s="2">
        <f ca="1">YEAR(TODAY())-qhkz_4dqm[[#This Row],[year]]</f>
        <v>10</v>
      </c>
      <c r="J334" s="2" t="str" cm="1">
        <f t="array" aca="1" ref="J334" ca="1">_xlfn.IFS(qhkz_4dqm[[#This Row],[vehicle_age]]&lt;=3,"Newer",qhkz_4dqm[[#This Row],[vehicle_age]]&lt;=9,"Mid-age",qhkz_4dqm[[#This Row],[vehicle_age]]&lt;=19,"Older",qhkz_4dqm[[#This Row],[vehicle_age]]&gt;=20,"Very Old")</f>
        <v>Older</v>
      </c>
    </row>
    <row r="335" spans="1:10">
      <c r="A335" s="2">
        <v>24060461</v>
      </c>
      <c r="B335" s="2">
        <v>2406046101</v>
      </c>
      <c r="C335" s="2">
        <v>1</v>
      </c>
      <c r="D335" s="2">
        <v>2014</v>
      </c>
      <c r="E335" s="2">
        <v>1</v>
      </c>
      <c r="F335" s="2">
        <v>2174.75</v>
      </c>
      <c r="G335" s="2">
        <v>1297.1400000000001</v>
      </c>
      <c r="H335" s="2" t="str">
        <f>VLOOKUP(qhkz_4dqm[[#This Row],[fuel_type]],lookup!A:B,2,FALSE)</f>
        <v>Gasoline</v>
      </c>
      <c r="I335" s="2">
        <f ca="1">YEAR(TODAY())-qhkz_4dqm[[#This Row],[year]]</f>
        <v>12</v>
      </c>
      <c r="J335" s="2" t="str" cm="1">
        <f t="array" aca="1" ref="J335" ca="1">_xlfn.IFS(qhkz_4dqm[[#This Row],[vehicle_age]]&lt;=3,"Newer",qhkz_4dqm[[#This Row],[vehicle_age]]&lt;=9,"Mid-age",qhkz_4dqm[[#This Row],[vehicle_age]]&lt;=19,"Older",qhkz_4dqm[[#This Row],[vehicle_age]]&gt;=20,"Very Old")</f>
        <v>Older</v>
      </c>
    </row>
    <row r="336" spans="1:10">
      <c r="A336" s="2">
        <v>24060517</v>
      </c>
      <c r="B336" s="2">
        <v>2406051701</v>
      </c>
      <c r="C336" s="2">
        <v>1</v>
      </c>
      <c r="D336" s="2">
        <v>2007</v>
      </c>
      <c r="E336" s="2">
        <v>1</v>
      </c>
      <c r="F336" s="2">
        <v>540.97</v>
      </c>
      <c r="G336" s="2">
        <v>603.41</v>
      </c>
      <c r="H336" s="2" t="str">
        <f>VLOOKUP(qhkz_4dqm[[#This Row],[fuel_type]],lookup!A:B,2,FALSE)</f>
        <v>Gasoline</v>
      </c>
      <c r="I336" s="2">
        <f ca="1">YEAR(TODAY())-qhkz_4dqm[[#This Row],[year]]</f>
        <v>19</v>
      </c>
      <c r="J336" s="2" t="str" cm="1">
        <f t="array" aca="1" ref="J336" ca="1">_xlfn.IFS(qhkz_4dqm[[#This Row],[vehicle_age]]&lt;=3,"Newer",qhkz_4dqm[[#This Row],[vehicle_age]]&lt;=9,"Mid-age",qhkz_4dqm[[#This Row],[vehicle_age]]&lt;=19,"Older",qhkz_4dqm[[#This Row],[vehicle_age]]&gt;=20,"Very Old")</f>
        <v>Older</v>
      </c>
    </row>
    <row r="337" spans="1:10">
      <c r="A337" s="2">
        <v>24060549</v>
      </c>
      <c r="B337" s="2">
        <v>2406054901</v>
      </c>
      <c r="C337" s="2">
        <v>1</v>
      </c>
      <c r="D337" s="2">
        <v>2023</v>
      </c>
      <c r="E337" s="2">
        <v>2</v>
      </c>
      <c r="F337" s="2">
        <v>2328.9899999999998</v>
      </c>
      <c r="G337" s="2">
        <v>793.08</v>
      </c>
      <c r="H337" s="2" t="str">
        <f>VLOOKUP(qhkz_4dqm[[#This Row],[fuel_type]],lookup!A:B,2,FALSE)</f>
        <v>Diesel</v>
      </c>
      <c r="I337" s="2">
        <f ca="1">YEAR(TODAY())-qhkz_4dqm[[#This Row],[year]]</f>
        <v>3</v>
      </c>
      <c r="J337" s="2" t="str" cm="1">
        <f t="array" aca="1" ref="J337" ca="1">_xlfn.IFS(qhkz_4dqm[[#This Row],[vehicle_age]]&lt;=3,"Newer",qhkz_4dqm[[#This Row],[vehicle_age]]&lt;=9,"Mid-age",qhkz_4dqm[[#This Row],[vehicle_age]]&lt;=19,"Older",qhkz_4dqm[[#This Row],[vehicle_age]]&gt;=20,"Very Old")</f>
        <v>Newer</v>
      </c>
    </row>
    <row r="338" spans="1:10">
      <c r="A338" s="2">
        <v>24060568</v>
      </c>
      <c r="B338" s="2">
        <v>2406056801</v>
      </c>
      <c r="C338" s="2">
        <v>1</v>
      </c>
      <c r="D338" s="2">
        <v>2018</v>
      </c>
      <c r="E338" s="2">
        <v>1</v>
      </c>
      <c r="F338" s="2">
        <v>125.59</v>
      </c>
      <c r="G338" s="2">
        <v>1003.62</v>
      </c>
      <c r="H338" s="2" t="str">
        <f>VLOOKUP(qhkz_4dqm[[#This Row],[fuel_type]],lookup!A:B,2,FALSE)</f>
        <v>Gasoline</v>
      </c>
      <c r="I338" s="2">
        <f ca="1">YEAR(TODAY())-qhkz_4dqm[[#This Row],[year]]</f>
        <v>8</v>
      </c>
      <c r="J338" s="2" t="str" cm="1">
        <f t="array" aca="1" ref="J338" ca="1">_xlfn.IFS(qhkz_4dqm[[#This Row],[vehicle_age]]&lt;=3,"Newer",qhkz_4dqm[[#This Row],[vehicle_age]]&lt;=9,"Mid-age",qhkz_4dqm[[#This Row],[vehicle_age]]&lt;=19,"Older",qhkz_4dqm[[#This Row],[vehicle_age]]&gt;=20,"Very Old")</f>
        <v>Mid-age</v>
      </c>
    </row>
    <row r="339" spans="1:10">
      <c r="A339" s="2">
        <v>24060849</v>
      </c>
      <c r="B339" s="2">
        <v>2406084901</v>
      </c>
      <c r="C339" s="2">
        <v>1</v>
      </c>
      <c r="D339" s="2">
        <v>2024</v>
      </c>
      <c r="E339" s="2">
        <v>1</v>
      </c>
      <c r="F339" s="2">
        <v>71.05</v>
      </c>
      <c r="G339" s="2">
        <v>690.7</v>
      </c>
      <c r="H339" s="2" t="str">
        <f>VLOOKUP(qhkz_4dqm[[#This Row],[fuel_type]],lookup!A:B,2,FALSE)</f>
        <v>Gasoline</v>
      </c>
      <c r="I339" s="2">
        <f ca="1">YEAR(TODAY())-qhkz_4dqm[[#This Row],[year]]</f>
        <v>2</v>
      </c>
      <c r="J339" s="2" t="str" cm="1">
        <f t="array" aca="1" ref="J339" ca="1">_xlfn.IFS(qhkz_4dqm[[#This Row],[vehicle_age]]&lt;=3,"Newer",qhkz_4dqm[[#This Row],[vehicle_age]]&lt;=9,"Mid-age",qhkz_4dqm[[#This Row],[vehicle_age]]&lt;=19,"Older",qhkz_4dqm[[#This Row],[vehicle_age]]&gt;=20,"Very Old")</f>
        <v>Newer</v>
      </c>
    </row>
    <row r="340" spans="1:10">
      <c r="A340" s="2">
        <v>24060944</v>
      </c>
      <c r="B340" s="2">
        <v>2406094401</v>
      </c>
      <c r="C340" s="2">
        <v>1</v>
      </c>
      <c r="D340" s="2">
        <v>2018</v>
      </c>
      <c r="E340" s="2">
        <v>1</v>
      </c>
      <c r="F340" s="2">
        <v>27.51</v>
      </c>
      <c r="G340" s="2">
        <v>563.30999999999995</v>
      </c>
      <c r="H340" s="2" t="str">
        <f>VLOOKUP(qhkz_4dqm[[#This Row],[fuel_type]],lookup!A:B,2,FALSE)</f>
        <v>Gasoline</v>
      </c>
      <c r="I340" s="2">
        <f ca="1">YEAR(TODAY())-qhkz_4dqm[[#This Row],[year]]</f>
        <v>8</v>
      </c>
      <c r="J340" s="2" t="str" cm="1">
        <f t="array" aca="1" ref="J340" ca="1">_xlfn.IFS(qhkz_4dqm[[#This Row],[vehicle_age]]&lt;=3,"Newer",qhkz_4dqm[[#This Row],[vehicle_age]]&lt;=9,"Mid-age",qhkz_4dqm[[#This Row],[vehicle_age]]&lt;=19,"Older",qhkz_4dqm[[#This Row],[vehicle_age]]&gt;=20,"Very Old")</f>
        <v>Mid-age</v>
      </c>
    </row>
    <row r="341" spans="1:10">
      <c r="A341" s="2">
        <v>24060989</v>
      </c>
      <c r="B341" s="2">
        <v>2406098901</v>
      </c>
      <c r="C341" s="2">
        <v>1</v>
      </c>
      <c r="D341" s="2">
        <v>2007</v>
      </c>
      <c r="E341" s="2">
        <v>1</v>
      </c>
      <c r="F341" s="2">
        <v>792.62</v>
      </c>
      <c r="G341" s="2">
        <v>1614.05</v>
      </c>
      <c r="H341" s="2" t="str">
        <f>VLOOKUP(qhkz_4dqm[[#This Row],[fuel_type]],lookup!A:B,2,FALSE)</f>
        <v>Gasoline</v>
      </c>
      <c r="I341" s="2">
        <f ca="1">YEAR(TODAY())-qhkz_4dqm[[#This Row],[year]]</f>
        <v>19</v>
      </c>
      <c r="J341" s="2" t="str" cm="1">
        <f t="array" aca="1" ref="J341" ca="1">_xlfn.IFS(qhkz_4dqm[[#This Row],[vehicle_age]]&lt;=3,"Newer",qhkz_4dqm[[#This Row],[vehicle_age]]&lt;=9,"Mid-age",qhkz_4dqm[[#This Row],[vehicle_age]]&lt;=19,"Older",qhkz_4dqm[[#This Row],[vehicle_age]]&gt;=20,"Very Old")</f>
        <v>Older</v>
      </c>
    </row>
    <row r="342" spans="1:10">
      <c r="A342" s="2">
        <v>24061354</v>
      </c>
      <c r="B342" s="2">
        <v>2406135401</v>
      </c>
      <c r="C342" s="2">
        <v>1</v>
      </c>
      <c r="D342" s="2">
        <v>2021</v>
      </c>
      <c r="E342" s="2">
        <v>2</v>
      </c>
      <c r="F342" s="2">
        <v>188.65</v>
      </c>
      <c r="G342" s="2">
        <v>1595.78</v>
      </c>
      <c r="H342" s="2" t="str">
        <f>VLOOKUP(qhkz_4dqm[[#This Row],[fuel_type]],lookup!A:B,2,FALSE)</f>
        <v>Diesel</v>
      </c>
      <c r="I342" s="2">
        <f ca="1">YEAR(TODAY())-qhkz_4dqm[[#This Row],[year]]</f>
        <v>5</v>
      </c>
      <c r="J342" s="2" t="str" cm="1">
        <f t="array" aca="1" ref="J342" ca="1">_xlfn.IFS(qhkz_4dqm[[#This Row],[vehicle_age]]&lt;=3,"Newer",qhkz_4dqm[[#This Row],[vehicle_age]]&lt;=9,"Mid-age",qhkz_4dqm[[#This Row],[vehicle_age]]&lt;=19,"Older",qhkz_4dqm[[#This Row],[vehicle_age]]&gt;=20,"Very Old")</f>
        <v>Mid-age</v>
      </c>
    </row>
    <row r="343" spans="1:10">
      <c r="A343" s="2">
        <v>24061403</v>
      </c>
      <c r="B343" s="2">
        <v>2406140301</v>
      </c>
      <c r="C343" s="2">
        <v>1</v>
      </c>
      <c r="D343" s="2">
        <v>2022</v>
      </c>
      <c r="E343" s="2">
        <v>1</v>
      </c>
      <c r="F343" s="2">
        <v>2140.54</v>
      </c>
      <c r="G343" s="2">
        <v>1346.81</v>
      </c>
      <c r="H343" s="2" t="str">
        <f>VLOOKUP(qhkz_4dqm[[#This Row],[fuel_type]],lookup!A:B,2,FALSE)</f>
        <v>Gasoline</v>
      </c>
      <c r="I343" s="2">
        <f ca="1">YEAR(TODAY())-qhkz_4dqm[[#This Row],[year]]</f>
        <v>4</v>
      </c>
      <c r="J343" s="2" t="str" cm="1">
        <f t="array" aca="1" ref="J343" ca="1">_xlfn.IFS(qhkz_4dqm[[#This Row],[vehicle_age]]&lt;=3,"Newer",qhkz_4dqm[[#This Row],[vehicle_age]]&lt;=9,"Mid-age",qhkz_4dqm[[#This Row],[vehicle_age]]&lt;=19,"Older",qhkz_4dqm[[#This Row],[vehicle_age]]&gt;=20,"Very Old")</f>
        <v>Mid-age</v>
      </c>
    </row>
    <row r="344" spans="1:10">
      <c r="A344" s="2">
        <v>24061588</v>
      </c>
      <c r="B344" s="2">
        <v>2406158801</v>
      </c>
      <c r="C344" s="2">
        <v>1</v>
      </c>
      <c r="D344" s="2">
        <v>2008</v>
      </c>
      <c r="E344" s="2">
        <v>1</v>
      </c>
      <c r="F344" s="2">
        <v>5383.02</v>
      </c>
      <c r="G344" s="2">
        <v>4987.67</v>
      </c>
      <c r="H344" s="2" t="str">
        <f>VLOOKUP(qhkz_4dqm[[#This Row],[fuel_type]],lookup!A:B,2,FALSE)</f>
        <v>Gasoline</v>
      </c>
      <c r="I344" s="2">
        <f ca="1">YEAR(TODAY())-qhkz_4dqm[[#This Row],[year]]</f>
        <v>18</v>
      </c>
      <c r="J344" s="2" t="str" cm="1">
        <f t="array" aca="1" ref="J344" ca="1">_xlfn.IFS(qhkz_4dqm[[#This Row],[vehicle_age]]&lt;=3,"Newer",qhkz_4dqm[[#This Row],[vehicle_age]]&lt;=9,"Mid-age",qhkz_4dqm[[#This Row],[vehicle_age]]&lt;=19,"Older",qhkz_4dqm[[#This Row],[vehicle_age]]&gt;=20,"Very Old")</f>
        <v>Older</v>
      </c>
    </row>
    <row r="345" spans="1:10">
      <c r="A345" s="2">
        <v>24061933</v>
      </c>
      <c r="B345" s="2">
        <v>2406193301</v>
      </c>
      <c r="C345" s="2">
        <v>1</v>
      </c>
      <c r="D345" s="2">
        <v>2012</v>
      </c>
      <c r="E345" s="2">
        <v>1</v>
      </c>
      <c r="F345" s="2">
        <v>14456.87</v>
      </c>
      <c r="G345" s="2">
        <v>3923.59</v>
      </c>
      <c r="H345" s="2" t="str">
        <f>VLOOKUP(qhkz_4dqm[[#This Row],[fuel_type]],lookup!A:B,2,FALSE)</f>
        <v>Gasoline</v>
      </c>
      <c r="I345" s="2">
        <f ca="1">YEAR(TODAY())-qhkz_4dqm[[#This Row],[year]]</f>
        <v>14</v>
      </c>
      <c r="J345" s="2" t="str" cm="1">
        <f t="array" aca="1" ref="J345" ca="1">_xlfn.IFS(qhkz_4dqm[[#This Row],[vehicle_age]]&lt;=3,"Newer",qhkz_4dqm[[#This Row],[vehicle_age]]&lt;=9,"Mid-age",qhkz_4dqm[[#This Row],[vehicle_age]]&lt;=19,"Older",qhkz_4dqm[[#This Row],[vehicle_age]]&gt;=20,"Very Old")</f>
        <v>Older</v>
      </c>
    </row>
    <row r="346" spans="1:10">
      <c r="A346" s="2">
        <v>24062273</v>
      </c>
      <c r="B346" s="2">
        <v>2406227301</v>
      </c>
      <c r="C346" s="2">
        <v>1</v>
      </c>
      <c r="D346" s="2">
        <v>2024</v>
      </c>
      <c r="E346" s="2">
        <v>1</v>
      </c>
      <c r="F346" s="2">
        <v>3873.12</v>
      </c>
      <c r="G346" s="2">
        <v>1173.44</v>
      </c>
      <c r="H346" s="2" t="str">
        <f>VLOOKUP(qhkz_4dqm[[#This Row],[fuel_type]],lookup!A:B,2,FALSE)</f>
        <v>Gasoline</v>
      </c>
      <c r="I346" s="2">
        <f ca="1">YEAR(TODAY())-qhkz_4dqm[[#This Row],[year]]</f>
        <v>2</v>
      </c>
      <c r="J346" s="2" t="str" cm="1">
        <f t="array" aca="1" ref="J346" ca="1">_xlfn.IFS(qhkz_4dqm[[#This Row],[vehicle_age]]&lt;=3,"Newer",qhkz_4dqm[[#This Row],[vehicle_age]]&lt;=9,"Mid-age",qhkz_4dqm[[#This Row],[vehicle_age]]&lt;=19,"Older",qhkz_4dqm[[#This Row],[vehicle_age]]&gt;=20,"Very Old")</f>
        <v>Newer</v>
      </c>
    </row>
    <row r="347" spans="1:10">
      <c r="A347" s="2">
        <v>24062304</v>
      </c>
      <c r="B347" s="2">
        <v>2406230401</v>
      </c>
      <c r="C347" s="2">
        <v>1</v>
      </c>
      <c r="D347" s="2">
        <v>2009</v>
      </c>
      <c r="E347" s="2">
        <v>1</v>
      </c>
      <c r="F347" s="2">
        <v>2227.66</v>
      </c>
      <c r="G347" s="2">
        <v>1624.8</v>
      </c>
      <c r="H347" s="2" t="str">
        <f>VLOOKUP(qhkz_4dqm[[#This Row],[fuel_type]],lookup!A:B,2,FALSE)</f>
        <v>Gasoline</v>
      </c>
      <c r="I347" s="2">
        <f ca="1">YEAR(TODAY())-qhkz_4dqm[[#This Row],[year]]</f>
        <v>17</v>
      </c>
      <c r="J347" s="2" t="str" cm="1">
        <f t="array" aca="1" ref="J347" ca="1">_xlfn.IFS(qhkz_4dqm[[#This Row],[vehicle_age]]&lt;=3,"Newer",qhkz_4dqm[[#This Row],[vehicle_age]]&lt;=9,"Mid-age",qhkz_4dqm[[#This Row],[vehicle_age]]&lt;=19,"Older",qhkz_4dqm[[#This Row],[vehicle_age]]&gt;=20,"Very Old")</f>
        <v>Older</v>
      </c>
    </row>
    <row r="348" spans="1:10">
      <c r="A348" s="2">
        <v>24062462</v>
      </c>
      <c r="B348" s="2">
        <v>2406246201</v>
      </c>
      <c r="C348" s="2">
        <v>1</v>
      </c>
      <c r="D348" s="2">
        <v>2016</v>
      </c>
      <c r="E348" s="2">
        <v>1</v>
      </c>
      <c r="F348" s="2">
        <v>2484.5300000000002</v>
      </c>
      <c r="G348" s="2">
        <v>2145.92</v>
      </c>
      <c r="H348" s="2" t="str">
        <f>VLOOKUP(qhkz_4dqm[[#This Row],[fuel_type]],lookup!A:B,2,FALSE)</f>
        <v>Gasoline</v>
      </c>
      <c r="I348" s="2">
        <f ca="1">YEAR(TODAY())-qhkz_4dqm[[#This Row],[year]]</f>
        <v>10</v>
      </c>
      <c r="J348" s="2" t="str" cm="1">
        <f t="array" aca="1" ref="J348" ca="1">_xlfn.IFS(qhkz_4dqm[[#This Row],[vehicle_age]]&lt;=3,"Newer",qhkz_4dqm[[#This Row],[vehicle_age]]&lt;=9,"Mid-age",qhkz_4dqm[[#This Row],[vehicle_age]]&lt;=19,"Older",qhkz_4dqm[[#This Row],[vehicle_age]]&gt;=20,"Very Old")</f>
        <v>Older</v>
      </c>
    </row>
    <row r="349" spans="1:10">
      <c r="A349" s="2">
        <v>24062485</v>
      </c>
      <c r="B349" s="2">
        <v>2406248501</v>
      </c>
      <c r="C349" s="2">
        <v>1</v>
      </c>
      <c r="D349" s="2">
        <v>2021</v>
      </c>
      <c r="E349" s="2">
        <v>1</v>
      </c>
      <c r="F349" s="2">
        <v>14967.82</v>
      </c>
      <c r="G349" s="2">
        <v>6358.33</v>
      </c>
      <c r="H349" s="2" t="str">
        <f>VLOOKUP(qhkz_4dqm[[#This Row],[fuel_type]],lookup!A:B,2,FALSE)</f>
        <v>Gasoline</v>
      </c>
      <c r="I349" s="2">
        <f ca="1">YEAR(TODAY())-qhkz_4dqm[[#This Row],[year]]</f>
        <v>5</v>
      </c>
      <c r="J349" s="2" t="str" cm="1">
        <f t="array" aca="1" ref="J349" ca="1">_xlfn.IFS(qhkz_4dqm[[#This Row],[vehicle_age]]&lt;=3,"Newer",qhkz_4dqm[[#This Row],[vehicle_age]]&lt;=9,"Mid-age",qhkz_4dqm[[#This Row],[vehicle_age]]&lt;=19,"Older",qhkz_4dqm[[#This Row],[vehicle_age]]&gt;=20,"Very Old")</f>
        <v>Mid-age</v>
      </c>
    </row>
    <row r="350" spans="1:10">
      <c r="A350" s="2">
        <v>24062540</v>
      </c>
      <c r="B350" s="2">
        <v>2406254001</v>
      </c>
      <c r="C350" s="2">
        <v>1</v>
      </c>
      <c r="D350" s="2">
        <v>2017</v>
      </c>
      <c r="E350" s="2">
        <v>1</v>
      </c>
      <c r="F350" s="2">
        <v>4991.46</v>
      </c>
      <c r="G350" s="2">
        <v>3330.14</v>
      </c>
      <c r="H350" s="2" t="str">
        <f>VLOOKUP(qhkz_4dqm[[#This Row],[fuel_type]],lookup!A:B,2,FALSE)</f>
        <v>Gasoline</v>
      </c>
      <c r="I350" s="2">
        <f ca="1">YEAR(TODAY())-qhkz_4dqm[[#This Row],[year]]</f>
        <v>9</v>
      </c>
      <c r="J350" s="2" t="str" cm="1">
        <f t="array" aca="1" ref="J350" ca="1">_xlfn.IFS(qhkz_4dqm[[#This Row],[vehicle_age]]&lt;=3,"Newer",qhkz_4dqm[[#This Row],[vehicle_age]]&lt;=9,"Mid-age",qhkz_4dqm[[#This Row],[vehicle_age]]&lt;=19,"Older",qhkz_4dqm[[#This Row],[vehicle_age]]&gt;=20,"Very Old")</f>
        <v>Mid-age</v>
      </c>
    </row>
    <row r="351" spans="1:10">
      <c r="A351" s="2">
        <v>24062785</v>
      </c>
      <c r="B351" s="2">
        <v>2406278501</v>
      </c>
      <c r="C351" s="2">
        <v>1</v>
      </c>
      <c r="D351" s="2">
        <v>2023</v>
      </c>
      <c r="E351" s="2">
        <v>1</v>
      </c>
      <c r="F351" s="2">
        <v>3043.58</v>
      </c>
      <c r="G351" s="2">
        <v>1342.34</v>
      </c>
      <c r="H351" s="2" t="str">
        <f>VLOOKUP(qhkz_4dqm[[#This Row],[fuel_type]],lookup!A:B,2,FALSE)</f>
        <v>Gasoline</v>
      </c>
      <c r="I351" s="2">
        <f ca="1">YEAR(TODAY())-qhkz_4dqm[[#This Row],[year]]</f>
        <v>3</v>
      </c>
      <c r="J351" s="2" t="str" cm="1">
        <f t="array" aca="1" ref="J351" ca="1">_xlfn.IFS(qhkz_4dqm[[#This Row],[vehicle_age]]&lt;=3,"Newer",qhkz_4dqm[[#This Row],[vehicle_age]]&lt;=9,"Mid-age",qhkz_4dqm[[#This Row],[vehicle_age]]&lt;=19,"Older",qhkz_4dqm[[#This Row],[vehicle_age]]&gt;=20,"Very Old")</f>
        <v>Newer</v>
      </c>
    </row>
    <row r="352" spans="1:10">
      <c r="A352" s="2">
        <v>24062804</v>
      </c>
      <c r="B352" s="2">
        <v>2406280401</v>
      </c>
      <c r="C352" s="2">
        <v>1</v>
      </c>
      <c r="D352" s="2">
        <v>2019</v>
      </c>
      <c r="E352" s="2">
        <v>1</v>
      </c>
      <c r="F352" s="2">
        <v>134.4</v>
      </c>
      <c r="G352" s="2">
        <v>1052.48</v>
      </c>
      <c r="H352" s="2" t="str">
        <f>VLOOKUP(qhkz_4dqm[[#This Row],[fuel_type]],lookup!A:B,2,FALSE)</f>
        <v>Gasoline</v>
      </c>
      <c r="I352" s="2">
        <f ca="1">YEAR(TODAY())-qhkz_4dqm[[#This Row],[year]]</f>
        <v>7</v>
      </c>
      <c r="J352" s="2" t="str" cm="1">
        <f t="array" aca="1" ref="J352" ca="1">_xlfn.IFS(qhkz_4dqm[[#This Row],[vehicle_age]]&lt;=3,"Newer",qhkz_4dqm[[#This Row],[vehicle_age]]&lt;=9,"Mid-age",qhkz_4dqm[[#This Row],[vehicle_age]]&lt;=19,"Older",qhkz_4dqm[[#This Row],[vehicle_age]]&gt;=20,"Very Old")</f>
        <v>Mid-age</v>
      </c>
    </row>
    <row r="353" spans="1:10">
      <c r="A353" s="2">
        <v>24062893</v>
      </c>
      <c r="B353" s="2">
        <v>2406289301</v>
      </c>
      <c r="C353" s="2">
        <v>1</v>
      </c>
      <c r="D353" s="2">
        <v>2020</v>
      </c>
      <c r="E353" s="2">
        <v>1</v>
      </c>
      <c r="F353" s="2">
        <v>3056.2</v>
      </c>
      <c r="G353" s="2">
        <v>961.14</v>
      </c>
      <c r="H353" s="2" t="str">
        <f>VLOOKUP(qhkz_4dqm[[#This Row],[fuel_type]],lookup!A:B,2,FALSE)</f>
        <v>Gasoline</v>
      </c>
      <c r="I353" s="2">
        <f ca="1">YEAR(TODAY())-qhkz_4dqm[[#This Row],[year]]</f>
        <v>6</v>
      </c>
      <c r="J353" s="2" t="str" cm="1">
        <f t="array" aca="1" ref="J353" ca="1">_xlfn.IFS(qhkz_4dqm[[#This Row],[vehicle_age]]&lt;=3,"Newer",qhkz_4dqm[[#This Row],[vehicle_age]]&lt;=9,"Mid-age",qhkz_4dqm[[#This Row],[vehicle_age]]&lt;=19,"Older",qhkz_4dqm[[#This Row],[vehicle_age]]&gt;=20,"Very Old")</f>
        <v>Mid-age</v>
      </c>
    </row>
    <row r="354" spans="1:10">
      <c r="A354" s="2">
        <v>24062898</v>
      </c>
      <c r="B354" s="2">
        <v>2406289801</v>
      </c>
      <c r="C354" s="2">
        <v>1</v>
      </c>
      <c r="D354" s="2">
        <v>2016</v>
      </c>
      <c r="E354" s="2">
        <v>1</v>
      </c>
      <c r="F354" s="2">
        <v>4993.0200000000004</v>
      </c>
      <c r="G354" s="2">
        <v>3332.5</v>
      </c>
      <c r="H354" s="2" t="str">
        <f>VLOOKUP(qhkz_4dqm[[#This Row],[fuel_type]],lookup!A:B,2,FALSE)</f>
        <v>Gasoline</v>
      </c>
      <c r="I354" s="2">
        <f ca="1">YEAR(TODAY())-qhkz_4dqm[[#This Row],[year]]</f>
        <v>10</v>
      </c>
      <c r="J354" s="2" t="str" cm="1">
        <f t="array" aca="1" ref="J354" ca="1">_xlfn.IFS(qhkz_4dqm[[#This Row],[vehicle_age]]&lt;=3,"Newer",qhkz_4dqm[[#This Row],[vehicle_age]]&lt;=9,"Mid-age",qhkz_4dqm[[#This Row],[vehicle_age]]&lt;=19,"Older",qhkz_4dqm[[#This Row],[vehicle_age]]&gt;=20,"Very Old")</f>
        <v>Older</v>
      </c>
    </row>
    <row r="355" spans="1:10">
      <c r="A355" s="2">
        <v>24063146</v>
      </c>
      <c r="B355" s="2">
        <v>2406314601</v>
      </c>
      <c r="C355" s="2">
        <v>1</v>
      </c>
      <c r="D355" s="2">
        <v>2011</v>
      </c>
      <c r="E355" s="2">
        <v>1</v>
      </c>
      <c r="F355" s="2">
        <v>3.95</v>
      </c>
      <c r="G355" s="2">
        <v>180.38</v>
      </c>
      <c r="H355" s="2" t="str">
        <f>VLOOKUP(qhkz_4dqm[[#This Row],[fuel_type]],lookup!A:B,2,FALSE)</f>
        <v>Gasoline</v>
      </c>
      <c r="I355" s="2">
        <f ca="1">YEAR(TODAY())-qhkz_4dqm[[#This Row],[year]]</f>
        <v>15</v>
      </c>
      <c r="J355" s="2" t="str" cm="1">
        <f t="array" aca="1" ref="J355" ca="1">_xlfn.IFS(qhkz_4dqm[[#This Row],[vehicle_age]]&lt;=3,"Newer",qhkz_4dqm[[#This Row],[vehicle_age]]&lt;=9,"Mid-age",qhkz_4dqm[[#This Row],[vehicle_age]]&lt;=19,"Older",qhkz_4dqm[[#This Row],[vehicle_age]]&gt;=20,"Very Old")</f>
        <v>Older</v>
      </c>
    </row>
    <row r="356" spans="1:10">
      <c r="A356" s="2">
        <v>24063161</v>
      </c>
      <c r="B356" s="2">
        <v>2406316101</v>
      </c>
      <c r="C356" s="2">
        <v>1</v>
      </c>
      <c r="D356" s="2">
        <v>2024</v>
      </c>
      <c r="E356" s="2">
        <v>1</v>
      </c>
      <c r="F356" s="2">
        <v>87.59</v>
      </c>
      <c r="G356" s="2">
        <v>938.32</v>
      </c>
      <c r="H356" s="2" t="str">
        <f>VLOOKUP(qhkz_4dqm[[#This Row],[fuel_type]],lookup!A:B,2,FALSE)</f>
        <v>Gasoline</v>
      </c>
      <c r="I356" s="2">
        <f ca="1">YEAR(TODAY())-qhkz_4dqm[[#This Row],[year]]</f>
        <v>2</v>
      </c>
      <c r="J356" s="2" t="str" cm="1">
        <f t="array" aca="1" ref="J356" ca="1">_xlfn.IFS(qhkz_4dqm[[#This Row],[vehicle_age]]&lt;=3,"Newer",qhkz_4dqm[[#This Row],[vehicle_age]]&lt;=9,"Mid-age",qhkz_4dqm[[#This Row],[vehicle_age]]&lt;=19,"Older",qhkz_4dqm[[#This Row],[vehicle_age]]&gt;=20,"Very Old")</f>
        <v>Newer</v>
      </c>
    </row>
    <row r="357" spans="1:10">
      <c r="A357" s="2">
        <v>24063351</v>
      </c>
      <c r="B357" s="2">
        <v>2406335101</v>
      </c>
      <c r="C357" s="2">
        <v>1</v>
      </c>
      <c r="D357" s="2">
        <v>2015</v>
      </c>
      <c r="E357" s="2">
        <v>1</v>
      </c>
      <c r="F357" s="2">
        <v>178.71</v>
      </c>
      <c r="G357" s="2">
        <v>935.94</v>
      </c>
      <c r="H357" s="2" t="str">
        <f>VLOOKUP(qhkz_4dqm[[#This Row],[fuel_type]],lookup!A:B,2,FALSE)</f>
        <v>Gasoline</v>
      </c>
      <c r="I357" s="2">
        <f ca="1">YEAR(TODAY())-qhkz_4dqm[[#This Row],[year]]</f>
        <v>11</v>
      </c>
      <c r="J357" s="2" t="str" cm="1">
        <f t="array" aca="1" ref="J357" ca="1">_xlfn.IFS(qhkz_4dqm[[#This Row],[vehicle_age]]&lt;=3,"Newer",qhkz_4dqm[[#This Row],[vehicle_age]]&lt;=9,"Mid-age",qhkz_4dqm[[#This Row],[vehicle_age]]&lt;=19,"Older",qhkz_4dqm[[#This Row],[vehicle_age]]&gt;=20,"Very Old")</f>
        <v>Older</v>
      </c>
    </row>
    <row r="358" spans="1:10">
      <c r="A358" s="2">
        <v>24063537</v>
      </c>
      <c r="B358" s="2">
        <v>2406353701</v>
      </c>
      <c r="C358" s="2">
        <v>1</v>
      </c>
      <c r="D358" s="2">
        <v>2023</v>
      </c>
      <c r="E358" s="2">
        <v>1</v>
      </c>
      <c r="F358" s="2">
        <v>2077.4299999999998</v>
      </c>
      <c r="G358" s="2">
        <v>2955.54</v>
      </c>
      <c r="H358" s="2" t="str">
        <f>VLOOKUP(qhkz_4dqm[[#This Row],[fuel_type]],lookup!A:B,2,FALSE)</f>
        <v>Gasoline</v>
      </c>
      <c r="I358" s="2">
        <f ca="1">YEAR(TODAY())-qhkz_4dqm[[#This Row],[year]]</f>
        <v>3</v>
      </c>
      <c r="J358" s="2" t="str" cm="1">
        <f t="array" aca="1" ref="J358" ca="1">_xlfn.IFS(qhkz_4dqm[[#This Row],[vehicle_age]]&lt;=3,"Newer",qhkz_4dqm[[#This Row],[vehicle_age]]&lt;=9,"Mid-age",qhkz_4dqm[[#This Row],[vehicle_age]]&lt;=19,"Older",qhkz_4dqm[[#This Row],[vehicle_age]]&gt;=20,"Very Old")</f>
        <v>Newer</v>
      </c>
    </row>
    <row r="359" spans="1:10">
      <c r="A359" s="2">
        <v>24063715</v>
      </c>
      <c r="B359" s="2">
        <v>2406371501</v>
      </c>
      <c r="C359" s="2">
        <v>1</v>
      </c>
      <c r="D359" s="2">
        <v>2013</v>
      </c>
      <c r="E359" s="2">
        <v>1</v>
      </c>
      <c r="F359" s="2">
        <v>477.71</v>
      </c>
      <c r="G359" s="2">
        <v>1271.9000000000001</v>
      </c>
      <c r="H359" s="2" t="str">
        <f>VLOOKUP(qhkz_4dqm[[#This Row],[fuel_type]],lookup!A:B,2,FALSE)</f>
        <v>Gasoline</v>
      </c>
      <c r="I359" s="2">
        <f ca="1">YEAR(TODAY())-qhkz_4dqm[[#This Row],[year]]</f>
        <v>13</v>
      </c>
      <c r="J359" s="2" t="str" cm="1">
        <f t="array" aca="1" ref="J359" ca="1">_xlfn.IFS(qhkz_4dqm[[#This Row],[vehicle_age]]&lt;=3,"Newer",qhkz_4dqm[[#This Row],[vehicle_age]]&lt;=9,"Mid-age",qhkz_4dqm[[#This Row],[vehicle_age]]&lt;=19,"Older",qhkz_4dqm[[#This Row],[vehicle_age]]&gt;=20,"Very Old")</f>
        <v>Older</v>
      </c>
    </row>
    <row r="360" spans="1:10">
      <c r="A360" s="2">
        <v>24063958</v>
      </c>
      <c r="B360" s="2">
        <v>2406395801</v>
      </c>
      <c r="C360" s="2">
        <v>1</v>
      </c>
      <c r="D360" s="2">
        <v>2015</v>
      </c>
      <c r="E360" s="2">
        <v>1</v>
      </c>
      <c r="F360" s="2">
        <v>7493.99</v>
      </c>
      <c r="G360" s="2">
        <v>2960.94</v>
      </c>
      <c r="H360" s="2" t="str">
        <f>VLOOKUP(qhkz_4dqm[[#This Row],[fuel_type]],lookup!A:B,2,FALSE)</f>
        <v>Gasoline</v>
      </c>
      <c r="I360" s="2">
        <f ca="1">YEAR(TODAY())-qhkz_4dqm[[#This Row],[year]]</f>
        <v>11</v>
      </c>
      <c r="J360" s="2" t="str" cm="1">
        <f t="array" aca="1" ref="J360" ca="1">_xlfn.IFS(qhkz_4dqm[[#This Row],[vehicle_age]]&lt;=3,"Newer",qhkz_4dqm[[#This Row],[vehicle_age]]&lt;=9,"Mid-age",qhkz_4dqm[[#This Row],[vehicle_age]]&lt;=19,"Older",qhkz_4dqm[[#This Row],[vehicle_age]]&gt;=20,"Very Old")</f>
        <v>Older</v>
      </c>
    </row>
    <row r="361" spans="1:10">
      <c r="A361" s="2">
        <v>24064321</v>
      </c>
      <c r="B361" s="2">
        <v>2406432101</v>
      </c>
      <c r="C361" s="2">
        <v>1</v>
      </c>
      <c r="D361" s="2">
        <v>2017</v>
      </c>
      <c r="E361" s="2">
        <v>1</v>
      </c>
      <c r="F361" s="2">
        <v>7482.87</v>
      </c>
      <c r="G361" s="2">
        <v>1697.1</v>
      </c>
      <c r="H361" s="2" t="str">
        <f>VLOOKUP(qhkz_4dqm[[#This Row],[fuel_type]],lookup!A:B,2,FALSE)</f>
        <v>Gasoline</v>
      </c>
      <c r="I361" s="2">
        <f ca="1">YEAR(TODAY())-qhkz_4dqm[[#This Row],[year]]</f>
        <v>9</v>
      </c>
      <c r="J361" s="2" t="str" cm="1">
        <f t="array" aca="1" ref="J361" ca="1">_xlfn.IFS(qhkz_4dqm[[#This Row],[vehicle_age]]&lt;=3,"Newer",qhkz_4dqm[[#This Row],[vehicle_age]]&lt;=9,"Mid-age",qhkz_4dqm[[#This Row],[vehicle_age]]&lt;=19,"Older",qhkz_4dqm[[#This Row],[vehicle_age]]&gt;=20,"Very Old")</f>
        <v>Mid-age</v>
      </c>
    </row>
    <row r="362" spans="1:10">
      <c r="A362" s="2">
        <v>24064403</v>
      </c>
      <c r="B362" s="2">
        <v>2406440301</v>
      </c>
      <c r="C362" s="2">
        <v>1</v>
      </c>
      <c r="D362" s="2">
        <v>2021</v>
      </c>
      <c r="E362" s="2">
        <v>1</v>
      </c>
      <c r="F362" s="2">
        <v>125.59</v>
      </c>
      <c r="G362" s="2">
        <v>1003.62</v>
      </c>
      <c r="H362" s="2" t="str">
        <f>VLOOKUP(qhkz_4dqm[[#This Row],[fuel_type]],lookup!A:B,2,FALSE)</f>
        <v>Gasoline</v>
      </c>
      <c r="I362" s="2">
        <f ca="1">YEAR(TODAY())-qhkz_4dqm[[#This Row],[year]]</f>
        <v>5</v>
      </c>
      <c r="J362" s="2" t="str" cm="1">
        <f t="array" aca="1" ref="J362" ca="1">_xlfn.IFS(qhkz_4dqm[[#This Row],[vehicle_age]]&lt;=3,"Newer",qhkz_4dqm[[#This Row],[vehicle_age]]&lt;=9,"Mid-age",qhkz_4dqm[[#This Row],[vehicle_age]]&lt;=19,"Older",qhkz_4dqm[[#This Row],[vehicle_age]]&gt;=20,"Very Old")</f>
        <v>Mid-age</v>
      </c>
    </row>
    <row r="363" spans="1:10">
      <c r="A363" s="2">
        <v>24064502</v>
      </c>
      <c r="B363" s="2">
        <v>2406450201</v>
      </c>
      <c r="C363" s="2">
        <v>1</v>
      </c>
      <c r="D363" s="2">
        <v>2016</v>
      </c>
      <c r="E363" s="2">
        <v>1</v>
      </c>
      <c r="F363" s="2">
        <v>184.76</v>
      </c>
      <c r="G363" s="2">
        <v>1129.1600000000001</v>
      </c>
      <c r="H363" s="2" t="str">
        <f>VLOOKUP(qhkz_4dqm[[#This Row],[fuel_type]],lookup!A:B,2,FALSE)</f>
        <v>Gasoline</v>
      </c>
      <c r="I363" s="2">
        <f ca="1">YEAR(TODAY())-qhkz_4dqm[[#This Row],[year]]</f>
        <v>10</v>
      </c>
      <c r="J363" s="2" t="str" cm="1">
        <f t="array" aca="1" ref="J363" ca="1">_xlfn.IFS(qhkz_4dqm[[#This Row],[vehicle_age]]&lt;=3,"Newer",qhkz_4dqm[[#This Row],[vehicle_age]]&lt;=9,"Mid-age",qhkz_4dqm[[#This Row],[vehicle_age]]&lt;=19,"Older",qhkz_4dqm[[#This Row],[vehicle_age]]&gt;=20,"Very Old")</f>
        <v>Older</v>
      </c>
    </row>
    <row r="364" spans="1:10">
      <c r="A364" s="2">
        <v>24064541</v>
      </c>
      <c r="B364" s="2">
        <v>2406454101</v>
      </c>
      <c r="C364" s="2">
        <v>1</v>
      </c>
      <c r="D364" s="2">
        <v>2012</v>
      </c>
      <c r="E364" s="2">
        <v>1</v>
      </c>
      <c r="F364" s="2">
        <v>144.52000000000001</v>
      </c>
      <c r="G364" s="2">
        <v>844.29</v>
      </c>
      <c r="H364" s="2" t="str">
        <f>VLOOKUP(qhkz_4dqm[[#This Row],[fuel_type]],lookup!A:B,2,FALSE)</f>
        <v>Gasoline</v>
      </c>
      <c r="I364" s="2">
        <f ca="1">YEAR(TODAY())-qhkz_4dqm[[#This Row],[year]]</f>
        <v>14</v>
      </c>
      <c r="J364" s="2" t="str" cm="1">
        <f t="array" aca="1" ref="J364" ca="1">_xlfn.IFS(qhkz_4dqm[[#This Row],[vehicle_age]]&lt;=3,"Newer",qhkz_4dqm[[#This Row],[vehicle_age]]&lt;=9,"Mid-age",qhkz_4dqm[[#This Row],[vehicle_age]]&lt;=19,"Older",qhkz_4dqm[[#This Row],[vehicle_age]]&gt;=20,"Very Old")</f>
        <v>Older</v>
      </c>
    </row>
    <row r="365" spans="1:10">
      <c r="A365" s="2">
        <v>24064663</v>
      </c>
      <c r="B365" s="2">
        <v>2406466301</v>
      </c>
      <c r="C365" s="2">
        <v>1</v>
      </c>
      <c r="D365" s="2">
        <v>2019</v>
      </c>
      <c r="E365" s="2">
        <v>1</v>
      </c>
      <c r="F365" s="2">
        <v>22.92</v>
      </c>
      <c r="G365" s="2">
        <v>440.13</v>
      </c>
      <c r="H365" s="2" t="str">
        <f>VLOOKUP(qhkz_4dqm[[#This Row],[fuel_type]],lookup!A:B,2,FALSE)</f>
        <v>Gasoline</v>
      </c>
      <c r="I365" s="2">
        <f ca="1">YEAR(TODAY())-qhkz_4dqm[[#This Row],[year]]</f>
        <v>7</v>
      </c>
      <c r="J365" s="2" t="str" cm="1">
        <f t="array" aca="1" ref="J365" ca="1">_xlfn.IFS(qhkz_4dqm[[#This Row],[vehicle_age]]&lt;=3,"Newer",qhkz_4dqm[[#This Row],[vehicle_age]]&lt;=9,"Mid-age",qhkz_4dqm[[#This Row],[vehicle_age]]&lt;=19,"Older",qhkz_4dqm[[#This Row],[vehicle_age]]&gt;=20,"Very Old")</f>
        <v>Mid-age</v>
      </c>
    </row>
    <row r="366" spans="1:10">
      <c r="A366" s="2">
        <v>24064903</v>
      </c>
      <c r="B366" s="2">
        <v>2406490301</v>
      </c>
      <c r="C366" s="2">
        <v>1</v>
      </c>
      <c r="D366" s="2">
        <v>2012</v>
      </c>
      <c r="E366" s="2">
        <v>1</v>
      </c>
      <c r="F366" s="2">
        <v>97.77</v>
      </c>
      <c r="G366" s="2">
        <v>617.03</v>
      </c>
      <c r="H366" s="2" t="str">
        <f>VLOOKUP(qhkz_4dqm[[#This Row],[fuel_type]],lookup!A:B,2,FALSE)</f>
        <v>Gasoline</v>
      </c>
      <c r="I366" s="2">
        <f ca="1">YEAR(TODAY())-qhkz_4dqm[[#This Row],[year]]</f>
        <v>14</v>
      </c>
      <c r="J366" s="2" t="str" cm="1">
        <f t="array" aca="1" ref="J366" ca="1">_xlfn.IFS(qhkz_4dqm[[#This Row],[vehicle_age]]&lt;=3,"Newer",qhkz_4dqm[[#This Row],[vehicle_age]]&lt;=9,"Mid-age",qhkz_4dqm[[#This Row],[vehicle_age]]&lt;=19,"Older",qhkz_4dqm[[#This Row],[vehicle_age]]&gt;=20,"Very Old")</f>
        <v>Older</v>
      </c>
    </row>
    <row r="367" spans="1:10">
      <c r="A367" s="2">
        <v>24064907</v>
      </c>
      <c r="B367" s="2">
        <v>2406490701</v>
      </c>
      <c r="C367" s="2">
        <v>1</v>
      </c>
      <c r="D367" s="2">
        <v>2022</v>
      </c>
      <c r="E367" s="2">
        <v>1</v>
      </c>
      <c r="F367" s="2">
        <v>974.99</v>
      </c>
      <c r="G367" s="2">
        <v>883.29</v>
      </c>
      <c r="H367" s="2" t="str">
        <f>VLOOKUP(qhkz_4dqm[[#This Row],[fuel_type]],lookup!A:B,2,FALSE)</f>
        <v>Gasoline</v>
      </c>
      <c r="I367" s="2">
        <f ca="1">YEAR(TODAY())-qhkz_4dqm[[#This Row],[year]]</f>
        <v>4</v>
      </c>
      <c r="J367" s="2" t="str" cm="1">
        <f t="array" aca="1" ref="J367" ca="1">_xlfn.IFS(qhkz_4dqm[[#This Row],[vehicle_age]]&lt;=3,"Newer",qhkz_4dqm[[#This Row],[vehicle_age]]&lt;=9,"Mid-age",qhkz_4dqm[[#This Row],[vehicle_age]]&lt;=19,"Older",qhkz_4dqm[[#This Row],[vehicle_age]]&gt;=20,"Very Old")</f>
        <v>Mid-age</v>
      </c>
    </row>
    <row r="368" spans="1:10">
      <c r="A368" s="2">
        <v>24064913</v>
      </c>
      <c r="B368" s="2">
        <v>2406491301</v>
      </c>
      <c r="C368" s="2">
        <v>1</v>
      </c>
      <c r="D368" s="2">
        <v>2015</v>
      </c>
      <c r="E368" s="2">
        <v>1</v>
      </c>
      <c r="F368" s="2">
        <v>846.78</v>
      </c>
      <c r="G368" s="2">
        <v>575.54</v>
      </c>
      <c r="H368" s="2" t="str">
        <f>VLOOKUP(qhkz_4dqm[[#This Row],[fuel_type]],lookup!A:B,2,FALSE)</f>
        <v>Gasoline</v>
      </c>
      <c r="I368" s="2">
        <f ca="1">YEAR(TODAY())-qhkz_4dqm[[#This Row],[year]]</f>
        <v>11</v>
      </c>
      <c r="J368" s="2" t="str" cm="1">
        <f t="array" aca="1" ref="J368" ca="1">_xlfn.IFS(qhkz_4dqm[[#This Row],[vehicle_age]]&lt;=3,"Newer",qhkz_4dqm[[#This Row],[vehicle_age]]&lt;=9,"Mid-age",qhkz_4dqm[[#This Row],[vehicle_age]]&lt;=19,"Older",qhkz_4dqm[[#This Row],[vehicle_age]]&gt;=20,"Very Old")</f>
        <v>Older</v>
      </c>
    </row>
    <row r="369" spans="1:10">
      <c r="A369" s="2">
        <v>24064938</v>
      </c>
      <c r="B369" s="2">
        <v>2406493801</v>
      </c>
      <c r="C369" s="2">
        <v>1</v>
      </c>
      <c r="D369" s="2">
        <v>2018</v>
      </c>
      <c r="E369" s="2">
        <v>2</v>
      </c>
      <c r="F369" s="2">
        <v>210.19</v>
      </c>
      <c r="G369" s="2">
        <v>844.75</v>
      </c>
      <c r="H369" s="2" t="str">
        <f>VLOOKUP(qhkz_4dqm[[#This Row],[fuel_type]],lookup!A:B,2,FALSE)</f>
        <v>Diesel</v>
      </c>
      <c r="I369" s="2">
        <f ca="1">YEAR(TODAY())-qhkz_4dqm[[#This Row],[year]]</f>
        <v>8</v>
      </c>
      <c r="J369" s="2" t="str" cm="1">
        <f t="array" aca="1" ref="J369" ca="1">_xlfn.IFS(qhkz_4dqm[[#This Row],[vehicle_age]]&lt;=3,"Newer",qhkz_4dqm[[#This Row],[vehicle_age]]&lt;=9,"Mid-age",qhkz_4dqm[[#This Row],[vehicle_age]]&lt;=19,"Older",qhkz_4dqm[[#This Row],[vehicle_age]]&gt;=20,"Very Old")</f>
        <v>Mid-age</v>
      </c>
    </row>
    <row r="370" spans="1:10">
      <c r="A370" s="2">
        <v>24065334</v>
      </c>
      <c r="B370" s="2">
        <v>2406533401</v>
      </c>
      <c r="C370" s="2">
        <v>1</v>
      </c>
      <c r="D370" s="2">
        <v>2002</v>
      </c>
      <c r="E370" s="2">
        <v>1</v>
      </c>
      <c r="F370" s="2">
        <v>1817.36</v>
      </c>
      <c r="G370" s="2">
        <v>866.28</v>
      </c>
      <c r="H370" s="2" t="str">
        <f>VLOOKUP(qhkz_4dqm[[#This Row],[fuel_type]],lookup!A:B,2,FALSE)</f>
        <v>Gasoline</v>
      </c>
      <c r="I370" s="2">
        <f ca="1">YEAR(TODAY())-qhkz_4dqm[[#This Row],[year]]</f>
        <v>24</v>
      </c>
      <c r="J370" s="2" t="str" cm="1">
        <f t="array" aca="1" ref="J370" ca="1">_xlfn.IFS(qhkz_4dqm[[#This Row],[vehicle_age]]&lt;=3,"Newer",qhkz_4dqm[[#This Row],[vehicle_age]]&lt;=9,"Mid-age",qhkz_4dqm[[#This Row],[vehicle_age]]&lt;=19,"Older",qhkz_4dqm[[#This Row],[vehicle_age]]&gt;=20,"Very Old")</f>
        <v>Very Old</v>
      </c>
    </row>
    <row r="371" spans="1:10">
      <c r="A371" s="2">
        <v>24065381</v>
      </c>
      <c r="B371" s="2">
        <v>2406538101</v>
      </c>
      <c r="C371" s="2">
        <v>1</v>
      </c>
      <c r="D371" s="2">
        <v>2018</v>
      </c>
      <c r="E371" s="2">
        <v>1</v>
      </c>
      <c r="F371" s="2">
        <v>133.01</v>
      </c>
      <c r="G371" s="2">
        <v>1011.18</v>
      </c>
      <c r="H371" s="2" t="str">
        <f>VLOOKUP(qhkz_4dqm[[#This Row],[fuel_type]],lookup!A:B,2,FALSE)</f>
        <v>Gasoline</v>
      </c>
      <c r="I371" s="2">
        <f ca="1">YEAR(TODAY())-qhkz_4dqm[[#This Row],[year]]</f>
        <v>8</v>
      </c>
      <c r="J371" s="2" t="str" cm="1">
        <f t="array" aca="1" ref="J371" ca="1">_xlfn.IFS(qhkz_4dqm[[#This Row],[vehicle_age]]&lt;=3,"Newer",qhkz_4dqm[[#This Row],[vehicle_age]]&lt;=9,"Mid-age",qhkz_4dqm[[#This Row],[vehicle_age]]&lt;=19,"Older",qhkz_4dqm[[#This Row],[vehicle_age]]&gt;=20,"Very Old")</f>
        <v>Mid-age</v>
      </c>
    </row>
    <row r="372" spans="1:10">
      <c r="A372" s="2">
        <v>24065661</v>
      </c>
      <c r="B372" s="2">
        <v>2406566101</v>
      </c>
      <c r="C372" s="2">
        <v>1</v>
      </c>
      <c r="D372" s="2">
        <v>2023</v>
      </c>
      <c r="E372" s="2">
        <v>1</v>
      </c>
      <c r="F372" s="2">
        <v>87.48</v>
      </c>
      <c r="G372" s="2">
        <v>457.75</v>
      </c>
      <c r="H372" s="2" t="str">
        <f>VLOOKUP(qhkz_4dqm[[#This Row],[fuel_type]],lookup!A:B,2,FALSE)</f>
        <v>Gasoline</v>
      </c>
      <c r="I372" s="2">
        <f ca="1">YEAR(TODAY())-qhkz_4dqm[[#This Row],[year]]</f>
        <v>3</v>
      </c>
      <c r="J372" s="2" t="str" cm="1">
        <f t="array" aca="1" ref="J372" ca="1">_xlfn.IFS(qhkz_4dqm[[#This Row],[vehicle_age]]&lt;=3,"Newer",qhkz_4dqm[[#This Row],[vehicle_age]]&lt;=9,"Mid-age",qhkz_4dqm[[#This Row],[vehicle_age]]&lt;=19,"Older",qhkz_4dqm[[#This Row],[vehicle_age]]&gt;=20,"Very Old")</f>
        <v>Newer</v>
      </c>
    </row>
    <row r="373" spans="1:10">
      <c r="A373" s="2">
        <v>24065971</v>
      </c>
      <c r="B373" s="2">
        <v>2406597101</v>
      </c>
      <c r="C373" s="2">
        <v>1</v>
      </c>
      <c r="D373" s="2">
        <v>2019</v>
      </c>
      <c r="E373" s="2">
        <v>1</v>
      </c>
      <c r="F373" s="2">
        <v>4994.7700000000004</v>
      </c>
      <c r="G373" s="2">
        <v>3328.4</v>
      </c>
      <c r="H373" s="2" t="str">
        <f>VLOOKUP(qhkz_4dqm[[#This Row],[fuel_type]],lookup!A:B,2,FALSE)</f>
        <v>Gasoline</v>
      </c>
      <c r="I373" s="2">
        <f ca="1">YEAR(TODAY())-qhkz_4dqm[[#This Row],[year]]</f>
        <v>7</v>
      </c>
      <c r="J373" s="2" t="str" cm="1">
        <f t="array" aca="1" ref="J373" ca="1">_xlfn.IFS(qhkz_4dqm[[#This Row],[vehicle_age]]&lt;=3,"Newer",qhkz_4dqm[[#This Row],[vehicle_age]]&lt;=9,"Mid-age",qhkz_4dqm[[#This Row],[vehicle_age]]&lt;=19,"Older",qhkz_4dqm[[#This Row],[vehicle_age]]&gt;=20,"Very Old")</f>
        <v>Mid-age</v>
      </c>
    </row>
    <row r="374" spans="1:10">
      <c r="A374" s="2">
        <v>24066005</v>
      </c>
      <c r="B374" s="2">
        <v>2406600501</v>
      </c>
      <c r="C374" s="2">
        <v>1</v>
      </c>
      <c r="D374" s="2">
        <v>2012</v>
      </c>
      <c r="E374" s="2">
        <v>1</v>
      </c>
      <c r="F374" s="2">
        <v>141.22</v>
      </c>
      <c r="G374" s="2">
        <v>706.11</v>
      </c>
      <c r="H374" s="2" t="str">
        <f>VLOOKUP(qhkz_4dqm[[#This Row],[fuel_type]],lookup!A:B,2,FALSE)</f>
        <v>Gasoline</v>
      </c>
      <c r="I374" s="2">
        <f ca="1">YEAR(TODAY())-qhkz_4dqm[[#This Row],[year]]</f>
        <v>14</v>
      </c>
      <c r="J374" s="2" t="str" cm="1">
        <f t="array" aca="1" ref="J374" ca="1">_xlfn.IFS(qhkz_4dqm[[#This Row],[vehicle_age]]&lt;=3,"Newer",qhkz_4dqm[[#This Row],[vehicle_age]]&lt;=9,"Mid-age",qhkz_4dqm[[#This Row],[vehicle_age]]&lt;=19,"Older",qhkz_4dqm[[#This Row],[vehicle_age]]&gt;=20,"Very Old")</f>
        <v>Older</v>
      </c>
    </row>
    <row r="375" spans="1:10">
      <c r="A375" s="2">
        <v>24066112</v>
      </c>
      <c r="B375" s="2">
        <v>2406611201</v>
      </c>
      <c r="C375" s="2">
        <v>1</v>
      </c>
      <c r="D375" s="2">
        <v>2016</v>
      </c>
      <c r="E375" s="2">
        <v>1</v>
      </c>
      <c r="F375" s="2">
        <v>1607.32</v>
      </c>
      <c r="G375" s="2">
        <v>2699.97</v>
      </c>
      <c r="H375" s="2" t="str">
        <f>VLOOKUP(qhkz_4dqm[[#This Row],[fuel_type]],lookup!A:B,2,FALSE)</f>
        <v>Gasoline</v>
      </c>
      <c r="I375" s="2">
        <f ca="1">YEAR(TODAY())-qhkz_4dqm[[#This Row],[year]]</f>
        <v>10</v>
      </c>
      <c r="J375" s="2" t="str" cm="1">
        <f t="array" aca="1" ref="J375" ca="1">_xlfn.IFS(qhkz_4dqm[[#This Row],[vehicle_age]]&lt;=3,"Newer",qhkz_4dqm[[#This Row],[vehicle_age]]&lt;=9,"Mid-age",qhkz_4dqm[[#This Row],[vehicle_age]]&lt;=19,"Older",qhkz_4dqm[[#This Row],[vehicle_age]]&gt;=20,"Very Old")</f>
        <v>Older</v>
      </c>
    </row>
    <row r="376" spans="1:10">
      <c r="A376" s="2">
        <v>24066145</v>
      </c>
      <c r="B376" s="2">
        <v>2406614501</v>
      </c>
      <c r="C376" s="2">
        <v>1</v>
      </c>
      <c r="D376" s="2">
        <v>2022</v>
      </c>
      <c r="E376" s="2">
        <v>1</v>
      </c>
      <c r="F376" s="2">
        <v>467.45</v>
      </c>
      <c r="G376" s="2">
        <v>1127.56</v>
      </c>
      <c r="H376" s="2" t="str">
        <f>VLOOKUP(qhkz_4dqm[[#This Row],[fuel_type]],lookup!A:B,2,FALSE)</f>
        <v>Gasoline</v>
      </c>
      <c r="I376" s="2">
        <f ca="1">YEAR(TODAY())-qhkz_4dqm[[#This Row],[year]]</f>
        <v>4</v>
      </c>
      <c r="J376" s="2" t="str" cm="1">
        <f t="array" aca="1" ref="J376" ca="1">_xlfn.IFS(qhkz_4dqm[[#This Row],[vehicle_age]]&lt;=3,"Newer",qhkz_4dqm[[#This Row],[vehicle_age]]&lt;=9,"Mid-age",qhkz_4dqm[[#This Row],[vehicle_age]]&lt;=19,"Older",qhkz_4dqm[[#This Row],[vehicle_age]]&gt;=20,"Very Old")</f>
        <v>Mid-age</v>
      </c>
    </row>
    <row r="377" spans="1:10">
      <c r="A377" s="2">
        <v>24066146</v>
      </c>
      <c r="B377" s="2">
        <v>2406614601</v>
      </c>
      <c r="C377" s="2">
        <v>1</v>
      </c>
      <c r="D377" s="2">
        <v>2008</v>
      </c>
      <c r="E377" s="2">
        <v>1</v>
      </c>
      <c r="F377" s="2">
        <v>711.59</v>
      </c>
      <c r="G377" s="2">
        <v>754.31</v>
      </c>
      <c r="H377" s="2" t="str">
        <f>VLOOKUP(qhkz_4dqm[[#This Row],[fuel_type]],lookup!A:B,2,FALSE)</f>
        <v>Gasoline</v>
      </c>
      <c r="I377" s="2">
        <f ca="1">YEAR(TODAY())-qhkz_4dqm[[#This Row],[year]]</f>
        <v>18</v>
      </c>
      <c r="J377" s="2" t="str" cm="1">
        <f t="array" aca="1" ref="J377" ca="1">_xlfn.IFS(qhkz_4dqm[[#This Row],[vehicle_age]]&lt;=3,"Newer",qhkz_4dqm[[#This Row],[vehicle_age]]&lt;=9,"Mid-age",qhkz_4dqm[[#This Row],[vehicle_age]]&lt;=19,"Older",qhkz_4dqm[[#This Row],[vehicle_age]]&gt;=20,"Very Old")</f>
        <v>Older</v>
      </c>
    </row>
    <row r="378" spans="1:10">
      <c r="A378" s="2">
        <v>24066147</v>
      </c>
      <c r="B378" s="2">
        <v>2406614701</v>
      </c>
      <c r="C378" s="2">
        <v>1</v>
      </c>
      <c r="D378" s="2">
        <v>2014</v>
      </c>
      <c r="E378" s="2">
        <v>1</v>
      </c>
      <c r="F378" s="2">
        <v>3743.62</v>
      </c>
      <c r="G378" s="2">
        <v>2393.09</v>
      </c>
      <c r="H378" s="2" t="str">
        <f>VLOOKUP(qhkz_4dqm[[#This Row],[fuel_type]],lookup!A:B,2,FALSE)</f>
        <v>Gasoline</v>
      </c>
      <c r="I378" s="2">
        <f ca="1">YEAR(TODAY())-qhkz_4dqm[[#This Row],[year]]</f>
        <v>12</v>
      </c>
      <c r="J378" s="2" t="str" cm="1">
        <f t="array" aca="1" ref="J378" ca="1">_xlfn.IFS(qhkz_4dqm[[#This Row],[vehicle_age]]&lt;=3,"Newer",qhkz_4dqm[[#This Row],[vehicle_age]]&lt;=9,"Mid-age",qhkz_4dqm[[#This Row],[vehicle_age]]&lt;=19,"Older",qhkz_4dqm[[#This Row],[vehicle_age]]&gt;=20,"Very Old")</f>
        <v>Older</v>
      </c>
    </row>
    <row r="379" spans="1:10">
      <c r="A379" s="2">
        <v>24066209</v>
      </c>
      <c r="B379" s="2">
        <v>2406620901</v>
      </c>
      <c r="C379" s="2">
        <v>1</v>
      </c>
      <c r="D379" s="2">
        <v>2021</v>
      </c>
      <c r="E379" s="2">
        <v>1</v>
      </c>
      <c r="F379" s="2">
        <v>6.36</v>
      </c>
      <c r="G379" s="2">
        <v>160.07</v>
      </c>
      <c r="H379" s="2" t="str">
        <f>VLOOKUP(qhkz_4dqm[[#This Row],[fuel_type]],lookup!A:B,2,FALSE)</f>
        <v>Gasoline</v>
      </c>
      <c r="I379" s="2">
        <f ca="1">YEAR(TODAY())-qhkz_4dqm[[#This Row],[year]]</f>
        <v>5</v>
      </c>
      <c r="J379" s="2" t="str" cm="1">
        <f t="array" aca="1" ref="J379" ca="1">_xlfn.IFS(qhkz_4dqm[[#This Row],[vehicle_age]]&lt;=3,"Newer",qhkz_4dqm[[#This Row],[vehicle_age]]&lt;=9,"Mid-age",qhkz_4dqm[[#This Row],[vehicle_age]]&lt;=19,"Older",qhkz_4dqm[[#This Row],[vehicle_age]]&gt;=20,"Very Old")</f>
        <v>Mid-age</v>
      </c>
    </row>
    <row r="380" spans="1:10">
      <c r="A380" s="2">
        <v>24066249</v>
      </c>
      <c r="B380" s="2">
        <v>2406624901</v>
      </c>
      <c r="C380" s="2">
        <v>1</v>
      </c>
      <c r="D380" s="2">
        <v>2016</v>
      </c>
      <c r="E380" s="2">
        <v>1</v>
      </c>
      <c r="F380" s="2">
        <v>2734.3</v>
      </c>
      <c r="G380" s="2">
        <v>4935.1499999999996</v>
      </c>
      <c r="H380" s="2" t="str">
        <f>VLOOKUP(qhkz_4dqm[[#This Row],[fuel_type]],lookup!A:B,2,FALSE)</f>
        <v>Gasoline</v>
      </c>
      <c r="I380" s="2">
        <f ca="1">YEAR(TODAY())-qhkz_4dqm[[#This Row],[year]]</f>
        <v>10</v>
      </c>
      <c r="J380" s="2" t="str" cm="1">
        <f t="array" aca="1" ref="J380" ca="1">_xlfn.IFS(qhkz_4dqm[[#This Row],[vehicle_age]]&lt;=3,"Newer",qhkz_4dqm[[#This Row],[vehicle_age]]&lt;=9,"Mid-age",qhkz_4dqm[[#This Row],[vehicle_age]]&lt;=19,"Older",qhkz_4dqm[[#This Row],[vehicle_age]]&gt;=20,"Very Old")</f>
        <v>Older</v>
      </c>
    </row>
    <row r="381" spans="1:10">
      <c r="A381" s="2">
        <v>24066390</v>
      </c>
      <c r="B381" s="2">
        <v>2406639001</v>
      </c>
      <c r="C381" s="2">
        <v>1</v>
      </c>
      <c r="D381" s="2">
        <v>2024</v>
      </c>
      <c r="E381" s="2">
        <v>1</v>
      </c>
      <c r="F381" s="2">
        <v>365.72</v>
      </c>
      <c r="G381" s="2">
        <v>890.79</v>
      </c>
      <c r="H381" s="2" t="str">
        <f>VLOOKUP(qhkz_4dqm[[#This Row],[fuel_type]],lookup!A:B,2,FALSE)</f>
        <v>Gasoline</v>
      </c>
      <c r="I381" s="2">
        <f ca="1">YEAR(TODAY())-qhkz_4dqm[[#This Row],[year]]</f>
        <v>2</v>
      </c>
      <c r="J381" s="2" t="str" cm="1">
        <f t="array" aca="1" ref="J381" ca="1">_xlfn.IFS(qhkz_4dqm[[#This Row],[vehicle_age]]&lt;=3,"Newer",qhkz_4dqm[[#This Row],[vehicle_age]]&lt;=9,"Mid-age",qhkz_4dqm[[#This Row],[vehicle_age]]&lt;=19,"Older",qhkz_4dqm[[#This Row],[vehicle_age]]&gt;=20,"Very Old")</f>
        <v>Newer</v>
      </c>
    </row>
    <row r="382" spans="1:10">
      <c r="A382" s="2">
        <v>24066408</v>
      </c>
      <c r="B382" s="2">
        <v>2406640801</v>
      </c>
      <c r="C382" s="2">
        <v>1</v>
      </c>
      <c r="D382" s="2">
        <v>2022</v>
      </c>
      <c r="E382" s="2">
        <v>1</v>
      </c>
      <c r="F382" s="2">
        <v>3660.87</v>
      </c>
      <c r="G382" s="2">
        <v>2962.53</v>
      </c>
      <c r="H382" s="2" t="str">
        <f>VLOOKUP(qhkz_4dqm[[#This Row],[fuel_type]],lookup!A:B,2,FALSE)</f>
        <v>Gasoline</v>
      </c>
      <c r="I382" s="2">
        <f ca="1">YEAR(TODAY())-qhkz_4dqm[[#This Row],[year]]</f>
        <v>4</v>
      </c>
      <c r="J382" s="2" t="str" cm="1">
        <f t="array" aca="1" ref="J382" ca="1">_xlfn.IFS(qhkz_4dqm[[#This Row],[vehicle_age]]&lt;=3,"Newer",qhkz_4dqm[[#This Row],[vehicle_age]]&lt;=9,"Mid-age",qhkz_4dqm[[#This Row],[vehicle_age]]&lt;=19,"Older",qhkz_4dqm[[#This Row],[vehicle_age]]&gt;=20,"Very Old")</f>
        <v>Mid-age</v>
      </c>
    </row>
    <row r="383" spans="1:10">
      <c r="A383" s="2">
        <v>24066498</v>
      </c>
      <c r="B383" s="2">
        <v>2406649801</v>
      </c>
      <c r="C383" s="2">
        <v>1</v>
      </c>
      <c r="D383" s="2">
        <v>2015</v>
      </c>
      <c r="E383" s="2">
        <v>1</v>
      </c>
      <c r="F383" s="2">
        <v>188.95</v>
      </c>
      <c r="G383" s="2">
        <v>901.09</v>
      </c>
      <c r="H383" s="2" t="str">
        <f>VLOOKUP(qhkz_4dqm[[#This Row],[fuel_type]],lookup!A:B,2,FALSE)</f>
        <v>Gasoline</v>
      </c>
      <c r="I383" s="2">
        <f ca="1">YEAR(TODAY())-qhkz_4dqm[[#This Row],[year]]</f>
        <v>11</v>
      </c>
      <c r="J383" s="2" t="str" cm="1">
        <f t="array" aca="1" ref="J383" ca="1">_xlfn.IFS(qhkz_4dqm[[#This Row],[vehicle_age]]&lt;=3,"Newer",qhkz_4dqm[[#This Row],[vehicle_age]]&lt;=9,"Mid-age",qhkz_4dqm[[#This Row],[vehicle_age]]&lt;=19,"Older",qhkz_4dqm[[#This Row],[vehicle_age]]&gt;=20,"Very Old")</f>
        <v>Older</v>
      </c>
    </row>
    <row r="384" spans="1:10">
      <c r="A384" s="2">
        <v>24066662</v>
      </c>
      <c r="B384" s="2">
        <v>2406666201</v>
      </c>
      <c r="C384" s="2">
        <v>1</v>
      </c>
      <c r="D384" s="2">
        <v>2019</v>
      </c>
      <c r="E384" s="2">
        <v>1</v>
      </c>
      <c r="F384" s="2">
        <v>2172.16</v>
      </c>
      <c r="G384" s="2">
        <v>1025.54</v>
      </c>
      <c r="H384" s="2" t="str">
        <f>VLOOKUP(qhkz_4dqm[[#This Row],[fuel_type]],lookup!A:B,2,FALSE)</f>
        <v>Gasoline</v>
      </c>
      <c r="I384" s="2">
        <f ca="1">YEAR(TODAY())-qhkz_4dqm[[#This Row],[year]]</f>
        <v>7</v>
      </c>
      <c r="J384" s="2" t="str" cm="1">
        <f t="array" aca="1" ref="J384" ca="1">_xlfn.IFS(qhkz_4dqm[[#This Row],[vehicle_age]]&lt;=3,"Newer",qhkz_4dqm[[#This Row],[vehicle_age]]&lt;=9,"Mid-age",qhkz_4dqm[[#This Row],[vehicle_age]]&lt;=19,"Older",qhkz_4dqm[[#This Row],[vehicle_age]]&gt;=20,"Very Old")</f>
        <v>Mid-age</v>
      </c>
    </row>
    <row r="385" spans="1:10">
      <c r="A385" s="2">
        <v>24066936</v>
      </c>
      <c r="B385" s="2">
        <v>2406693601</v>
      </c>
      <c r="C385" s="2">
        <v>1</v>
      </c>
      <c r="D385" s="2">
        <v>2008</v>
      </c>
      <c r="E385" s="2">
        <v>1</v>
      </c>
      <c r="F385" s="2">
        <v>116.57</v>
      </c>
      <c r="G385" s="2">
        <v>749.55</v>
      </c>
      <c r="H385" s="2" t="str">
        <f>VLOOKUP(qhkz_4dqm[[#This Row],[fuel_type]],lookup!A:B,2,FALSE)</f>
        <v>Gasoline</v>
      </c>
      <c r="I385" s="2">
        <f ca="1">YEAR(TODAY())-qhkz_4dqm[[#This Row],[year]]</f>
        <v>18</v>
      </c>
      <c r="J385" s="2" t="str" cm="1">
        <f t="array" aca="1" ref="J385" ca="1">_xlfn.IFS(qhkz_4dqm[[#This Row],[vehicle_age]]&lt;=3,"Newer",qhkz_4dqm[[#This Row],[vehicle_age]]&lt;=9,"Mid-age",qhkz_4dqm[[#This Row],[vehicle_age]]&lt;=19,"Older",qhkz_4dqm[[#This Row],[vehicle_age]]&gt;=20,"Very Old")</f>
        <v>Older</v>
      </c>
    </row>
    <row r="386" spans="1:10">
      <c r="A386" s="2">
        <v>24067099</v>
      </c>
      <c r="B386" s="2">
        <v>2406709901</v>
      </c>
      <c r="C386" s="2">
        <v>1</v>
      </c>
      <c r="D386" s="2">
        <v>2014</v>
      </c>
      <c r="E386" s="2">
        <v>1</v>
      </c>
      <c r="F386" s="2">
        <v>123.42</v>
      </c>
      <c r="G386" s="2">
        <v>407.55</v>
      </c>
      <c r="H386" s="2" t="str">
        <f>VLOOKUP(qhkz_4dqm[[#This Row],[fuel_type]],lookup!A:B,2,FALSE)</f>
        <v>Gasoline</v>
      </c>
      <c r="I386" s="2">
        <f ca="1">YEAR(TODAY())-qhkz_4dqm[[#This Row],[year]]</f>
        <v>12</v>
      </c>
      <c r="J386" s="2" t="str" cm="1">
        <f t="array" aca="1" ref="J386" ca="1">_xlfn.IFS(qhkz_4dqm[[#This Row],[vehicle_age]]&lt;=3,"Newer",qhkz_4dqm[[#This Row],[vehicle_age]]&lt;=9,"Mid-age",qhkz_4dqm[[#This Row],[vehicle_age]]&lt;=19,"Older",qhkz_4dqm[[#This Row],[vehicle_age]]&gt;=20,"Very Old")</f>
        <v>Older</v>
      </c>
    </row>
    <row r="387" spans="1:10">
      <c r="A387" s="2">
        <v>24067121</v>
      </c>
      <c r="B387" s="2">
        <v>2406712101</v>
      </c>
      <c r="C387" s="2">
        <v>1</v>
      </c>
      <c r="D387" s="2">
        <v>2001</v>
      </c>
      <c r="E387" s="2">
        <v>1</v>
      </c>
      <c r="F387" s="2">
        <v>25.8</v>
      </c>
      <c r="G387" s="2">
        <v>196.84</v>
      </c>
      <c r="H387" s="2" t="str">
        <f>VLOOKUP(qhkz_4dqm[[#This Row],[fuel_type]],lookup!A:B,2,FALSE)</f>
        <v>Gasoline</v>
      </c>
      <c r="I387" s="2">
        <f ca="1">YEAR(TODAY())-qhkz_4dqm[[#This Row],[year]]</f>
        <v>25</v>
      </c>
      <c r="J387" s="2" t="str" cm="1">
        <f t="array" aca="1" ref="J387" ca="1">_xlfn.IFS(qhkz_4dqm[[#This Row],[vehicle_age]]&lt;=3,"Newer",qhkz_4dqm[[#This Row],[vehicle_age]]&lt;=9,"Mid-age",qhkz_4dqm[[#This Row],[vehicle_age]]&lt;=19,"Older",qhkz_4dqm[[#This Row],[vehicle_age]]&gt;=20,"Very Old")</f>
        <v>Very Old</v>
      </c>
    </row>
    <row r="388" spans="1:10">
      <c r="A388" s="2">
        <v>24067151</v>
      </c>
      <c r="B388" s="2">
        <v>2406715101</v>
      </c>
      <c r="C388" s="2">
        <v>1</v>
      </c>
      <c r="D388" s="2">
        <v>2014</v>
      </c>
      <c r="E388" s="2">
        <v>1</v>
      </c>
      <c r="F388" s="2">
        <v>1615.89</v>
      </c>
      <c r="G388" s="2">
        <v>1378.06</v>
      </c>
      <c r="H388" s="2" t="str">
        <f>VLOOKUP(qhkz_4dqm[[#This Row],[fuel_type]],lookup!A:B,2,FALSE)</f>
        <v>Gasoline</v>
      </c>
      <c r="I388" s="2">
        <f ca="1">YEAR(TODAY())-qhkz_4dqm[[#This Row],[year]]</f>
        <v>12</v>
      </c>
      <c r="J388" s="2" t="str" cm="1">
        <f t="array" aca="1" ref="J388" ca="1">_xlfn.IFS(qhkz_4dqm[[#This Row],[vehicle_age]]&lt;=3,"Newer",qhkz_4dqm[[#This Row],[vehicle_age]]&lt;=9,"Mid-age",qhkz_4dqm[[#This Row],[vehicle_age]]&lt;=19,"Older",qhkz_4dqm[[#This Row],[vehicle_age]]&gt;=20,"Very Old")</f>
        <v>Older</v>
      </c>
    </row>
    <row r="389" spans="1:10">
      <c r="A389" s="2">
        <v>24067250</v>
      </c>
      <c r="B389" s="2">
        <v>2406725001</v>
      </c>
      <c r="C389" s="2">
        <v>1</v>
      </c>
      <c r="D389" s="2">
        <v>2004</v>
      </c>
      <c r="E389" s="2">
        <v>1</v>
      </c>
      <c r="F389" s="2">
        <v>3693.46</v>
      </c>
      <c r="G389" s="2">
        <v>1440.43</v>
      </c>
      <c r="H389" s="2" t="str">
        <f>VLOOKUP(qhkz_4dqm[[#This Row],[fuel_type]],lookup!A:B,2,FALSE)</f>
        <v>Gasoline</v>
      </c>
      <c r="I389" s="2">
        <f ca="1">YEAR(TODAY())-qhkz_4dqm[[#This Row],[year]]</f>
        <v>22</v>
      </c>
      <c r="J389" s="2" t="str" cm="1">
        <f t="array" aca="1" ref="J389" ca="1">_xlfn.IFS(qhkz_4dqm[[#This Row],[vehicle_age]]&lt;=3,"Newer",qhkz_4dqm[[#This Row],[vehicle_age]]&lt;=9,"Mid-age",qhkz_4dqm[[#This Row],[vehicle_age]]&lt;=19,"Older",qhkz_4dqm[[#This Row],[vehicle_age]]&gt;=20,"Very Old")</f>
        <v>Very Old</v>
      </c>
    </row>
    <row r="390" spans="1:10">
      <c r="A390" s="2">
        <v>24067284</v>
      </c>
      <c r="B390" s="2">
        <v>2406728401</v>
      </c>
      <c r="C390" s="2">
        <v>1</v>
      </c>
      <c r="D390" s="2">
        <v>2018</v>
      </c>
      <c r="E390" s="2">
        <v>1</v>
      </c>
      <c r="F390" s="2">
        <v>67.39</v>
      </c>
      <c r="G390" s="2">
        <v>1689.88</v>
      </c>
      <c r="H390" s="2" t="str">
        <f>VLOOKUP(qhkz_4dqm[[#This Row],[fuel_type]],lookup!A:B,2,FALSE)</f>
        <v>Gasoline</v>
      </c>
      <c r="I390" s="2">
        <f ca="1">YEAR(TODAY())-qhkz_4dqm[[#This Row],[year]]</f>
        <v>8</v>
      </c>
      <c r="J390" s="2" t="str" cm="1">
        <f t="array" aca="1" ref="J390" ca="1">_xlfn.IFS(qhkz_4dqm[[#This Row],[vehicle_age]]&lt;=3,"Newer",qhkz_4dqm[[#This Row],[vehicle_age]]&lt;=9,"Mid-age",qhkz_4dqm[[#This Row],[vehicle_age]]&lt;=19,"Older",qhkz_4dqm[[#This Row],[vehicle_age]]&gt;=20,"Very Old")</f>
        <v>Mid-age</v>
      </c>
    </row>
    <row r="391" spans="1:10">
      <c r="A391" s="2">
        <v>24067369</v>
      </c>
      <c r="B391" s="2">
        <v>2406736901</v>
      </c>
      <c r="C391" s="2">
        <v>1</v>
      </c>
      <c r="D391" s="2">
        <v>2011</v>
      </c>
      <c r="E391" s="2">
        <v>1</v>
      </c>
      <c r="F391" s="2">
        <v>2138.59</v>
      </c>
      <c r="G391" s="2">
        <v>1289.5899999999999</v>
      </c>
      <c r="H391" s="2" t="str">
        <f>VLOOKUP(qhkz_4dqm[[#This Row],[fuel_type]],lookup!A:B,2,FALSE)</f>
        <v>Gasoline</v>
      </c>
      <c r="I391" s="2">
        <f ca="1">YEAR(TODAY())-qhkz_4dqm[[#This Row],[year]]</f>
        <v>15</v>
      </c>
      <c r="J391" s="2" t="str" cm="1">
        <f t="array" aca="1" ref="J391" ca="1">_xlfn.IFS(qhkz_4dqm[[#This Row],[vehicle_age]]&lt;=3,"Newer",qhkz_4dqm[[#This Row],[vehicle_age]]&lt;=9,"Mid-age",qhkz_4dqm[[#This Row],[vehicle_age]]&lt;=19,"Older",qhkz_4dqm[[#This Row],[vehicle_age]]&gt;=20,"Very Old")</f>
        <v>Older</v>
      </c>
    </row>
    <row r="392" spans="1:10">
      <c r="A392" s="2">
        <v>24067482</v>
      </c>
      <c r="B392" s="2">
        <v>2406748201</v>
      </c>
      <c r="C392" s="2">
        <v>1</v>
      </c>
      <c r="D392" s="2">
        <v>2017</v>
      </c>
      <c r="E392" s="2">
        <v>1</v>
      </c>
      <c r="F392" s="2">
        <v>50.98</v>
      </c>
      <c r="G392" s="2">
        <v>587.48</v>
      </c>
      <c r="H392" s="2" t="str">
        <f>VLOOKUP(qhkz_4dqm[[#This Row],[fuel_type]],lookup!A:B,2,FALSE)</f>
        <v>Gasoline</v>
      </c>
      <c r="I392" s="2">
        <f ca="1">YEAR(TODAY())-qhkz_4dqm[[#This Row],[year]]</f>
        <v>9</v>
      </c>
      <c r="J392" s="2" t="str" cm="1">
        <f t="array" aca="1" ref="J392" ca="1">_xlfn.IFS(qhkz_4dqm[[#This Row],[vehicle_age]]&lt;=3,"Newer",qhkz_4dqm[[#This Row],[vehicle_age]]&lt;=9,"Mid-age",qhkz_4dqm[[#This Row],[vehicle_age]]&lt;=19,"Older",qhkz_4dqm[[#This Row],[vehicle_age]]&gt;=20,"Very Old")</f>
        <v>Mid-age</v>
      </c>
    </row>
    <row r="393" spans="1:10">
      <c r="A393" s="2">
        <v>24067558</v>
      </c>
      <c r="B393" s="2">
        <v>2406755801</v>
      </c>
      <c r="C393" s="2">
        <v>1</v>
      </c>
      <c r="D393" s="2">
        <v>2015</v>
      </c>
      <c r="E393" s="2">
        <v>1</v>
      </c>
      <c r="F393" s="2">
        <v>11.3</v>
      </c>
      <c r="G393" s="2">
        <v>1472.52</v>
      </c>
      <c r="H393" s="2" t="str">
        <f>VLOOKUP(qhkz_4dqm[[#This Row],[fuel_type]],lookup!A:B,2,FALSE)</f>
        <v>Gasoline</v>
      </c>
      <c r="I393" s="2">
        <f ca="1">YEAR(TODAY())-qhkz_4dqm[[#This Row],[year]]</f>
        <v>11</v>
      </c>
      <c r="J393" s="2" t="str" cm="1">
        <f t="array" aca="1" ref="J393" ca="1">_xlfn.IFS(qhkz_4dqm[[#This Row],[vehicle_age]]&lt;=3,"Newer",qhkz_4dqm[[#This Row],[vehicle_age]]&lt;=9,"Mid-age",qhkz_4dqm[[#This Row],[vehicle_age]]&lt;=19,"Older",qhkz_4dqm[[#This Row],[vehicle_age]]&gt;=20,"Very Old")</f>
        <v>Older</v>
      </c>
    </row>
    <row r="394" spans="1:10">
      <c r="A394" s="2">
        <v>24067626</v>
      </c>
      <c r="B394" s="2">
        <v>2406762601</v>
      </c>
      <c r="C394" s="2">
        <v>1</v>
      </c>
      <c r="D394" s="2">
        <v>2009</v>
      </c>
      <c r="E394" s="2">
        <v>1</v>
      </c>
      <c r="F394" s="2">
        <v>2271.19</v>
      </c>
      <c r="G394" s="2">
        <v>1478.59</v>
      </c>
      <c r="H394" s="2" t="str">
        <f>VLOOKUP(qhkz_4dqm[[#This Row],[fuel_type]],lookup!A:B,2,FALSE)</f>
        <v>Gasoline</v>
      </c>
      <c r="I394" s="2">
        <f ca="1">YEAR(TODAY())-qhkz_4dqm[[#This Row],[year]]</f>
        <v>17</v>
      </c>
      <c r="J394" s="2" t="str" cm="1">
        <f t="array" aca="1" ref="J394" ca="1">_xlfn.IFS(qhkz_4dqm[[#This Row],[vehicle_age]]&lt;=3,"Newer",qhkz_4dqm[[#This Row],[vehicle_age]]&lt;=9,"Mid-age",qhkz_4dqm[[#This Row],[vehicle_age]]&lt;=19,"Older",qhkz_4dqm[[#This Row],[vehicle_age]]&gt;=20,"Very Old")</f>
        <v>Older</v>
      </c>
    </row>
    <row r="395" spans="1:10">
      <c r="A395" s="2">
        <v>24067721</v>
      </c>
      <c r="B395" s="2">
        <v>2406772101</v>
      </c>
      <c r="C395" s="2">
        <v>1</v>
      </c>
      <c r="D395" s="2">
        <v>2020</v>
      </c>
      <c r="E395" s="2">
        <v>1</v>
      </c>
      <c r="F395" s="2">
        <v>1222.48</v>
      </c>
      <c r="G395" s="2">
        <v>1546.99</v>
      </c>
      <c r="H395" s="2" t="str">
        <f>VLOOKUP(qhkz_4dqm[[#This Row],[fuel_type]],lookup!A:B,2,FALSE)</f>
        <v>Gasoline</v>
      </c>
      <c r="I395" s="2">
        <f ca="1">YEAR(TODAY())-qhkz_4dqm[[#This Row],[year]]</f>
        <v>6</v>
      </c>
      <c r="J395" s="2" t="str" cm="1">
        <f t="array" aca="1" ref="J395" ca="1">_xlfn.IFS(qhkz_4dqm[[#This Row],[vehicle_age]]&lt;=3,"Newer",qhkz_4dqm[[#This Row],[vehicle_age]]&lt;=9,"Mid-age",qhkz_4dqm[[#This Row],[vehicle_age]]&lt;=19,"Older",qhkz_4dqm[[#This Row],[vehicle_age]]&gt;=20,"Very Old")</f>
        <v>Mid-age</v>
      </c>
    </row>
    <row r="396" spans="1:10">
      <c r="A396" s="2">
        <v>24068074</v>
      </c>
      <c r="B396" s="2">
        <v>2406807401</v>
      </c>
      <c r="C396" s="2">
        <v>1</v>
      </c>
      <c r="D396" s="2">
        <v>2005</v>
      </c>
      <c r="E396" s="2">
        <v>1</v>
      </c>
      <c r="F396" s="2">
        <v>67.64</v>
      </c>
      <c r="G396" s="2">
        <v>733.2</v>
      </c>
      <c r="H396" s="2" t="str">
        <f>VLOOKUP(qhkz_4dqm[[#This Row],[fuel_type]],lookup!A:B,2,FALSE)</f>
        <v>Gasoline</v>
      </c>
      <c r="I396" s="2">
        <f ca="1">YEAR(TODAY())-qhkz_4dqm[[#This Row],[year]]</f>
        <v>21</v>
      </c>
      <c r="J396" s="2" t="str" cm="1">
        <f t="array" aca="1" ref="J396" ca="1">_xlfn.IFS(qhkz_4dqm[[#This Row],[vehicle_age]]&lt;=3,"Newer",qhkz_4dqm[[#This Row],[vehicle_age]]&lt;=9,"Mid-age",qhkz_4dqm[[#This Row],[vehicle_age]]&lt;=19,"Older",qhkz_4dqm[[#This Row],[vehicle_age]]&gt;=20,"Very Old")</f>
        <v>Very Old</v>
      </c>
    </row>
    <row r="397" spans="1:10">
      <c r="A397" s="2">
        <v>24068537</v>
      </c>
      <c r="B397" s="2">
        <v>2406853701</v>
      </c>
      <c r="C397" s="2">
        <v>1</v>
      </c>
      <c r="D397" s="2">
        <v>2012</v>
      </c>
      <c r="E397" s="2">
        <v>1</v>
      </c>
      <c r="F397" s="2">
        <v>796.59</v>
      </c>
      <c r="G397" s="2">
        <v>824.17</v>
      </c>
      <c r="H397" s="2" t="str">
        <f>VLOOKUP(qhkz_4dqm[[#This Row],[fuel_type]],lookup!A:B,2,FALSE)</f>
        <v>Gasoline</v>
      </c>
      <c r="I397" s="2">
        <f ca="1">YEAR(TODAY())-qhkz_4dqm[[#This Row],[year]]</f>
        <v>14</v>
      </c>
      <c r="J397" s="2" t="str" cm="1">
        <f t="array" aca="1" ref="J397" ca="1">_xlfn.IFS(qhkz_4dqm[[#This Row],[vehicle_age]]&lt;=3,"Newer",qhkz_4dqm[[#This Row],[vehicle_age]]&lt;=9,"Mid-age",qhkz_4dqm[[#This Row],[vehicle_age]]&lt;=19,"Older",qhkz_4dqm[[#This Row],[vehicle_age]]&gt;=20,"Very Old")</f>
        <v>Older</v>
      </c>
    </row>
    <row r="398" spans="1:10">
      <c r="A398" s="2">
        <v>24068666</v>
      </c>
      <c r="B398" s="2">
        <v>2406866601</v>
      </c>
      <c r="C398" s="2">
        <v>1</v>
      </c>
      <c r="D398" s="2">
        <v>2020</v>
      </c>
      <c r="E398" s="2">
        <v>1</v>
      </c>
      <c r="F398" s="2">
        <v>242.66</v>
      </c>
      <c r="G398" s="2">
        <v>865.98</v>
      </c>
      <c r="H398" s="2" t="str">
        <f>VLOOKUP(qhkz_4dqm[[#This Row],[fuel_type]],lookup!A:B,2,FALSE)</f>
        <v>Gasoline</v>
      </c>
      <c r="I398" s="2">
        <f ca="1">YEAR(TODAY())-qhkz_4dqm[[#This Row],[year]]</f>
        <v>6</v>
      </c>
      <c r="J398" s="2" t="str" cm="1">
        <f t="array" aca="1" ref="J398" ca="1">_xlfn.IFS(qhkz_4dqm[[#This Row],[vehicle_age]]&lt;=3,"Newer",qhkz_4dqm[[#This Row],[vehicle_age]]&lt;=9,"Mid-age",qhkz_4dqm[[#This Row],[vehicle_age]]&lt;=19,"Older",qhkz_4dqm[[#This Row],[vehicle_age]]&gt;=20,"Very Old")</f>
        <v>Mid-age</v>
      </c>
    </row>
    <row r="399" spans="1:10">
      <c r="A399" s="2">
        <v>24068961</v>
      </c>
      <c r="B399" s="2">
        <v>2406896101</v>
      </c>
      <c r="C399" s="2">
        <v>1</v>
      </c>
      <c r="D399" s="2">
        <v>2018</v>
      </c>
      <c r="E399" s="2">
        <v>1</v>
      </c>
      <c r="F399" s="2">
        <v>151.13999999999999</v>
      </c>
      <c r="G399" s="2">
        <v>530.20000000000005</v>
      </c>
      <c r="H399" s="2" t="str">
        <f>VLOOKUP(qhkz_4dqm[[#This Row],[fuel_type]],lookup!A:B,2,FALSE)</f>
        <v>Gasoline</v>
      </c>
      <c r="I399" s="2">
        <f ca="1">YEAR(TODAY())-qhkz_4dqm[[#This Row],[year]]</f>
        <v>8</v>
      </c>
      <c r="J399" s="2" t="str" cm="1">
        <f t="array" aca="1" ref="J399" ca="1">_xlfn.IFS(qhkz_4dqm[[#This Row],[vehicle_age]]&lt;=3,"Newer",qhkz_4dqm[[#This Row],[vehicle_age]]&lt;=9,"Mid-age",qhkz_4dqm[[#This Row],[vehicle_age]]&lt;=19,"Older",qhkz_4dqm[[#This Row],[vehicle_age]]&gt;=20,"Very Old")</f>
        <v>Mid-age</v>
      </c>
    </row>
    <row r="400" spans="1:10">
      <c r="A400" s="2">
        <v>24068988</v>
      </c>
      <c r="B400" s="2">
        <v>2406898801</v>
      </c>
      <c r="C400" s="2">
        <v>1</v>
      </c>
      <c r="D400" s="2">
        <v>2009</v>
      </c>
      <c r="E400" s="2">
        <v>1</v>
      </c>
      <c r="F400" s="2">
        <v>443.06</v>
      </c>
      <c r="G400" s="2">
        <v>839.16</v>
      </c>
      <c r="H400" s="2" t="str">
        <f>VLOOKUP(qhkz_4dqm[[#This Row],[fuel_type]],lookup!A:B,2,FALSE)</f>
        <v>Gasoline</v>
      </c>
      <c r="I400" s="2">
        <f ca="1">YEAR(TODAY())-qhkz_4dqm[[#This Row],[year]]</f>
        <v>17</v>
      </c>
      <c r="J400" s="2" t="str" cm="1">
        <f t="array" aca="1" ref="J400" ca="1">_xlfn.IFS(qhkz_4dqm[[#This Row],[vehicle_age]]&lt;=3,"Newer",qhkz_4dqm[[#This Row],[vehicle_age]]&lt;=9,"Mid-age",qhkz_4dqm[[#This Row],[vehicle_age]]&lt;=19,"Older",qhkz_4dqm[[#This Row],[vehicle_age]]&gt;=20,"Very Old")</f>
        <v>Older</v>
      </c>
    </row>
    <row r="401" spans="1:10">
      <c r="A401" s="2">
        <v>24069013</v>
      </c>
      <c r="B401" s="2">
        <v>2406901301</v>
      </c>
      <c r="C401" s="2">
        <v>1</v>
      </c>
      <c r="D401" s="2">
        <v>2004</v>
      </c>
      <c r="E401" s="2">
        <v>1</v>
      </c>
      <c r="F401" s="2">
        <v>1118.73</v>
      </c>
      <c r="G401" s="2">
        <v>739.16</v>
      </c>
      <c r="H401" s="2" t="str">
        <f>VLOOKUP(qhkz_4dqm[[#This Row],[fuel_type]],lookup!A:B,2,FALSE)</f>
        <v>Gasoline</v>
      </c>
      <c r="I401" s="2">
        <f ca="1">YEAR(TODAY())-qhkz_4dqm[[#This Row],[year]]</f>
        <v>22</v>
      </c>
      <c r="J401" s="2" t="str" cm="1">
        <f t="array" aca="1" ref="J401" ca="1">_xlfn.IFS(qhkz_4dqm[[#This Row],[vehicle_age]]&lt;=3,"Newer",qhkz_4dqm[[#This Row],[vehicle_age]]&lt;=9,"Mid-age",qhkz_4dqm[[#This Row],[vehicle_age]]&lt;=19,"Older",qhkz_4dqm[[#This Row],[vehicle_age]]&gt;=20,"Very Old")</f>
        <v>Very Old</v>
      </c>
    </row>
    <row r="402" spans="1:10">
      <c r="A402" s="2">
        <v>24069109</v>
      </c>
      <c r="B402" s="2">
        <v>2406910901</v>
      </c>
      <c r="C402" s="2">
        <v>1</v>
      </c>
      <c r="D402" s="2">
        <v>2008</v>
      </c>
      <c r="E402" s="2">
        <v>1</v>
      </c>
      <c r="F402" s="2">
        <v>153.72999999999999</v>
      </c>
      <c r="G402" s="2">
        <v>488.94</v>
      </c>
      <c r="H402" s="2" t="str">
        <f>VLOOKUP(qhkz_4dqm[[#This Row],[fuel_type]],lookup!A:B,2,FALSE)</f>
        <v>Gasoline</v>
      </c>
      <c r="I402" s="2">
        <f ca="1">YEAR(TODAY())-qhkz_4dqm[[#This Row],[year]]</f>
        <v>18</v>
      </c>
      <c r="J402" s="2" t="str" cm="1">
        <f t="array" aca="1" ref="J402" ca="1">_xlfn.IFS(qhkz_4dqm[[#This Row],[vehicle_age]]&lt;=3,"Newer",qhkz_4dqm[[#This Row],[vehicle_age]]&lt;=9,"Mid-age",qhkz_4dqm[[#This Row],[vehicle_age]]&lt;=19,"Older",qhkz_4dqm[[#This Row],[vehicle_age]]&gt;=20,"Very Old")</f>
        <v>Older</v>
      </c>
    </row>
    <row r="403" spans="1:10">
      <c r="A403" s="2">
        <v>24069178</v>
      </c>
      <c r="B403" s="2">
        <v>2406917801</v>
      </c>
      <c r="C403" s="2">
        <v>1</v>
      </c>
      <c r="D403" s="2">
        <v>2023</v>
      </c>
      <c r="E403" s="2">
        <v>1</v>
      </c>
      <c r="F403" s="2">
        <v>3504.28</v>
      </c>
      <c r="G403" s="2">
        <v>1614.46</v>
      </c>
      <c r="H403" s="2" t="str">
        <f>VLOOKUP(qhkz_4dqm[[#This Row],[fuel_type]],lookup!A:B,2,FALSE)</f>
        <v>Gasoline</v>
      </c>
      <c r="I403" s="2">
        <f ca="1">YEAR(TODAY())-qhkz_4dqm[[#This Row],[year]]</f>
        <v>3</v>
      </c>
      <c r="J403" s="2" t="str" cm="1">
        <f t="array" aca="1" ref="J403" ca="1">_xlfn.IFS(qhkz_4dqm[[#This Row],[vehicle_age]]&lt;=3,"Newer",qhkz_4dqm[[#This Row],[vehicle_age]]&lt;=9,"Mid-age",qhkz_4dqm[[#This Row],[vehicle_age]]&lt;=19,"Older",qhkz_4dqm[[#This Row],[vehicle_age]]&gt;=20,"Very Old")</f>
        <v>Newer</v>
      </c>
    </row>
    <row r="404" spans="1:10">
      <c r="A404" s="2">
        <v>24069280</v>
      </c>
      <c r="B404" s="2">
        <v>2406928001</v>
      </c>
      <c r="C404" s="2">
        <v>1</v>
      </c>
      <c r="D404" s="2">
        <v>2021</v>
      </c>
      <c r="E404" s="2">
        <v>1</v>
      </c>
      <c r="F404" s="2">
        <v>15.76</v>
      </c>
      <c r="G404" s="2">
        <v>439.89</v>
      </c>
      <c r="H404" s="2" t="str">
        <f>VLOOKUP(qhkz_4dqm[[#This Row],[fuel_type]],lookup!A:B,2,FALSE)</f>
        <v>Gasoline</v>
      </c>
      <c r="I404" s="2">
        <f ca="1">YEAR(TODAY())-qhkz_4dqm[[#This Row],[year]]</f>
        <v>5</v>
      </c>
      <c r="J404" s="2" t="str" cm="1">
        <f t="array" aca="1" ref="J404" ca="1">_xlfn.IFS(qhkz_4dqm[[#This Row],[vehicle_age]]&lt;=3,"Newer",qhkz_4dqm[[#This Row],[vehicle_age]]&lt;=9,"Mid-age",qhkz_4dqm[[#This Row],[vehicle_age]]&lt;=19,"Older",qhkz_4dqm[[#This Row],[vehicle_age]]&gt;=20,"Very Old")</f>
        <v>Mid-age</v>
      </c>
    </row>
    <row r="405" spans="1:10">
      <c r="A405" s="2">
        <v>24069455</v>
      </c>
      <c r="B405" s="2">
        <v>2406945501</v>
      </c>
      <c r="C405" s="2">
        <v>1</v>
      </c>
      <c r="D405" s="2">
        <v>2001</v>
      </c>
      <c r="E405" s="2">
        <v>2</v>
      </c>
      <c r="F405" s="2">
        <v>1607.32</v>
      </c>
      <c r="G405" s="2">
        <v>2699.97</v>
      </c>
      <c r="H405" s="2" t="str">
        <f>VLOOKUP(qhkz_4dqm[[#This Row],[fuel_type]],lookup!A:B,2,FALSE)</f>
        <v>Diesel</v>
      </c>
      <c r="I405" s="2">
        <f ca="1">YEAR(TODAY())-qhkz_4dqm[[#This Row],[year]]</f>
        <v>25</v>
      </c>
      <c r="J405" s="2" t="str" cm="1">
        <f t="array" aca="1" ref="J405" ca="1">_xlfn.IFS(qhkz_4dqm[[#This Row],[vehicle_age]]&lt;=3,"Newer",qhkz_4dqm[[#This Row],[vehicle_age]]&lt;=9,"Mid-age",qhkz_4dqm[[#This Row],[vehicle_age]]&lt;=19,"Older",qhkz_4dqm[[#This Row],[vehicle_age]]&gt;=20,"Very Old")</f>
        <v>Very Old</v>
      </c>
    </row>
    <row r="406" spans="1:10">
      <c r="A406" s="2">
        <v>24069533</v>
      </c>
      <c r="B406" s="2">
        <v>2406953301</v>
      </c>
      <c r="C406" s="2">
        <v>1</v>
      </c>
      <c r="D406" s="2">
        <v>2009</v>
      </c>
      <c r="E406" s="2">
        <v>1</v>
      </c>
      <c r="F406" s="2">
        <v>3613.43</v>
      </c>
      <c r="G406" s="2">
        <v>2147.1</v>
      </c>
      <c r="H406" s="2" t="str">
        <f>VLOOKUP(qhkz_4dqm[[#This Row],[fuel_type]],lookup!A:B,2,FALSE)</f>
        <v>Gasoline</v>
      </c>
      <c r="I406" s="2">
        <f ca="1">YEAR(TODAY())-qhkz_4dqm[[#This Row],[year]]</f>
        <v>17</v>
      </c>
      <c r="J406" s="2" t="str" cm="1">
        <f t="array" aca="1" ref="J406" ca="1">_xlfn.IFS(qhkz_4dqm[[#This Row],[vehicle_age]]&lt;=3,"Newer",qhkz_4dqm[[#This Row],[vehicle_age]]&lt;=9,"Mid-age",qhkz_4dqm[[#This Row],[vehicle_age]]&lt;=19,"Older",qhkz_4dqm[[#This Row],[vehicle_age]]&gt;=20,"Very Old")</f>
        <v>Older</v>
      </c>
    </row>
    <row r="407" spans="1:10">
      <c r="A407" s="2">
        <v>24069615</v>
      </c>
      <c r="B407" s="2">
        <v>2406961501</v>
      </c>
      <c r="C407" s="2">
        <v>1</v>
      </c>
      <c r="D407" s="2">
        <v>2014</v>
      </c>
      <c r="E407" s="2">
        <v>1</v>
      </c>
      <c r="F407" s="2">
        <v>617.97</v>
      </c>
      <c r="G407" s="2">
        <v>3332.08</v>
      </c>
      <c r="H407" s="2" t="str">
        <f>VLOOKUP(qhkz_4dqm[[#This Row],[fuel_type]],lookup!A:B,2,FALSE)</f>
        <v>Gasoline</v>
      </c>
      <c r="I407" s="2">
        <f ca="1">YEAR(TODAY())-qhkz_4dqm[[#This Row],[year]]</f>
        <v>12</v>
      </c>
      <c r="J407" s="2" t="str" cm="1">
        <f t="array" aca="1" ref="J407" ca="1">_xlfn.IFS(qhkz_4dqm[[#This Row],[vehicle_age]]&lt;=3,"Newer",qhkz_4dqm[[#This Row],[vehicle_age]]&lt;=9,"Mid-age",qhkz_4dqm[[#This Row],[vehicle_age]]&lt;=19,"Older",qhkz_4dqm[[#This Row],[vehicle_age]]&gt;=20,"Very Old")</f>
        <v>Older</v>
      </c>
    </row>
    <row r="408" spans="1:10">
      <c r="A408" s="2">
        <v>24069750</v>
      </c>
      <c r="B408" s="2">
        <v>2406975001</v>
      </c>
      <c r="C408" s="2">
        <v>1</v>
      </c>
      <c r="D408" s="2">
        <v>2016</v>
      </c>
      <c r="E408" s="2">
        <v>1</v>
      </c>
      <c r="F408" s="2">
        <v>94.36</v>
      </c>
      <c r="G408" s="2">
        <v>654.09</v>
      </c>
      <c r="H408" s="2" t="str">
        <f>VLOOKUP(qhkz_4dqm[[#This Row],[fuel_type]],lookup!A:B,2,FALSE)</f>
        <v>Gasoline</v>
      </c>
      <c r="I408" s="2">
        <f ca="1">YEAR(TODAY())-qhkz_4dqm[[#This Row],[year]]</f>
        <v>10</v>
      </c>
      <c r="J408" s="2" t="str" cm="1">
        <f t="array" aca="1" ref="J408" ca="1">_xlfn.IFS(qhkz_4dqm[[#This Row],[vehicle_age]]&lt;=3,"Newer",qhkz_4dqm[[#This Row],[vehicle_age]]&lt;=9,"Mid-age",qhkz_4dqm[[#This Row],[vehicle_age]]&lt;=19,"Older",qhkz_4dqm[[#This Row],[vehicle_age]]&gt;=20,"Very Old")</f>
        <v>Older</v>
      </c>
    </row>
    <row r="409" spans="1:10">
      <c r="A409" s="2">
        <v>24069795</v>
      </c>
      <c r="B409" s="2">
        <v>2406979501</v>
      </c>
      <c r="C409" s="2">
        <v>1</v>
      </c>
      <c r="D409" s="2">
        <v>2000</v>
      </c>
      <c r="E409" s="2">
        <v>1</v>
      </c>
      <c r="F409" s="2">
        <v>633.37</v>
      </c>
      <c r="G409" s="2">
        <v>875.05</v>
      </c>
      <c r="H409" s="2" t="str">
        <f>VLOOKUP(qhkz_4dqm[[#This Row],[fuel_type]],lookup!A:B,2,FALSE)</f>
        <v>Gasoline</v>
      </c>
      <c r="I409" s="2">
        <f ca="1">YEAR(TODAY())-qhkz_4dqm[[#This Row],[year]]</f>
        <v>26</v>
      </c>
      <c r="J409" s="2" t="str" cm="1">
        <f t="array" aca="1" ref="J409" ca="1">_xlfn.IFS(qhkz_4dqm[[#This Row],[vehicle_age]]&lt;=3,"Newer",qhkz_4dqm[[#This Row],[vehicle_age]]&lt;=9,"Mid-age",qhkz_4dqm[[#This Row],[vehicle_age]]&lt;=19,"Older",qhkz_4dqm[[#This Row],[vehicle_age]]&gt;=20,"Very Old")</f>
        <v>Very Old</v>
      </c>
    </row>
    <row r="410" spans="1:10">
      <c r="A410" s="2">
        <v>24069847</v>
      </c>
      <c r="B410" s="2">
        <v>2406984701</v>
      </c>
      <c r="C410" s="2">
        <v>1</v>
      </c>
      <c r="D410" s="2">
        <v>2008</v>
      </c>
      <c r="E410" s="2">
        <v>1</v>
      </c>
      <c r="F410" s="2">
        <v>0.56999999999999995</v>
      </c>
      <c r="G410" s="2">
        <v>135.4</v>
      </c>
      <c r="H410" s="2" t="str">
        <f>VLOOKUP(qhkz_4dqm[[#This Row],[fuel_type]],lookup!A:B,2,FALSE)</f>
        <v>Gasoline</v>
      </c>
      <c r="I410" s="2">
        <f ca="1">YEAR(TODAY())-qhkz_4dqm[[#This Row],[year]]</f>
        <v>18</v>
      </c>
      <c r="J410" s="2" t="str" cm="1">
        <f t="array" aca="1" ref="J410" ca="1">_xlfn.IFS(qhkz_4dqm[[#This Row],[vehicle_age]]&lt;=3,"Newer",qhkz_4dqm[[#This Row],[vehicle_age]]&lt;=9,"Mid-age",qhkz_4dqm[[#This Row],[vehicle_age]]&lt;=19,"Older",qhkz_4dqm[[#This Row],[vehicle_age]]&gt;=20,"Very Old")</f>
        <v>Older</v>
      </c>
    </row>
    <row r="411" spans="1:10">
      <c r="A411" s="2">
        <v>24070114</v>
      </c>
      <c r="B411" s="2">
        <v>2407011401</v>
      </c>
      <c r="C411" s="2">
        <v>1</v>
      </c>
      <c r="D411" s="2">
        <v>2009</v>
      </c>
      <c r="E411" s="2">
        <v>1</v>
      </c>
      <c r="F411" s="2">
        <v>30.28</v>
      </c>
      <c r="G411" s="2">
        <v>461.98</v>
      </c>
      <c r="H411" s="2" t="str">
        <f>VLOOKUP(qhkz_4dqm[[#This Row],[fuel_type]],lookup!A:B,2,FALSE)</f>
        <v>Gasoline</v>
      </c>
      <c r="I411" s="2">
        <f ca="1">YEAR(TODAY())-qhkz_4dqm[[#This Row],[year]]</f>
        <v>17</v>
      </c>
      <c r="J411" s="2" t="str" cm="1">
        <f t="array" aca="1" ref="J411" ca="1">_xlfn.IFS(qhkz_4dqm[[#This Row],[vehicle_age]]&lt;=3,"Newer",qhkz_4dqm[[#This Row],[vehicle_age]]&lt;=9,"Mid-age",qhkz_4dqm[[#This Row],[vehicle_age]]&lt;=19,"Older",qhkz_4dqm[[#This Row],[vehicle_age]]&gt;=20,"Very Old")</f>
        <v>Older</v>
      </c>
    </row>
    <row r="412" spans="1:10">
      <c r="A412" s="2">
        <v>24070325</v>
      </c>
      <c r="B412" s="2">
        <v>2407032501</v>
      </c>
      <c r="C412" s="2">
        <v>1</v>
      </c>
      <c r="D412" s="2">
        <v>2017</v>
      </c>
      <c r="E412" s="2">
        <v>1</v>
      </c>
      <c r="F412" s="2">
        <v>6594.48</v>
      </c>
      <c r="G412" s="2">
        <v>4991.6099999999997</v>
      </c>
      <c r="H412" s="2" t="str">
        <f>VLOOKUP(qhkz_4dqm[[#This Row],[fuel_type]],lookup!A:B,2,FALSE)</f>
        <v>Gasoline</v>
      </c>
      <c r="I412" s="2">
        <f ca="1">YEAR(TODAY())-qhkz_4dqm[[#This Row],[year]]</f>
        <v>9</v>
      </c>
      <c r="J412" s="2" t="str" cm="1">
        <f t="array" aca="1" ref="J412" ca="1">_xlfn.IFS(qhkz_4dqm[[#This Row],[vehicle_age]]&lt;=3,"Newer",qhkz_4dqm[[#This Row],[vehicle_age]]&lt;=9,"Mid-age",qhkz_4dqm[[#This Row],[vehicle_age]]&lt;=19,"Older",qhkz_4dqm[[#This Row],[vehicle_age]]&gt;=20,"Very Old")</f>
        <v>Mid-age</v>
      </c>
    </row>
    <row r="413" spans="1:10">
      <c r="A413" s="2">
        <v>24070341</v>
      </c>
      <c r="B413" s="2">
        <v>2407034101</v>
      </c>
      <c r="C413" s="2">
        <v>1</v>
      </c>
      <c r="D413" s="2">
        <v>2022</v>
      </c>
      <c r="E413" s="2">
        <v>1</v>
      </c>
      <c r="F413" s="2">
        <v>1028.6400000000001</v>
      </c>
      <c r="G413" s="2">
        <v>2093.02</v>
      </c>
      <c r="H413" s="2" t="str">
        <f>VLOOKUP(qhkz_4dqm[[#This Row],[fuel_type]],lookup!A:B,2,FALSE)</f>
        <v>Gasoline</v>
      </c>
      <c r="I413" s="2">
        <f ca="1">YEAR(TODAY())-qhkz_4dqm[[#This Row],[year]]</f>
        <v>4</v>
      </c>
      <c r="J413" s="2" t="str" cm="1">
        <f t="array" aca="1" ref="J413" ca="1">_xlfn.IFS(qhkz_4dqm[[#This Row],[vehicle_age]]&lt;=3,"Newer",qhkz_4dqm[[#This Row],[vehicle_age]]&lt;=9,"Mid-age",qhkz_4dqm[[#This Row],[vehicle_age]]&lt;=19,"Older",qhkz_4dqm[[#This Row],[vehicle_age]]&gt;=20,"Very Old")</f>
        <v>Mid-age</v>
      </c>
    </row>
    <row r="414" spans="1:10">
      <c r="A414" s="2">
        <v>24070475</v>
      </c>
      <c r="B414" s="2">
        <v>2407047501</v>
      </c>
      <c r="C414" s="2">
        <v>1</v>
      </c>
      <c r="D414" s="2">
        <v>2022</v>
      </c>
      <c r="E414" s="2">
        <v>1</v>
      </c>
      <c r="F414" s="2">
        <v>7490.64</v>
      </c>
      <c r="G414" s="2">
        <v>2975.97</v>
      </c>
      <c r="H414" s="2" t="str">
        <f>VLOOKUP(qhkz_4dqm[[#This Row],[fuel_type]],lookup!A:B,2,FALSE)</f>
        <v>Gasoline</v>
      </c>
      <c r="I414" s="2">
        <f ca="1">YEAR(TODAY())-qhkz_4dqm[[#This Row],[year]]</f>
        <v>4</v>
      </c>
      <c r="J414" s="2" t="str" cm="1">
        <f t="array" aca="1" ref="J414" ca="1">_xlfn.IFS(qhkz_4dqm[[#This Row],[vehicle_age]]&lt;=3,"Newer",qhkz_4dqm[[#This Row],[vehicle_age]]&lt;=9,"Mid-age",qhkz_4dqm[[#This Row],[vehicle_age]]&lt;=19,"Older",qhkz_4dqm[[#This Row],[vehicle_age]]&gt;=20,"Very Old")</f>
        <v>Mid-age</v>
      </c>
    </row>
    <row r="415" spans="1:10">
      <c r="A415" s="2">
        <v>24070482</v>
      </c>
      <c r="B415" s="2">
        <v>2407048201</v>
      </c>
      <c r="C415" s="2">
        <v>1</v>
      </c>
      <c r="D415" s="2">
        <v>2016</v>
      </c>
      <c r="E415" s="2">
        <v>1</v>
      </c>
      <c r="F415" s="2">
        <v>305.19</v>
      </c>
      <c r="G415" s="2">
        <v>873.54</v>
      </c>
      <c r="H415" s="2" t="str">
        <f>VLOOKUP(qhkz_4dqm[[#This Row],[fuel_type]],lookup!A:B,2,FALSE)</f>
        <v>Gasoline</v>
      </c>
      <c r="I415" s="2">
        <f ca="1">YEAR(TODAY())-qhkz_4dqm[[#This Row],[year]]</f>
        <v>10</v>
      </c>
      <c r="J415" s="2" t="str" cm="1">
        <f t="array" aca="1" ref="J415" ca="1">_xlfn.IFS(qhkz_4dqm[[#This Row],[vehicle_age]]&lt;=3,"Newer",qhkz_4dqm[[#This Row],[vehicle_age]]&lt;=9,"Mid-age",qhkz_4dqm[[#This Row],[vehicle_age]]&lt;=19,"Older",qhkz_4dqm[[#This Row],[vehicle_age]]&gt;=20,"Very Old")</f>
        <v>Older</v>
      </c>
    </row>
    <row r="416" spans="1:10">
      <c r="A416" s="2">
        <v>24070730</v>
      </c>
      <c r="B416" s="2">
        <v>2407073001</v>
      </c>
      <c r="C416" s="2">
        <v>1</v>
      </c>
      <c r="D416" s="2">
        <v>2016</v>
      </c>
      <c r="E416" s="2">
        <v>1</v>
      </c>
      <c r="F416" s="2">
        <v>704.58</v>
      </c>
      <c r="G416" s="2">
        <v>820.34</v>
      </c>
      <c r="H416" s="2" t="str">
        <f>VLOOKUP(qhkz_4dqm[[#This Row],[fuel_type]],lookup!A:B,2,FALSE)</f>
        <v>Gasoline</v>
      </c>
      <c r="I416" s="2">
        <f ca="1">YEAR(TODAY())-qhkz_4dqm[[#This Row],[year]]</f>
        <v>10</v>
      </c>
      <c r="J416" s="2" t="str" cm="1">
        <f t="array" aca="1" ref="J416" ca="1">_xlfn.IFS(qhkz_4dqm[[#This Row],[vehicle_age]]&lt;=3,"Newer",qhkz_4dqm[[#This Row],[vehicle_age]]&lt;=9,"Mid-age",qhkz_4dqm[[#This Row],[vehicle_age]]&lt;=19,"Older",qhkz_4dqm[[#This Row],[vehicle_age]]&gt;=20,"Very Old")</f>
        <v>Older</v>
      </c>
    </row>
    <row r="417" spans="1:10">
      <c r="A417" s="2">
        <v>24070739</v>
      </c>
      <c r="B417" s="2">
        <v>2407073901</v>
      </c>
      <c r="C417" s="2">
        <v>1</v>
      </c>
      <c r="D417" s="2">
        <v>2021</v>
      </c>
      <c r="E417" s="2">
        <v>1</v>
      </c>
      <c r="F417" s="2">
        <v>113.49</v>
      </c>
      <c r="G417" s="2">
        <v>230.68</v>
      </c>
      <c r="H417" s="2" t="str">
        <f>VLOOKUP(qhkz_4dqm[[#This Row],[fuel_type]],lookup!A:B,2,FALSE)</f>
        <v>Gasoline</v>
      </c>
      <c r="I417" s="2">
        <f ca="1">YEAR(TODAY())-qhkz_4dqm[[#This Row],[year]]</f>
        <v>5</v>
      </c>
      <c r="J417" s="2" t="str" cm="1">
        <f t="array" aca="1" ref="J417" ca="1">_xlfn.IFS(qhkz_4dqm[[#This Row],[vehicle_age]]&lt;=3,"Newer",qhkz_4dqm[[#This Row],[vehicle_age]]&lt;=9,"Mid-age",qhkz_4dqm[[#This Row],[vehicle_age]]&lt;=19,"Older",qhkz_4dqm[[#This Row],[vehicle_age]]&gt;=20,"Very Old")</f>
        <v>Mid-age</v>
      </c>
    </row>
    <row r="418" spans="1:10">
      <c r="A418" s="2">
        <v>24070742</v>
      </c>
      <c r="B418" s="2">
        <v>2407074201</v>
      </c>
      <c r="C418" s="2">
        <v>1</v>
      </c>
      <c r="D418" s="2">
        <v>2024</v>
      </c>
      <c r="E418" s="2">
        <v>1</v>
      </c>
      <c r="F418" s="2">
        <v>2837.74</v>
      </c>
      <c r="G418" s="2">
        <v>4085.82</v>
      </c>
      <c r="H418" s="2" t="str">
        <f>VLOOKUP(qhkz_4dqm[[#This Row],[fuel_type]],lookup!A:B,2,FALSE)</f>
        <v>Gasoline</v>
      </c>
      <c r="I418" s="2">
        <f ca="1">YEAR(TODAY())-qhkz_4dqm[[#This Row],[year]]</f>
        <v>2</v>
      </c>
      <c r="J418" s="2" t="str" cm="1">
        <f t="array" aca="1" ref="J418" ca="1">_xlfn.IFS(qhkz_4dqm[[#This Row],[vehicle_age]]&lt;=3,"Newer",qhkz_4dqm[[#This Row],[vehicle_age]]&lt;=9,"Mid-age",qhkz_4dqm[[#This Row],[vehicle_age]]&lt;=19,"Older",qhkz_4dqm[[#This Row],[vehicle_age]]&gt;=20,"Very Old")</f>
        <v>Newer</v>
      </c>
    </row>
    <row r="419" spans="1:10">
      <c r="A419" s="2">
        <v>24070793</v>
      </c>
      <c r="B419" s="2">
        <v>2407079301</v>
      </c>
      <c r="C419" s="2">
        <v>1</v>
      </c>
      <c r="D419" s="2">
        <v>2023</v>
      </c>
      <c r="E419" s="2">
        <v>1</v>
      </c>
      <c r="F419" s="2">
        <v>192.51</v>
      </c>
      <c r="G419" s="2">
        <v>849.68</v>
      </c>
      <c r="H419" s="2" t="str">
        <f>VLOOKUP(qhkz_4dqm[[#This Row],[fuel_type]],lookup!A:B,2,FALSE)</f>
        <v>Gasoline</v>
      </c>
      <c r="I419" s="2">
        <f ca="1">YEAR(TODAY())-qhkz_4dqm[[#This Row],[year]]</f>
        <v>3</v>
      </c>
      <c r="J419" s="2" t="str" cm="1">
        <f t="array" aca="1" ref="J419" ca="1">_xlfn.IFS(qhkz_4dqm[[#This Row],[vehicle_age]]&lt;=3,"Newer",qhkz_4dqm[[#This Row],[vehicle_age]]&lt;=9,"Mid-age",qhkz_4dqm[[#This Row],[vehicle_age]]&lt;=19,"Older",qhkz_4dqm[[#This Row],[vehicle_age]]&gt;=20,"Very Old")</f>
        <v>Newer</v>
      </c>
    </row>
    <row r="420" spans="1:10">
      <c r="A420" s="2">
        <v>24070858</v>
      </c>
      <c r="B420" s="2">
        <v>2407085801</v>
      </c>
      <c r="C420" s="2">
        <v>1</v>
      </c>
      <c r="D420" s="2">
        <v>2015</v>
      </c>
      <c r="E420" s="2">
        <v>1</v>
      </c>
      <c r="F420" s="2">
        <v>1.44</v>
      </c>
      <c r="G420" s="2">
        <v>204.5</v>
      </c>
      <c r="H420" s="2" t="str">
        <f>VLOOKUP(qhkz_4dqm[[#This Row],[fuel_type]],lookup!A:B,2,FALSE)</f>
        <v>Gasoline</v>
      </c>
      <c r="I420" s="2">
        <f ca="1">YEAR(TODAY())-qhkz_4dqm[[#This Row],[year]]</f>
        <v>11</v>
      </c>
      <c r="J420" s="2" t="str" cm="1">
        <f t="array" aca="1" ref="J420" ca="1">_xlfn.IFS(qhkz_4dqm[[#This Row],[vehicle_age]]&lt;=3,"Newer",qhkz_4dqm[[#This Row],[vehicle_age]]&lt;=9,"Mid-age",qhkz_4dqm[[#This Row],[vehicle_age]]&lt;=19,"Older",qhkz_4dqm[[#This Row],[vehicle_age]]&gt;=20,"Very Old")</f>
        <v>Older</v>
      </c>
    </row>
    <row r="421" spans="1:10">
      <c r="A421" s="2">
        <v>24071101</v>
      </c>
      <c r="B421" s="2">
        <v>2407110101</v>
      </c>
      <c r="C421" s="2">
        <v>1</v>
      </c>
      <c r="D421" s="2">
        <v>2003</v>
      </c>
      <c r="E421" s="2">
        <v>1</v>
      </c>
      <c r="F421" s="2">
        <v>2.67</v>
      </c>
      <c r="G421" s="2">
        <v>166.35</v>
      </c>
      <c r="H421" s="2" t="str">
        <f>VLOOKUP(qhkz_4dqm[[#This Row],[fuel_type]],lookup!A:B,2,FALSE)</f>
        <v>Gasoline</v>
      </c>
      <c r="I421" s="2">
        <f ca="1">YEAR(TODAY())-qhkz_4dqm[[#This Row],[year]]</f>
        <v>23</v>
      </c>
      <c r="J421" s="2" t="str" cm="1">
        <f t="array" aca="1" ref="J421" ca="1">_xlfn.IFS(qhkz_4dqm[[#This Row],[vehicle_age]]&lt;=3,"Newer",qhkz_4dqm[[#This Row],[vehicle_age]]&lt;=9,"Mid-age",qhkz_4dqm[[#This Row],[vehicle_age]]&lt;=19,"Older",qhkz_4dqm[[#This Row],[vehicle_age]]&gt;=20,"Very Old")</f>
        <v>Very Old</v>
      </c>
    </row>
    <row r="422" spans="1:10">
      <c r="A422" s="2">
        <v>24071190</v>
      </c>
      <c r="B422" s="2">
        <v>2407119001</v>
      </c>
      <c r="C422" s="2">
        <v>1</v>
      </c>
      <c r="D422" s="2">
        <v>2019</v>
      </c>
      <c r="E422" s="2">
        <v>1</v>
      </c>
      <c r="F422" s="2">
        <v>577.73</v>
      </c>
      <c r="G422" s="2">
        <v>655.09</v>
      </c>
      <c r="H422" s="2" t="str">
        <f>VLOOKUP(qhkz_4dqm[[#This Row],[fuel_type]],lookup!A:B,2,FALSE)</f>
        <v>Gasoline</v>
      </c>
      <c r="I422" s="2">
        <f ca="1">YEAR(TODAY())-qhkz_4dqm[[#This Row],[year]]</f>
        <v>7</v>
      </c>
      <c r="J422" s="2" t="str" cm="1">
        <f t="array" aca="1" ref="J422" ca="1">_xlfn.IFS(qhkz_4dqm[[#This Row],[vehicle_age]]&lt;=3,"Newer",qhkz_4dqm[[#This Row],[vehicle_age]]&lt;=9,"Mid-age",qhkz_4dqm[[#This Row],[vehicle_age]]&lt;=19,"Older",qhkz_4dqm[[#This Row],[vehicle_age]]&gt;=20,"Very Old")</f>
        <v>Mid-age</v>
      </c>
    </row>
    <row r="423" spans="1:10">
      <c r="A423" s="2">
        <v>24071289</v>
      </c>
      <c r="B423" s="2">
        <v>2407128901</v>
      </c>
      <c r="C423" s="2">
        <v>1</v>
      </c>
      <c r="D423" s="2">
        <v>2022</v>
      </c>
      <c r="E423" s="2">
        <v>1</v>
      </c>
      <c r="F423" s="2">
        <v>1313.91</v>
      </c>
      <c r="G423" s="2">
        <v>1396.95</v>
      </c>
      <c r="H423" s="2" t="str">
        <f>VLOOKUP(qhkz_4dqm[[#This Row],[fuel_type]],lookup!A:B,2,FALSE)</f>
        <v>Gasoline</v>
      </c>
      <c r="I423" s="2">
        <f ca="1">YEAR(TODAY())-qhkz_4dqm[[#This Row],[year]]</f>
        <v>4</v>
      </c>
      <c r="J423" s="2" t="str" cm="1">
        <f t="array" aca="1" ref="J423" ca="1">_xlfn.IFS(qhkz_4dqm[[#This Row],[vehicle_age]]&lt;=3,"Newer",qhkz_4dqm[[#This Row],[vehicle_age]]&lt;=9,"Mid-age",qhkz_4dqm[[#This Row],[vehicle_age]]&lt;=19,"Older",qhkz_4dqm[[#This Row],[vehicle_age]]&gt;=20,"Very Old")</f>
        <v>Mid-age</v>
      </c>
    </row>
    <row r="424" spans="1:10">
      <c r="A424" s="2">
        <v>24071449</v>
      </c>
      <c r="B424" s="2">
        <v>2407144901</v>
      </c>
      <c r="C424" s="2">
        <v>1</v>
      </c>
      <c r="D424" s="2">
        <v>2024</v>
      </c>
      <c r="E424" s="2">
        <v>1</v>
      </c>
      <c r="F424" s="2">
        <v>7484.77</v>
      </c>
      <c r="G424" s="2">
        <v>1679.94</v>
      </c>
      <c r="H424" s="2" t="str">
        <f>VLOOKUP(qhkz_4dqm[[#This Row],[fuel_type]],lookup!A:B,2,FALSE)</f>
        <v>Gasoline</v>
      </c>
      <c r="I424" s="2">
        <f ca="1">YEAR(TODAY())-qhkz_4dqm[[#This Row],[year]]</f>
        <v>2</v>
      </c>
      <c r="J424" s="2" t="str" cm="1">
        <f t="array" aca="1" ref="J424" ca="1">_xlfn.IFS(qhkz_4dqm[[#This Row],[vehicle_age]]&lt;=3,"Newer",qhkz_4dqm[[#This Row],[vehicle_age]]&lt;=9,"Mid-age",qhkz_4dqm[[#This Row],[vehicle_age]]&lt;=19,"Older",qhkz_4dqm[[#This Row],[vehicle_age]]&gt;=20,"Very Old")</f>
        <v>Newer</v>
      </c>
    </row>
    <row r="425" spans="1:10">
      <c r="A425" s="2">
        <v>24071512</v>
      </c>
      <c r="B425" s="2">
        <v>2407151201</v>
      </c>
      <c r="C425" s="2">
        <v>1</v>
      </c>
      <c r="D425" s="2">
        <v>2023</v>
      </c>
      <c r="E425" s="2">
        <v>3</v>
      </c>
      <c r="F425" s="2">
        <v>93.05</v>
      </c>
      <c r="G425" s="2">
        <v>277.45999999999998</v>
      </c>
      <c r="H425" s="2" t="str">
        <f>VLOOKUP(qhkz_4dqm[[#This Row],[fuel_type]],lookup!A:B,2,FALSE)</f>
        <v>Hybrid</v>
      </c>
      <c r="I425" s="2">
        <f ca="1">YEAR(TODAY())-qhkz_4dqm[[#This Row],[year]]</f>
        <v>3</v>
      </c>
      <c r="J425" s="2" t="str" cm="1">
        <f t="array" aca="1" ref="J425" ca="1">_xlfn.IFS(qhkz_4dqm[[#This Row],[vehicle_age]]&lt;=3,"Newer",qhkz_4dqm[[#This Row],[vehicle_age]]&lt;=9,"Mid-age",qhkz_4dqm[[#This Row],[vehicle_age]]&lt;=19,"Older",qhkz_4dqm[[#This Row],[vehicle_age]]&gt;=20,"Very Old")</f>
        <v>Newer</v>
      </c>
    </row>
    <row r="426" spans="1:10">
      <c r="A426" s="2">
        <v>24071648</v>
      </c>
      <c r="B426" s="2">
        <v>2407164801</v>
      </c>
      <c r="C426" s="2">
        <v>1</v>
      </c>
      <c r="D426" s="2">
        <v>2021</v>
      </c>
      <c r="E426" s="2">
        <v>1</v>
      </c>
      <c r="F426" s="2">
        <v>413.7</v>
      </c>
      <c r="G426" s="2">
        <v>395.78</v>
      </c>
      <c r="H426" s="2" t="str">
        <f>VLOOKUP(qhkz_4dqm[[#This Row],[fuel_type]],lookup!A:B,2,FALSE)</f>
        <v>Gasoline</v>
      </c>
      <c r="I426" s="2">
        <f ca="1">YEAR(TODAY())-qhkz_4dqm[[#This Row],[year]]</f>
        <v>5</v>
      </c>
      <c r="J426" s="2" t="str" cm="1">
        <f t="array" aca="1" ref="J426" ca="1">_xlfn.IFS(qhkz_4dqm[[#This Row],[vehicle_age]]&lt;=3,"Newer",qhkz_4dqm[[#This Row],[vehicle_age]]&lt;=9,"Mid-age",qhkz_4dqm[[#This Row],[vehicle_age]]&lt;=19,"Older",qhkz_4dqm[[#This Row],[vehicle_age]]&gt;=20,"Very Old")</f>
        <v>Mid-age</v>
      </c>
    </row>
    <row r="427" spans="1:10">
      <c r="A427" s="2">
        <v>24071665</v>
      </c>
      <c r="B427" s="2">
        <v>2407166501</v>
      </c>
      <c r="C427" s="2">
        <v>1</v>
      </c>
      <c r="D427" s="2">
        <v>2008</v>
      </c>
      <c r="E427" s="2">
        <v>1</v>
      </c>
      <c r="F427" s="2">
        <v>43.44</v>
      </c>
      <c r="G427" s="2">
        <v>471.81</v>
      </c>
      <c r="H427" s="2" t="str">
        <f>VLOOKUP(qhkz_4dqm[[#This Row],[fuel_type]],lookup!A:B,2,FALSE)</f>
        <v>Gasoline</v>
      </c>
      <c r="I427" s="2">
        <f ca="1">YEAR(TODAY())-qhkz_4dqm[[#This Row],[year]]</f>
        <v>18</v>
      </c>
      <c r="J427" s="2" t="str" cm="1">
        <f t="array" aca="1" ref="J427" ca="1">_xlfn.IFS(qhkz_4dqm[[#This Row],[vehicle_age]]&lt;=3,"Newer",qhkz_4dqm[[#This Row],[vehicle_age]]&lt;=9,"Mid-age",qhkz_4dqm[[#This Row],[vehicle_age]]&lt;=19,"Older",qhkz_4dqm[[#This Row],[vehicle_age]]&gt;=20,"Very Old")</f>
        <v>Older</v>
      </c>
    </row>
    <row r="428" spans="1:10">
      <c r="A428" s="2">
        <v>24071819</v>
      </c>
      <c r="B428" s="2">
        <v>2407181901</v>
      </c>
      <c r="C428" s="2">
        <v>1</v>
      </c>
      <c r="D428" s="2">
        <v>2020</v>
      </c>
      <c r="E428" s="2">
        <v>1</v>
      </c>
      <c r="F428" s="2">
        <v>514.71</v>
      </c>
      <c r="G428" s="2">
        <v>392.01</v>
      </c>
      <c r="H428" s="2" t="str">
        <f>VLOOKUP(qhkz_4dqm[[#This Row],[fuel_type]],lookup!A:B,2,FALSE)</f>
        <v>Gasoline</v>
      </c>
      <c r="I428" s="2">
        <f ca="1">YEAR(TODAY())-qhkz_4dqm[[#This Row],[year]]</f>
        <v>6</v>
      </c>
      <c r="J428" s="2" t="str" cm="1">
        <f t="array" aca="1" ref="J428" ca="1">_xlfn.IFS(qhkz_4dqm[[#This Row],[vehicle_age]]&lt;=3,"Newer",qhkz_4dqm[[#This Row],[vehicle_age]]&lt;=9,"Mid-age",qhkz_4dqm[[#This Row],[vehicle_age]]&lt;=19,"Older",qhkz_4dqm[[#This Row],[vehicle_age]]&gt;=20,"Very Old")</f>
        <v>Mid-age</v>
      </c>
    </row>
    <row r="429" spans="1:10">
      <c r="A429" s="2">
        <v>24071852</v>
      </c>
      <c r="B429" s="2">
        <v>2407185201</v>
      </c>
      <c r="C429" s="2">
        <v>1</v>
      </c>
      <c r="D429" s="2">
        <v>2014</v>
      </c>
      <c r="E429" s="2">
        <v>1</v>
      </c>
      <c r="F429" s="2">
        <v>435.5</v>
      </c>
      <c r="G429" s="2">
        <v>874.57</v>
      </c>
      <c r="H429" s="2" t="str">
        <f>VLOOKUP(qhkz_4dqm[[#This Row],[fuel_type]],lookup!A:B,2,FALSE)</f>
        <v>Gasoline</v>
      </c>
      <c r="I429" s="2">
        <f ca="1">YEAR(TODAY())-qhkz_4dqm[[#This Row],[year]]</f>
        <v>12</v>
      </c>
      <c r="J429" s="2" t="str" cm="1">
        <f t="array" aca="1" ref="J429" ca="1">_xlfn.IFS(qhkz_4dqm[[#This Row],[vehicle_age]]&lt;=3,"Newer",qhkz_4dqm[[#This Row],[vehicle_age]]&lt;=9,"Mid-age",qhkz_4dqm[[#This Row],[vehicle_age]]&lt;=19,"Older",qhkz_4dqm[[#This Row],[vehicle_age]]&gt;=20,"Very Old")</f>
        <v>Older</v>
      </c>
    </row>
    <row r="430" spans="1:10">
      <c r="A430" s="2">
        <v>24071896</v>
      </c>
      <c r="B430" s="2">
        <v>2407189601</v>
      </c>
      <c r="C430" s="2">
        <v>1</v>
      </c>
      <c r="D430" s="2">
        <v>2021</v>
      </c>
      <c r="E430" s="2">
        <v>1</v>
      </c>
      <c r="F430" s="2">
        <v>1032.48</v>
      </c>
      <c r="G430" s="2">
        <v>811.9</v>
      </c>
      <c r="H430" s="2" t="str">
        <f>VLOOKUP(qhkz_4dqm[[#This Row],[fuel_type]],lookup!A:B,2,FALSE)</f>
        <v>Gasoline</v>
      </c>
      <c r="I430" s="2">
        <f ca="1">YEAR(TODAY())-qhkz_4dqm[[#This Row],[year]]</f>
        <v>5</v>
      </c>
      <c r="J430" s="2" t="str" cm="1">
        <f t="array" aca="1" ref="J430" ca="1">_xlfn.IFS(qhkz_4dqm[[#This Row],[vehicle_age]]&lt;=3,"Newer",qhkz_4dqm[[#This Row],[vehicle_age]]&lt;=9,"Mid-age",qhkz_4dqm[[#This Row],[vehicle_age]]&lt;=19,"Older",qhkz_4dqm[[#This Row],[vehicle_age]]&gt;=20,"Very Old")</f>
        <v>Mid-age</v>
      </c>
    </row>
    <row r="431" spans="1:10">
      <c r="A431" s="2">
        <v>24071976</v>
      </c>
      <c r="B431" s="2">
        <v>2407197601</v>
      </c>
      <c r="C431" s="2">
        <v>1</v>
      </c>
      <c r="D431" s="2">
        <v>2020</v>
      </c>
      <c r="E431" s="2">
        <v>1</v>
      </c>
      <c r="F431" s="2">
        <v>259.77999999999997</v>
      </c>
      <c r="G431" s="2">
        <v>490.78</v>
      </c>
      <c r="H431" s="2" t="str">
        <f>VLOOKUP(qhkz_4dqm[[#This Row],[fuel_type]],lookup!A:B,2,FALSE)</f>
        <v>Gasoline</v>
      </c>
      <c r="I431" s="2">
        <f ca="1">YEAR(TODAY())-qhkz_4dqm[[#This Row],[year]]</f>
        <v>6</v>
      </c>
      <c r="J431" s="2" t="str" cm="1">
        <f t="array" aca="1" ref="J431" ca="1">_xlfn.IFS(qhkz_4dqm[[#This Row],[vehicle_age]]&lt;=3,"Newer",qhkz_4dqm[[#This Row],[vehicle_age]]&lt;=9,"Mid-age",qhkz_4dqm[[#This Row],[vehicle_age]]&lt;=19,"Older",qhkz_4dqm[[#This Row],[vehicle_age]]&gt;=20,"Very Old")</f>
        <v>Mid-age</v>
      </c>
    </row>
    <row r="432" spans="1:10">
      <c r="A432" s="2">
        <v>24072011</v>
      </c>
      <c r="B432" s="2">
        <v>2407201101</v>
      </c>
      <c r="C432" s="2">
        <v>1</v>
      </c>
      <c r="D432" s="2">
        <v>2010</v>
      </c>
      <c r="E432" s="2">
        <v>1</v>
      </c>
      <c r="F432" s="2">
        <v>600.62</v>
      </c>
      <c r="G432" s="2">
        <v>308.35000000000002</v>
      </c>
      <c r="H432" s="2" t="str">
        <f>VLOOKUP(qhkz_4dqm[[#This Row],[fuel_type]],lookup!A:B,2,FALSE)</f>
        <v>Gasoline</v>
      </c>
      <c r="I432" s="2">
        <f ca="1">YEAR(TODAY())-qhkz_4dqm[[#This Row],[year]]</f>
        <v>16</v>
      </c>
      <c r="J432" s="2" t="str" cm="1">
        <f t="array" aca="1" ref="J432" ca="1">_xlfn.IFS(qhkz_4dqm[[#This Row],[vehicle_age]]&lt;=3,"Newer",qhkz_4dqm[[#This Row],[vehicle_age]]&lt;=9,"Mid-age",qhkz_4dqm[[#This Row],[vehicle_age]]&lt;=19,"Older",qhkz_4dqm[[#This Row],[vehicle_age]]&gt;=20,"Very Old")</f>
        <v>Older</v>
      </c>
    </row>
    <row r="433" spans="1:10">
      <c r="A433" s="2">
        <v>24072036</v>
      </c>
      <c r="B433" s="2">
        <v>2407203601</v>
      </c>
      <c r="C433" s="2">
        <v>1</v>
      </c>
      <c r="D433" s="2">
        <v>2022</v>
      </c>
      <c r="E433" s="2">
        <v>1</v>
      </c>
      <c r="F433" s="2">
        <v>535.86</v>
      </c>
      <c r="G433" s="2">
        <v>748.02</v>
      </c>
      <c r="H433" s="2" t="str">
        <f>VLOOKUP(qhkz_4dqm[[#This Row],[fuel_type]],lookup!A:B,2,FALSE)</f>
        <v>Gasoline</v>
      </c>
      <c r="I433" s="2">
        <f ca="1">YEAR(TODAY())-qhkz_4dqm[[#This Row],[year]]</f>
        <v>4</v>
      </c>
      <c r="J433" s="2" t="str" cm="1">
        <f t="array" aca="1" ref="J433" ca="1">_xlfn.IFS(qhkz_4dqm[[#This Row],[vehicle_age]]&lt;=3,"Newer",qhkz_4dqm[[#This Row],[vehicle_age]]&lt;=9,"Mid-age",qhkz_4dqm[[#This Row],[vehicle_age]]&lt;=19,"Older",qhkz_4dqm[[#This Row],[vehicle_age]]&gt;=20,"Very Old")</f>
        <v>Mid-age</v>
      </c>
    </row>
    <row r="434" spans="1:10">
      <c r="A434" s="2">
        <v>24072126</v>
      </c>
      <c r="B434" s="2">
        <v>2407212601</v>
      </c>
      <c r="C434" s="2">
        <v>1</v>
      </c>
      <c r="D434" s="2">
        <v>2000</v>
      </c>
      <c r="E434" s="2">
        <v>1</v>
      </c>
      <c r="F434" s="2">
        <v>58.01</v>
      </c>
      <c r="G434" s="2">
        <v>1884.03</v>
      </c>
      <c r="H434" s="2" t="str">
        <f>VLOOKUP(qhkz_4dqm[[#This Row],[fuel_type]],lookup!A:B,2,FALSE)</f>
        <v>Gasoline</v>
      </c>
      <c r="I434" s="2">
        <f ca="1">YEAR(TODAY())-qhkz_4dqm[[#This Row],[year]]</f>
        <v>26</v>
      </c>
      <c r="J434" s="2" t="str" cm="1">
        <f t="array" aca="1" ref="J434" ca="1">_xlfn.IFS(qhkz_4dqm[[#This Row],[vehicle_age]]&lt;=3,"Newer",qhkz_4dqm[[#This Row],[vehicle_age]]&lt;=9,"Mid-age",qhkz_4dqm[[#This Row],[vehicle_age]]&lt;=19,"Older",qhkz_4dqm[[#This Row],[vehicle_age]]&gt;=20,"Very Old")</f>
        <v>Very Old</v>
      </c>
    </row>
    <row r="435" spans="1:10">
      <c r="A435" s="2">
        <v>24072267</v>
      </c>
      <c r="B435" s="2">
        <v>2407226701</v>
      </c>
      <c r="C435" s="2">
        <v>1</v>
      </c>
      <c r="D435" s="2">
        <v>2020</v>
      </c>
      <c r="E435" s="2">
        <v>1</v>
      </c>
      <c r="F435" s="2">
        <v>70.97</v>
      </c>
      <c r="G435" s="2">
        <v>334.94</v>
      </c>
      <c r="H435" s="2" t="str">
        <f>VLOOKUP(qhkz_4dqm[[#This Row],[fuel_type]],lookup!A:B,2,FALSE)</f>
        <v>Gasoline</v>
      </c>
      <c r="I435" s="2">
        <f ca="1">YEAR(TODAY())-qhkz_4dqm[[#This Row],[year]]</f>
        <v>6</v>
      </c>
      <c r="J435" s="2" t="str" cm="1">
        <f t="array" aca="1" ref="J435" ca="1">_xlfn.IFS(qhkz_4dqm[[#This Row],[vehicle_age]]&lt;=3,"Newer",qhkz_4dqm[[#This Row],[vehicle_age]]&lt;=9,"Mid-age",qhkz_4dqm[[#This Row],[vehicle_age]]&lt;=19,"Older",qhkz_4dqm[[#This Row],[vehicle_age]]&gt;=20,"Very Old")</f>
        <v>Mid-age</v>
      </c>
    </row>
    <row r="436" spans="1:10">
      <c r="A436" s="2">
        <v>24072406</v>
      </c>
      <c r="B436" s="2">
        <v>2407240601</v>
      </c>
      <c r="C436" s="2">
        <v>1</v>
      </c>
      <c r="D436" s="2">
        <v>2011</v>
      </c>
      <c r="E436" s="2">
        <v>1</v>
      </c>
      <c r="F436" s="2">
        <v>4989.24</v>
      </c>
      <c r="G436" s="2">
        <v>2293.5100000000002</v>
      </c>
      <c r="H436" s="2" t="str">
        <f>VLOOKUP(qhkz_4dqm[[#This Row],[fuel_type]],lookup!A:B,2,FALSE)</f>
        <v>Gasoline</v>
      </c>
      <c r="I436" s="2">
        <f ca="1">YEAR(TODAY())-qhkz_4dqm[[#This Row],[year]]</f>
        <v>15</v>
      </c>
      <c r="J436" s="2" t="str" cm="1">
        <f t="array" aca="1" ref="J436" ca="1">_xlfn.IFS(qhkz_4dqm[[#This Row],[vehicle_age]]&lt;=3,"Newer",qhkz_4dqm[[#This Row],[vehicle_age]]&lt;=9,"Mid-age",qhkz_4dqm[[#This Row],[vehicle_age]]&lt;=19,"Older",qhkz_4dqm[[#This Row],[vehicle_age]]&gt;=20,"Very Old")</f>
        <v>Older</v>
      </c>
    </row>
    <row r="437" spans="1:10">
      <c r="A437" s="2">
        <v>24072591</v>
      </c>
      <c r="B437" s="2">
        <v>2407259101</v>
      </c>
      <c r="C437" s="2">
        <v>1</v>
      </c>
      <c r="D437" s="2">
        <v>2012</v>
      </c>
      <c r="E437" s="2">
        <v>1</v>
      </c>
      <c r="F437" s="2">
        <v>176.93</v>
      </c>
      <c r="G437" s="2">
        <v>666.43</v>
      </c>
      <c r="H437" s="2" t="str">
        <f>VLOOKUP(qhkz_4dqm[[#This Row],[fuel_type]],lookup!A:B,2,FALSE)</f>
        <v>Gasoline</v>
      </c>
      <c r="I437" s="2">
        <f ca="1">YEAR(TODAY())-qhkz_4dqm[[#This Row],[year]]</f>
        <v>14</v>
      </c>
      <c r="J437" s="2" t="str" cm="1">
        <f t="array" aca="1" ref="J437" ca="1">_xlfn.IFS(qhkz_4dqm[[#This Row],[vehicle_age]]&lt;=3,"Newer",qhkz_4dqm[[#This Row],[vehicle_age]]&lt;=9,"Mid-age",qhkz_4dqm[[#This Row],[vehicle_age]]&lt;=19,"Older",qhkz_4dqm[[#This Row],[vehicle_age]]&gt;=20,"Very Old")</f>
        <v>Older</v>
      </c>
    </row>
    <row r="438" spans="1:10">
      <c r="A438" s="2">
        <v>24072693</v>
      </c>
      <c r="B438" s="2">
        <v>2407269301</v>
      </c>
      <c r="C438" s="2">
        <v>1</v>
      </c>
      <c r="D438" s="2">
        <v>2024</v>
      </c>
      <c r="E438" s="2">
        <v>3</v>
      </c>
      <c r="F438" s="2">
        <v>18.27</v>
      </c>
      <c r="G438" s="2">
        <v>310.32</v>
      </c>
      <c r="H438" s="2" t="str">
        <f>VLOOKUP(qhkz_4dqm[[#This Row],[fuel_type]],lookup!A:B,2,FALSE)</f>
        <v>Hybrid</v>
      </c>
      <c r="I438" s="2">
        <f ca="1">YEAR(TODAY())-qhkz_4dqm[[#This Row],[year]]</f>
        <v>2</v>
      </c>
      <c r="J438" s="2" t="str" cm="1">
        <f t="array" aca="1" ref="J438" ca="1">_xlfn.IFS(qhkz_4dqm[[#This Row],[vehicle_age]]&lt;=3,"Newer",qhkz_4dqm[[#This Row],[vehicle_age]]&lt;=9,"Mid-age",qhkz_4dqm[[#This Row],[vehicle_age]]&lt;=19,"Older",qhkz_4dqm[[#This Row],[vehicle_age]]&gt;=20,"Very Old")</f>
        <v>Newer</v>
      </c>
    </row>
    <row r="439" spans="1:10">
      <c r="A439" s="2">
        <v>24072775</v>
      </c>
      <c r="B439" s="2">
        <v>2407277501</v>
      </c>
      <c r="C439" s="2">
        <v>1</v>
      </c>
      <c r="D439" s="2">
        <v>2013</v>
      </c>
      <c r="E439" s="2">
        <v>1</v>
      </c>
      <c r="F439" s="2">
        <v>19.52</v>
      </c>
      <c r="G439" s="2">
        <v>154.5</v>
      </c>
      <c r="H439" s="2" t="str">
        <f>VLOOKUP(qhkz_4dqm[[#This Row],[fuel_type]],lookup!A:B,2,FALSE)</f>
        <v>Gasoline</v>
      </c>
      <c r="I439" s="2">
        <f ca="1">YEAR(TODAY())-qhkz_4dqm[[#This Row],[year]]</f>
        <v>13</v>
      </c>
      <c r="J439" s="2" t="str" cm="1">
        <f t="array" aca="1" ref="J439" ca="1">_xlfn.IFS(qhkz_4dqm[[#This Row],[vehicle_age]]&lt;=3,"Newer",qhkz_4dqm[[#This Row],[vehicle_age]]&lt;=9,"Mid-age",qhkz_4dqm[[#This Row],[vehicle_age]]&lt;=19,"Older",qhkz_4dqm[[#This Row],[vehicle_age]]&gt;=20,"Very Old")</f>
        <v>Older</v>
      </c>
    </row>
    <row r="440" spans="1:10">
      <c r="A440" s="2">
        <v>24072873</v>
      </c>
      <c r="B440" s="2">
        <v>2407287301</v>
      </c>
      <c r="C440" s="2">
        <v>1</v>
      </c>
      <c r="D440" s="2">
        <v>2020</v>
      </c>
      <c r="E440" s="2">
        <v>1</v>
      </c>
      <c r="F440" s="2">
        <v>274.68</v>
      </c>
      <c r="G440" s="2">
        <v>3099.47</v>
      </c>
      <c r="H440" s="2" t="str">
        <f>VLOOKUP(qhkz_4dqm[[#This Row],[fuel_type]],lookup!A:B,2,FALSE)</f>
        <v>Gasoline</v>
      </c>
      <c r="I440" s="2">
        <f ca="1">YEAR(TODAY())-qhkz_4dqm[[#This Row],[year]]</f>
        <v>6</v>
      </c>
      <c r="J440" s="2" t="str" cm="1">
        <f t="array" aca="1" ref="J440" ca="1">_xlfn.IFS(qhkz_4dqm[[#This Row],[vehicle_age]]&lt;=3,"Newer",qhkz_4dqm[[#This Row],[vehicle_age]]&lt;=9,"Mid-age",qhkz_4dqm[[#This Row],[vehicle_age]]&lt;=19,"Older",qhkz_4dqm[[#This Row],[vehicle_age]]&gt;=20,"Very Old")</f>
        <v>Mid-age</v>
      </c>
    </row>
    <row r="441" spans="1:10">
      <c r="A441" s="2">
        <v>24072998</v>
      </c>
      <c r="B441" s="2">
        <v>2407299801</v>
      </c>
      <c r="C441" s="2">
        <v>1</v>
      </c>
      <c r="D441" s="2">
        <v>2003</v>
      </c>
      <c r="E441" s="2">
        <v>1</v>
      </c>
      <c r="F441" s="2">
        <v>102.57</v>
      </c>
      <c r="G441" s="2">
        <v>512.83000000000004</v>
      </c>
      <c r="H441" s="2" t="str">
        <f>VLOOKUP(qhkz_4dqm[[#This Row],[fuel_type]],lookup!A:B,2,FALSE)</f>
        <v>Gasoline</v>
      </c>
      <c r="I441" s="2">
        <f ca="1">YEAR(TODAY())-qhkz_4dqm[[#This Row],[year]]</f>
        <v>23</v>
      </c>
      <c r="J441" s="2" t="str" cm="1">
        <f t="array" aca="1" ref="J441" ca="1">_xlfn.IFS(qhkz_4dqm[[#This Row],[vehicle_age]]&lt;=3,"Newer",qhkz_4dqm[[#This Row],[vehicle_age]]&lt;=9,"Mid-age",qhkz_4dqm[[#This Row],[vehicle_age]]&lt;=19,"Older",qhkz_4dqm[[#This Row],[vehicle_age]]&gt;=20,"Very Old")</f>
        <v>Very Old</v>
      </c>
    </row>
    <row r="442" spans="1:10">
      <c r="A442" s="2">
        <v>24073057</v>
      </c>
      <c r="B442" s="2">
        <v>2407305701</v>
      </c>
      <c r="C442" s="2">
        <v>1</v>
      </c>
      <c r="D442" s="2">
        <v>2009</v>
      </c>
      <c r="E442" s="2">
        <v>1</v>
      </c>
      <c r="F442" s="2">
        <v>1165.53</v>
      </c>
      <c r="G442" s="2">
        <v>1164.81</v>
      </c>
      <c r="H442" s="2" t="str">
        <f>VLOOKUP(qhkz_4dqm[[#This Row],[fuel_type]],lookup!A:B,2,FALSE)</f>
        <v>Gasoline</v>
      </c>
      <c r="I442" s="2">
        <f ca="1">YEAR(TODAY())-qhkz_4dqm[[#This Row],[year]]</f>
        <v>17</v>
      </c>
      <c r="J442" s="2" t="str" cm="1">
        <f t="array" aca="1" ref="J442" ca="1">_xlfn.IFS(qhkz_4dqm[[#This Row],[vehicle_age]]&lt;=3,"Newer",qhkz_4dqm[[#This Row],[vehicle_age]]&lt;=9,"Mid-age",qhkz_4dqm[[#This Row],[vehicle_age]]&lt;=19,"Older",qhkz_4dqm[[#This Row],[vehicle_age]]&gt;=20,"Very Old")</f>
        <v>Older</v>
      </c>
    </row>
    <row r="443" spans="1:10">
      <c r="A443" s="2">
        <v>24073062</v>
      </c>
      <c r="B443" s="2">
        <v>2407306201</v>
      </c>
      <c r="C443" s="2">
        <v>1</v>
      </c>
      <c r="D443" s="2">
        <v>2023</v>
      </c>
      <c r="E443" s="2">
        <v>4</v>
      </c>
      <c r="F443" s="2">
        <v>535.89</v>
      </c>
      <c r="G443" s="2">
        <v>370.35</v>
      </c>
      <c r="H443" s="2" t="str">
        <f>VLOOKUP(qhkz_4dqm[[#This Row],[fuel_type]],lookup!A:B,2,FALSE)</f>
        <v>Electric</v>
      </c>
      <c r="I443" s="2">
        <f ca="1">YEAR(TODAY())-qhkz_4dqm[[#This Row],[year]]</f>
        <v>3</v>
      </c>
      <c r="J443" s="2" t="str" cm="1">
        <f t="array" aca="1" ref="J443" ca="1">_xlfn.IFS(qhkz_4dqm[[#This Row],[vehicle_age]]&lt;=3,"Newer",qhkz_4dqm[[#This Row],[vehicle_age]]&lt;=9,"Mid-age",qhkz_4dqm[[#This Row],[vehicle_age]]&lt;=19,"Older",qhkz_4dqm[[#This Row],[vehicle_age]]&gt;=20,"Very Old")</f>
        <v>Newer</v>
      </c>
    </row>
    <row r="444" spans="1:10">
      <c r="A444" s="2">
        <v>24073204</v>
      </c>
      <c r="B444" s="2">
        <v>2407320401</v>
      </c>
      <c r="C444" s="2">
        <v>1</v>
      </c>
      <c r="D444" s="2">
        <v>2022</v>
      </c>
      <c r="E444" s="2">
        <v>1</v>
      </c>
      <c r="F444" s="2">
        <v>6.3</v>
      </c>
      <c r="G444" s="2">
        <v>1135.31</v>
      </c>
      <c r="H444" s="2" t="str">
        <f>VLOOKUP(qhkz_4dqm[[#This Row],[fuel_type]],lookup!A:B,2,FALSE)</f>
        <v>Gasoline</v>
      </c>
      <c r="I444" s="2">
        <f ca="1">YEAR(TODAY())-qhkz_4dqm[[#This Row],[year]]</f>
        <v>4</v>
      </c>
      <c r="J444" s="2" t="str" cm="1">
        <f t="array" aca="1" ref="J444" ca="1">_xlfn.IFS(qhkz_4dqm[[#This Row],[vehicle_age]]&lt;=3,"Newer",qhkz_4dqm[[#This Row],[vehicle_age]]&lt;=9,"Mid-age",qhkz_4dqm[[#This Row],[vehicle_age]]&lt;=19,"Older",qhkz_4dqm[[#This Row],[vehicle_age]]&gt;=20,"Very Old")</f>
        <v>Mid-age</v>
      </c>
    </row>
    <row r="445" spans="1:10">
      <c r="A445" s="2">
        <v>24073222</v>
      </c>
      <c r="B445" s="2">
        <v>2407322201</v>
      </c>
      <c r="C445" s="2">
        <v>1</v>
      </c>
      <c r="D445" s="2">
        <v>1992</v>
      </c>
      <c r="E445" s="2">
        <v>1</v>
      </c>
      <c r="F445" s="2">
        <v>252.4</v>
      </c>
      <c r="G445" s="2">
        <v>789.56</v>
      </c>
      <c r="H445" s="2" t="str">
        <f>VLOOKUP(qhkz_4dqm[[#This Row],[fuel_type]],lookup!A:B,2,FALSE)</f>
        <v>Gasoline</v>
      </c>
      <c r="I445" s="2">
        <f ca="1">YEAR(TODAY())-qhkz_4dqm[[#This Row],[year]]</f>
        <v>34</v>
      </c>
      <c r="J445" s="2" t="str" cm="1">
        <f t="array" aca="1" ref="J445" ca="1">_xlfn.IFS(qhkz_4dqm[[#This Row],[vehicle_age]]&lt;=3,"Newer",qhkz_4dqm[[#This Row],[vehicle_age]]&lt;=9,"Mid-age",qhkz_4dqm[[#This Row],[vehicle_age]]&lt;=19,"Older",qhkz_4dqm[[#This Row],[vehicle_age]]&gt;=20,"Very Old")</f>
        <v>Very Old</v>
      </c>
    </row>
    <row r="446" spans="1:10">
      <c r="A446" s="2">
        <v>24073271</v>
      </c>
      <c r="B446" s="2">
        <v>2407327101</v>
      </c>
      <c r="C446" s="2">
        <v>1</v>
      </c>
      <c r="D446" s="2">
        <v>2021</v>
      </c>
      <c r="E446" s="2">
        <v>1</v>
      </c>
      <c r="F446" s="2">
        <v>2.87</v>
      </c>
      <c r="G446" s="2">
        <v>349.8</v>
      </c>
      <c r="H446" s="2" t="str">
        <f>VLOOKUP(qhkz_4dqm[[#This Row],[fuel_type]],lookup!A:B,2,FALSE)</f>
        <v>Gasoline</v>
      </c>
      <c r="I446" s="2">
        <f ca="1">YEAR(TODAY())-qhkz_4dqm[[#This Row],[year]]</f>
        <v>5</v>
      </c>
      <c r="J446" s="2" t="str" cm="1">
        <f t="array" aca="1" ref="J446" ca="1">_xlfn.IFS(qhkz_4dqm[[#This Row],[vehicle_age]]&lt;=3,"Newer",qhkz_4dqm[[#This Row],[vehicle_age]]&lt;=9,"Mid-age",qhkz_4dqm[[#This Row],[vehicle_age]]&lt;=19,"Older",qhkz_4dqm[[#This Row],[vehicle_age]]&gt;=20,"Very Old")</f>
        <v>Mid-age</v>
      </c>
    </row>
    <row r="447" spans="1:10">
      <c r="A447" s="2">
        <v>24073316</v>
      </c>
      <c r="B447" s="2">
        <v>2407331601</v>
      </c>
      <c r="C447" s="2">
        <v>1</v>
      </c>
      <c r="D447" s="2">
        <v>2013</v>
      </c>
      <c r="E447" s="2">
        <v>1</v>
      </c>
      <c r="F447" s="2">
        <v>4991.8900000000003</v>
      </c>
      <c r="G447" s="2">
        <v>2278.29</v>
      </c>
      <c r="H447" s="2" t="str">
        <f>VLOOKUP(qhkz_4dqm[[#This Row],[fuel_type]],lookup!A:B,2,FALSE)</f>
        <v>Gasoline</v>
      </c>
      <c r="I447" s="2">
        <f ca="1">YEAR(TODAY())-qhkz_4dqm[[#This Row],[year]]</f>
        <v>13</v>
      </c>
      <c r="J447" s="2" t="str" cm="1">
        <f t="array" aca="1" ref="J447" ca="1">_xlfn.IFS(qhkz_4dqm[[#This Row],[vehicle_age]]&lt;=3,"Newer",qhkz_4dqm[[#This Row],[vehicle_age]]&lt;=9,"Mid-age",qhkz_4dqm[[#This Row],[vehicle_age]]&lt;=19,"Older",qhkz_4dqm[[#This Row],[vehicle_age]]&gt;=20,"Very Old")</f>
        <v>Older</v>
      </c>
    </row>
    <row r="448" spans="1:10">
      <c r="A448" s="2">
        <v>24073508</v>
      </c>
      <c r="B448" s="2">
        <v>2407350801</v>
      </c>
      <c r="C448" s="2">
        <v>1</v>
      </c>
      <c r="D448" s="2">
        <v>2014</v>
      </c>
      <c r="E448" s="2">
        <v>1</v>
      </c>
      <c r="F448" s="2">
        <v>7490.75</v>
      </c>
      <c r="G448" s="2">
        <v>4999.68</v>
      </c>
      <c r="H448" s="2" t="str">
        <f>VLOOKUP(qhkz_4dqm[[#This Row],[fuel_type]],lookup!A:B,2,FALSE)</f>
        <v>Gasoline</v>
      </c>
      <c r="I448" s="2">
        <f ca="1">YEAR(TODAY())-qhkz_4dqm[[#This Row],[year]]</f>
        <v>12</v>
      </c>
      <c r="J448" s="2" t="str" cm="1">
        <f t="array" aca="1" ref="J448" ca="1">_xlfn.IFS(qhkz_4dqm[[#This Row],[vehicle_age]]&lt;=3,"Newer",qhkz_4dqm[[#This Row],[vehicle_age]]&lt;=9,"Mid-age",qhkz_4dqm[[#This Row],[vehicle_age]]&lt;=19,"Older",qhkz_4dqm[[#This Row],[vehicle_age]]&gt;=20,"Very Old")</f>
        <v>Older</v>
      </c>
    </row>
    <row r="449" spans="1:10">
      <c r="A449" s="2">
        <v>24073553</v>
      </c>
      <c r="B449" s="2">
        <v>2407355301</v>
      </c>
      <c r="C449" s="2">
        <v>1</v>
      </c>
      <c r="D449" s="2">
        <v>2022</v>
      </c>
      <c r="E449" s="2">
        <v>1</v>
      </c>
      <c r="F449" s="2">
        <v>27.04</v>
      </c>
      <c r="G449" s="2">
        <v>764.58</v>
      </c>
      <c r="H449" s="2" t="str">
        <f>VLOOKUP(qhkz_4dqm[[#This Row],[fuel_type]],lookup!A:B,2,FALSE)</f>
        <v>Gasoline</v>
      </c>
      <c r="I449" s="2">
        <f ca="1">YEAR(TODAY())-qhkz_4dqm[[#This Row],[year]]</f>
        <v>4</v>
      </c>
      <c r="J449" s="2" t="str" cm="1">
        <f t="array" aca="1" ref="J449" ca="1">_xlfn.IFS(qhkz_4dqm[[#This Row],[vehicle_age]]&lt;=3,"Newer",qhkz_4dqm[[#This Row],[vehicle_age]]&lt;=9,"Mid-age",qhkz_4dqm[[#This Row],[vehicle_age]]&lt;=19,"Older",qhkz_4dqm[[#This Row],[vehicle_age]]&gt;=20,"Very Old")</f>
        <v>Mid-age</v>
      </c>
    </row>
    <row r="450" spans="1:10">
      <c r="A450" s="2">
        <v>24073891</v>
      </c>
      <c r="B450" s="2">
        <v>2407389101</v>
      </c>
      <c r="C450" s="2">
        <v>1</v>
      </c>
      <c r="D450" s="2">
        <v>2019</v>
      </c>
      <c r="E450" s="2">
        <v>1</v>
      </c>
      <c r="F450" s="2">
        <v>3867.35</v>
      </c>
      <c r="G450" s="2">
        <v>3361.67</v>
      </c>
      <c r="H450" s="2" t="str">
        <f>VLOOKUP(qhkz_4dqm[[#This Row],[fuel_type]],lookup!A:B,2,FALSE)</f>
        <v>Gasoline</v>
      </c>
      <c r="I450" s="2">
        <f ca="1">YEAR(TODAY())-qhkz_4dqm[[#This Row],[year]]</f>
        <v>7</v>
      </c>
      <c r="J450" s="2" t="str" cm="1">
        <f t="array" aca="1" ref="J450" ca="1">_xlfn.IFS(qhkz_4dqm[[#This Row],[vehicle_age]]&lt;=3,"Newer",qhkz_4dqm[[#This Row],[vehicle_age]]&lt;=9,"Mid-age",qhkz_4dqm[[#This Row],[vehicle_age]]&lt;=19,"Older",qhkz_4dqm[[#This Row],[vehicle_age]]&gt;=20,"Very Old")</f>
        <v>Mid-age</v>
      </c>
    </row>
    <row r="451" spans="1:10">
      <c r="A451" s="2">
        <v>24073930</v>
      </c>
      <c r="B451" s="2">
        <v>2407393001</v>
      </c>
      <c r="C451" s="2">
        <v>1</v>
      </c>
      <c r="D451" s="2">
        <v>2018</v>
      </c>
      <c r="E451" s="2">
        <v>1</v>
      </c>
      <c r="F451" s="2">
        <v>1.35</v>
      </c>
      <c r="G451" s="2">
        <v>415.6</v>
      </c>
      <c r="H451" s="2" t="str">
        <f>VLOOKUP(qhkz_4dqm[[#This Row],[fuel_type]],lookup!A:B,2,FALSE)</f>
        <v>Gasoline</v>
      </c>
      <c r="I451" s="2">
        <f ca="1">YEAR(TODAY())-qhkz_4dqm[[#This Row],[year]]</f>
        <v>8</v>
      </c>
      <c r="J451" s="2" t="str" cm="1">
        <f t="array" aca="1" ref="J451" ca="1">_xlfn.IFS(qhkz_4dqm[[#This Row],[vehicle_age]]&lt;=3,"Newer",qhkz_4dqm[[#This Row],[vehicle_age]]&lt;=9,"Mid-age",qhkz_4dqm[[#This Row],[vehicle_age]]&lt;=19,"Older",qhkz_4dqm[[#This Row],[vehicle_age]]&gt;=20,"Very Old")</f>
        <v>Mid-age</v>
      </c>
    </row>
    <row r="452" spans="1:10">
      <c r="A452" s="2">
        <v>24074142</v>
      </c>
      <c r="B452" s="2">
        <v>2407414201</v>
      </c>
      <c r="C452" s="2">
        <v>1</v>
      </c>
      <c r="D452" s="2">
        <v>2020</v>
      </c>
      <c r="E452" s="2">
        <v>1</v>
      </c>
      <c r="F452" s="2">
        <v>1689.09</v>
      </c>
      <c r="G452" s="2">
        <v>796.73</v>
      </c>
      <c r="H452" s="2" t="str">
        <f>VLOOKUP(qhkz_4dqm[[#This Row],[fuel_type]],lookup!A:B,2,FALSE)</f>
        <v>Gasoline</v>
      </c>
      <c r="I452" s="2">
        <f ca="1">YEAR(TODAY())-qhkz_4dqm[[#This Row],[year]]</f>
        <v>6</v>
      </c>
      <c r="J452" s="2" t="str" cm="1">
        <f t="array" aca="1" ref="J452" ca="1">_xlfn.IFS(qhkz_4dqm[[#This Row],[vehicle_age]]&lt;=3,"Newer",qhkz_4dqm[[#This Row],[vehicle_age]]&lt;=9,"Mid-age",qhkz_4dqm[[#This Row],[vehicle_age]]&lt;=19,"Older",qhkz_4dqm[[#This Row],[vehicle_age]]&gt;=20,"Very Old")</f>
        <v>Mid-age</v>
      </c>
    </row>
    <row r="453" spans="1:10">
      <c r="A453" s="2">
        <v>24074147</v>
      </c>
      <c r="B453" s="2">
        <v>2407414701</v>
      </c>
      <c r="C453" s="2">
        <v>1</v>
      </c>
      <c r="D453" s="2">
        <v>2018</v>
      </c>
      <c r="E453" s="2">
        <v>1</v>
      </c>
      <c r="F453" s="2">
        <v>0.68</v>
      </c>
      <c r="G453" s="2">
        <v>170.69</v>
      </c>
      <c r="H453" s="2" t="str">
        <f>VLOOKUP(qhkz_4dqm[[#This Row],[fuel_type]],lookup!A:B,2,FALSE)</f>
        <v>Gasoline</v>
      </c>
      <c r="I453" s="2">
        <f ca="1">YEAR(TODAY())-qhkz_4dqm[[#This Row],[year]]</f>
        <v>8</v>
      </c>
      <c r="J453" s="2" t="str" cm="1">
        <f t="array" aca="1" ref="J453" ca="1">_xlfn.IFS(qhkz_4dqm[[#This Row],[vehicle_age]]&lt;=3,"Newer",qhkz_4dqm[[#This Row],[vehicle_age]]&lt;=9,"Mid-age",qhkz_4dqm[[#This Row],[vehicle_age]]&lt;=19,"Older",qhkz_4dqm[[#This Row],[vehicle_age]]&gt;=20,"Very Old")</f>
        <v>Mid-age</v>
      </c>
    </row>
    <row r="454" spans="1:10">
      <c r="A454" s="2">
        <v>24074161</v>
      </c>
      <c r="B454" s="2">
        <v>2407416101</v>
      </c>
      <c r="C454" s="2">
        <v>1</v>
      </c>
      <c r="D454" s="2">
        <v>2016</v>
      </c>
      <c r="E454" s="2">
        <v>1</v>
      </c>
      <c r="F454" s="2">
        <v>575.52</v>
      </c>
      <c r="G454" s="2">
        <v>271.29000000000002</v>
      </c>
      <c r="H454" s="2" t="str">
        <f>VLOOKUP(qhkz_4dqm[[#This Row],[fuel_type]],lookup!A:B,2,FALSE)</f>
        <v>Gasoline</v>
      </c>
      <c r="I454" s="2">
        <f ca="1">YEAR(TODAY())-qhkz_4dqm[[#This Row],[year]]</f>
        <v>10</v>
      </c>
      <c r="J454" s="2" t="str" cm="1">
        <f t="array" aca="1" ref="J454" ca="1">_xlfn.IFS(qhkz_4dqm[[#This Row],[vehicle_age]]&lt;=3,"Newer",qhkz_4dqm[[#This Row],[vehicle_age]]&lt;=9,"Mid-age",qhkz_4dqm[[#This Row],[vehicle_age]]&lt;=19,"Older",qhkz_4dqm[[#This Row],[vehicle_age]]&gt;=20,"Very Old")</f>
        <v>Older</v>
      </c>
    </row>
    <row r="455" spans="1:10">
      <c r="A455" s="2">
        <v>24074200</v>
      </c>
      <c r="B455" s="2">
        <v>2407420001</v>
      </c>
      <c r="C455" s="2">
        <v>1</v>
      </c>
      <c r="D455" s="2">
        <v>2023</v>
      </c>
      <c r="E455" s="2">
        <v>4</v>
      </c>
      <c r="F455" s="2">
        <v>1</v>
      </c>
      <c r="G455" s="2">
        <v>159.93</v>
      </c>
      <c r="H455" s="2" t="str">
        <f>VLOOKUP(qhkz_4dqm[[#This Row],[fuel_type]],lookup!A:B,2,FALSE)</f>
        <v>Electric</v>
      </c>
      <c r="I455" s="2">
        <f ca="1">YEAR(TODAY())-qhkz_4dqm[[#This Row],[year]]</f>
        <v>3</v>
      </c>
      <c r="J455" s="2" t="str" cm="1">
        <f t="array" aca="1" ref="J455" ca="1">_xlfn.IFS(qhkz_4dqm[[#This Row],[vehicle_age]]&lt;=3,"Newer",qhkz_4dqm[[#This Row],[vehicle_age]]&lt;=9,"Mid-age",qhkz_4dqm[[#This Row],[vehicle_age]]&lt;=19,"Older",qhkz_4dqm[[#This Row],[vehicle_age]]&gt;=20,"Very Old")</f>
        <v>Newer</v>
      </c>
    </row>
    <row r="456" spans="1:10">
      <c r="A456" s="2">
        <v>24074332</v>
      </c>
      <c r="B456" s="2">
        <v>2407433201</v>
      </c>
      <c r="C456" s="2">
        <v>1</v>
      </c>
      <c r="D456" s="2">
        <v>2016</v>
      </c>
      <c r="E456" s="2">
        <v>1</v>
      </c>
      <c r="F456" s="2">
        <v>1241.6300000000001</v>
      </c>
      <c r="G456" s="2">
        <v>1244.3800000000001</v>
      </c>
      <c r="H456" s="2" t="str">
        <f>VLOOKUP(qhkz_4dqm[[#This Row],[fuel_type]],lookup!A:B,2,FALSE)</f>
        <v>Gasoline</v>
      </c>
      <c r="I456" s="2">
        <f ca="1">YEAR(TODAY())-qhkz_4dqm[[#This Row],[year]]</f>
        <v>10</v>
      </c>
      <c r="J456" s="2" t="str" cm="1">
        <f t="array" aca="1" ref="J456" ca="1">_xlfn.IFS(qhkz_4dqm[[#This Row],[vehicle_age]]&lt;=3,"Newer",qhkz_4dqm[[#This Row],[vehicle_age]]&lt;=9,"Mid-age",qhkz_4dqm[[#This Row],[vehicle_age]]&lt;=19,"Older",qhkz_4dqm[[#This Row],[vehicle_age]]&gt;=20,"Very Old")</f>
        <v>Older</v>
      </c>
    </row>
    <row r="457" spans="1:10">
      <c r="A457" s="2">
        <v>24074536</v>
      </c>
      <c r="B457" s="2">
        <v>2407453601</v>
      </c>
      <c r="C457" s="2">
        <v>1</v>
      </c>
      <c r="D457" s="2">
        <v>2016</v>
      </c>
      <c r="E457" s="2">
        <v>1</v>
      </c>
      <c r="F457" s="2">
        <v>0.68</v>
      </c>
      <c r="G457" s="2">
        <v>349.45</v>
      </c>
      <c r="H457" s="2" t="str">
        <f>VLOOKUP(qhkz_4dqm[[#This Row],[fuel_type]],lookup!A:B,2,FALSE)</f>
        <v>Gasoline</v>
      </c>
      <c r="I457" s="2">
        <f ca="1">YEAR(TODAY())-qhkz_4dqm[[#This Row],[year]]</f>
        <v>10</v>
      </c>
      <c r="J457" s="2" t="str" cm="1">
        <f t="array" aca="1" ref="J457" ca="1">_xlfn.IFS(qhkz_4dqm[[#This Row],[vehicle_age]]&lt;=3,"Newer",qhkz_4dqm[[#This Row],[vehicle_age]]&lt;=9,"Mid-age",qhkz_4dqm[[#This Row],[vehicle_age]]&lt;=19,"Older",qhkz_4dqm[[#This Row],[vehicle_age]]&gt;=20,"Very Old")</f>
        <v>Older</v>
      </c>
    </row>
    <row r="458" spans="1:10">
      <c r="A458" s="2">
        <v>24074683</v>
      </c>
      <c r="B458" s="2">
        <v>2407468301</v>
      </c>
      <c r="C458" s="2">
        <v>1</v>
      </c>
      <c r="D458" s="2">
        <v>2015</v>
      </c>
      <c r="E458" s="2">
        <v>1</v>
      </c>
      <c r="F458" s="2">
        <v>1.35</v>
      </c>
      <c r="G458" s="2">
        <v>267.86</v>
      </c>
      <c r="H458" s="2" t="str">
        <f>VLOOKUP(qhkz_4dqm[[#This Row],[fuel_type]],lookup!A:B,2,FALSE)</f>
        <v>Gasoline</v>
      </c>
      <c r="I458" s="2">
        <f ca="1">YEAR(TODAY())-qhkz_4dqm[[#This Row],[year]]</f>
        <v>11</v>
      </c>
      <c r="J458" s="2" t="str" cm="1">
        <f t="array" aca="1" ref="J458" ca="1">_xlfn.IFS(qhkz_4dqm[[#This Row],[vehicle_age]]&lt;=3,"Newer",qhkz_4dqm[[#This Row],[vehicle_age]]&lt;=9,"Mid-age",qhkz_4dqm[[#This Row],[vehicle_age]]&lt;=19,"Older",qhkz_4dqm[[#This Row],[vehicle_age]]&gt;=20,"Very Old")</f>
        <v>Older</v>
      </c>
    </row>
    <row r="459" spans="1:10">
      <c r="A459" s="2">
        <v>24074788</v>
      </c>
      <c r="B459" s="2">
        <v>2407478801</v>
      </c>
      <c r="C459" s="2">
        <v>1</v>
      </c>
      <c r="D459" s="2">
        <v>2018</v>
      </c>
      <c r="E459" s="2">
        <v>1</v>
      </c>
      <c r="F459" s="2">
        <v>2578.8200000000002</v>
      </c>
      <c r="G459" s="2">
        <v>1015.75</v>
      </c>
      <c r="H459" s="2" t="str">
        <f>VLOOKUP(qhkz_4dqm[[#This Row],[fuel_type]],lookup!A:B,2,FALSE)</f>
        <v>Gasoline</v>
      </c>
      <c r="I459" s="2">
        <f ca="1">YEAR(TODAY())-qhkz_4dqm[[#This Row],[year]]</f>
        <v>8</v>
      </c>
      <c r="J459" s="2" t="str" cm="1">
        <f t="array" aca="1" ref="J459" ca="1">_xlfn.IFS(qhkz_4dqm[[#This Row],[vehicle_age]]&lt;=3,"Newer",qhkz_4dqm[[#This Row],[vehicle_age]]&lt;=9,"Mid-age",qhkz_4dqm[[#This Row],[vehicle_age]]&lt;=19,"Older",qhkz_4dqm[[#This Row],[vehicle_age]]&gt;=20,"Very Old")</f>
        <v>Mid-age</v>
      </c>
    </row>
    <row r="460" spans="1:10">
      <c r="A460" s="2">
        <v>24074819</v>
      </c>
      <c r="B460" s="2">
        <v>2407481901</v>
      </c>
      <c r="C460" s="2">
        <v>1</v>
      </c>
      <c r="D460" s="2">
        <v>2023</v>
      </c>
      <c r="E460" s="2">
        <v>4</v>
      </c>
      <c r="F460" s="2">
        <v>1.92</v>
      </c>
      <c r="G460" s="2">
        <v>135.16999999999999</v>
      </c>
      <c r="H460" s="2" t="str">
        <f>VLOOKUP(qhkz_4dqm[[#This Row],[fuel_type]],lookup!A:B,2,FALSE)</f>
        <v>Electric</v>
      </c>
      <c r="I460" s="2">
        <f ca="1">YEAR(TODAY())-qhkz_4dqm[[#This Row],[year]]</f>
        <v>3</v>
      </c>
      <c r="J460" s="2" t="str" cm="1">
        <f t="array" aca="1" ref="J460" ca="1">_xlfn.IFS(qhkz_4dqm[[#This Row],[vehicle_age]]&lt;=3,"Newer",qhkz_4dqm[[#This Row],[vehicle_age]]&lt;=9,"Mid-age",qhkz_4dqm[[#This Row],[vehicle_age]]&lt;=19,"Older",qhkz_4dqm[[#This Row],[vehicle_age]]&gt;=20,"Very Old")</f>
        <v>Newer</v>
      </c>
    </row>
    <row r="461" spans="1:10">
      <c r="A461" s="2">
        <v>24074955</v>
      </c>
      <c r="B461" s="2">
        <v>2407495501</v>
      </c>
      <c r="C461" s="2">
        <v>1</v>
      </c>
      <c r="D461" s="2">
        <v>2022</v>
      </c>
      <c r="E461" s="2">
        <v>1</v>
      </c>
      <c r="F461" s="2">
        <v>2941.38</v>
      </c>
      <c r="G461" s="2">
        <v>150.13</v>
      </c>
      <c r="H461" s="2" t="str">
        <f>VLOOKUP(qhkz_4dqm[[#This Row],[fuel_type]],lookup!A:B,2,FALSE)</f>
        <v>Gasoline</v>
      </c>
      <c r="I461" s="2">
        <f ca="1">YEAR(TODAY())-qhkz_4dqm[[#This Row],[year]]</f>
        <v>4</v>
      </c>
      <c r="J461" s="2" t="str" cm="1">
        <f t="array" aca="1" ref="J461" ca="1">_xlfn.IFS(qhkz_4dqm[[#This Row],[vehicle_age]]&lt;=3,"Newer",qhkz_4dqm[[#This Row],[vehicle_age]]&lt;=9,"Mid-age",qhkz_4dqm[[#This Row],[vehicle_age]]&lt;=19,"Older",qhkz_4dqm[[#This Row],[vehicle_age]]&gt;=20,"Very Old")</f>
        <v>Mid-age</v>
      </c>
    </row>
    <row r="462" spans="1:10">
      <c r="A462" s="2">
        <v>24075083</v>
      </c>
      <c r="B462" s="2">
        <v>2407508301</v>
      </c>
      <c r="C462" s="2">
        <v>1</v>
      </c>
      <c r="D462" s="2">
        <v>2017</v>
      </c>
      <c r="E462" s="2">
        <v>1</v>
      </c>
      <c r="F462" s="2">
        <v>1483.18</v>
      </c>
      <c r="G462" s="2">
        <v>688.22</v>
      </c>
      <c r="H462" s="2" t="str">
        <f>VLOOKUP(qhkz_4dqm[[#This Row],[fuel_type]],lookup!A:B,2,FALSE)</f>
        <v>Gasoline</v>
      </c>
      <c r="I462" s="2">
        <f ca="1">YEAR(TODAY())-qhkz_4dqm[[#This Row],[year]]</f>
        <v>9</v>
      </c>
      <c r="J462" s="2" t="str" cm="1">
        <f t="array" aca="1" ref="J462" ca="1">_xlfn.IFS(qhkz_4dqm[[#This Row],[vehicle_age]]&lt;=3,"Newer",qhkz_4dqm[[#This Row],[vehicle_age]]&lt;=9,"Mid-age",qhkz_4dqm[[#This Row],[vehicle_age]]&lt;=19,"Older",qhkz_4dqm[[#This Row],[vehicle_age]]&gt;=20,"Very Old")</f>
        <v>Mid-age</v>
      </c>
    </row>
    <row r="463" spans="1:10">
      <c r="A463" s="2">
        <v>24075132</v>
      </c>
      <c r="B463" s="2">
        <v>2407513201</v>
      </c>
      <c r="C463" s="2">
        <v>1</v>
      </c>
      <c r="D463" s="2">
        <v>2013</v>
      </c>
      <c r="E463" s="2">
        <v>1</v>
      </c>
      <c r="F463" s="2">
        <v>313.32</v>
      </c>
      <c r="G463" s="2">
        <v>1272.43</v>
      </c>
      <c r="H463" s="2" t="str">
        <f>VLOOKUP(qhkz_4dqm[[#This Row],[fuel_type]],lookup!A:B,2,FALSE)</f>
        <v>Gasoline</v>
      </c>
      <c r="I463" s="2">
        <f ca="1">YEAR(TODAY())-qhkz_4dqm[[#This Row],[year]]</f>
        <v>13</v>
      </c>
      <c r="J463" s="2" t="str" cm="1">
        <f t="array" aca="1" ref="J463" ca="1">_xlfn.IFS(qhkz_4dqm[[#This Row],[vehicle_age]]&lt;=3,"Newer",qhkz_4dqm[[#This Row],[vehicle_age]]&lt;=9,"Mid-age",qhkz_4dqm[[#This Row],[vehicle_age]]&lt;=19,"Older",qhkz_4dqm[[#This Row],[vehicle_age]]&gt;=20,"Very Old")</f>
        <v>Older</v>
      </c>
    </row>
    <row r="464" spans="1:10">
      <c r="A464" s="2">
        <v>24075212</v>
      </c>
      <c r="B464" s="2">
        <v>2407521201</v>
      </c>
      <c r="C464" s="2">
        <v>1</v>
      </c>
      <c r="D464" s="2">
        <v>2017</v>
      </c>
      <c r="E464" s="2">
        <v>2</v>
      </c>
      <c r="F464" s="2">
        <v>186.93</v>
      </c>
      <c r="G464" s="2">
        <v>331.05</v>
      </c>
      <c r="H464" s="2" t="str">
        <f>VLOOKUP(qhkz_4dqm[[#This Row],[fuel_type]],lookup!A:B,2,FALSE)</f>
        <v>Diesel</v>
      </c>
      <c r="I464" s="2">
        <f ca="1">YEAR(TODAY())-qhkz_4dqm[[#This Row],[year]]</f>
        <v>9</v>
      </c>
      <c r="J464" s="2" t="str" cm="1">
        <f t="array" aca="1" ref="J464" ca="1">_xlfn.IFS(qhkz_4dqm[[#This Row],[vehicle_age]]&lt;=3,"Newer",qhkz_4dqm[[#This Row],[vehicle_age]]&lt;=9,"Mid-age",qhkz_4dqm[[#This Row],[vehicle_age]]&lt;=19,"Older",qhkz_4dqm[[#This Row],[vehicle_age]]&gt;=20,"Very Old")</f>
        <v>Mid-age</v>
      </c>
    </row>
    <row r="465" spans="1:10">
      <c r="A465" s="2">
        <v>24075523</v>
      </c>
      <c r="B465" s="2">
        <v>2407552301</v>
      </c>
      <c r="C465" s="2">
        <v>1</v>
      </c>
      <c r="D465" s="2">
        <v>2010</v>
      </c>
      <c r="E465" s="2">
        <v>1</v>
      </c>
      <c r="F465" s="2">
        <v>33.39</v>
      </c>
      <c r="G465" s="2">
        <v>495.07</v>
      </c>
      <c r="H465" s="2" t="str">
        <f>VLOOKUP(qhkz_4dqm[[#This Row],[fuel_type]],lookup!A:B,2,FALSE)</f>
        <v>Gasoline</v>
      </c>
      <c r="I465" s="2">
        <f ca="1">YEAR(TODAY())-qhkz_4dqm[[#This Row],[year]]</f>
        <v>16</v>
      </c>
      <c r="J465" s="2" t="str" cm="1">
        <f t="array" aca="1" ref="J465" ca="1">_xlfn.IFS(qhkz_4dqm[[#This Row],[vehicle_age]]&lt;=3,"Newer",qhkz_4dqm[[#This Row],[vehicle_age]]&lt;=9,"Mid-age",qhkz_4dqm[[#This Row],[vehicle_age]]&lt;=19,"Older",qhkz_4dqm[[#This Row],[vehicle_age]]&gt;=20,"Very Old")</f>
        <v>Older</v>
      </c>
    </row>
    <row r="466" spans="1:10">
      <c r="A466" s="2">
        <v>24075745</v>
      </c>
      <c r="B466" s="2">
        <v>2407574501</v>
      </c>
      <c r="C466" s="2">
        <v>1</v>
      </c>
      <c r="D466" s="2">
        <v>2021</v>
      </c>
      <c r="E466" s="2">
        <v>1</v>
      </c>
      <c r="F466" s="2">
        <v>3867.59</v>
      </c>
      <c r="G466" s="2">
        <v>2704.67</v>
      </c>
      <c r="H466" s="2" t="str">
        <f>VLOOKUP(qhkz_4dqm[[#This Row],[fuel_type]],lookup!A:B,2,FALSE)</f>
        <v>Gasoline</v>
      </c>
      <c r="I466" s="2">
        <f ca="1">YEAR(TODAY())-qhkz_4dqm[[#This Row],[year]]</f>
        <v>5</v>
      </c>
      <c r="J466" s="2" t="str" cm="1">
        <f t="array" aca="1" ref="J466" ca="1">_xlfn.IFS(qhkz_4dqm[[#This Row],[vehicle_age]]&lt;=3,"Newer",qhkz_4dqm[[#This Row],[vehicle_age]]&lt;=9,"Mid-age",qhkz_4dqm[[#This Row],[vehicle_age]]&lt;=19,"Older",qhkz_4dqm[[#This Row],[vehicle_age]]&gt;=20,"Very Old")</f>
        <v>Mid-age</v>
      </c>
    </row>
    <row r="467" spans="1:10">
      <c r="A467" s="2">
        <v>24075825</v>
      </c>
      <c r="B467" s="2">
        <v>2407582501</v>
      </c>
      <c r="C467" s="2">
        <v>1</v>
      </c>
      <c r="D467" s="2">
        <v>2021</v>
      </c>
      <c r="E467" s="2">
        <v>1</v>
      </c>
      <c r="F467" s="2">
        <v>0.68</v>
      </c>
      <c r="G467" s="2">
        <v>327.04000000000002</v>
      </c>
      <c r="H467" s="2" t="str">
        <f>VLOOKUP(qhkz_4dqm[[#This Row],[fuel_type]],lookup!A:B,2,FALSE)</f>
        <v>Gasoline</v>
      </c>
      <c r="I467" s="2">
        <f ca="1">YEAR(TODAY())-qhkz_4dqm[[#This Row],[year]]</f>
        <v>5</v>
      </c>
      <c r="J467" s="2" t="str" cm="1">
        <f t="array" aca="1" ref="J467" ca="1">_xlfn.IFS(qhkz_4dqm[[#This Row],[vehicle_age]]&lt;=3,"Newer",qhkz_4dqm[[#This Row],[vehicle_age]]&lt;=9,"Mid-age",qhkz_4dqm[[#This Row],[vehicle_age]]&lt;=19,"Older",qhkz_4dqm[[#This Row],[vehicle_age]]&gt;=20,"Very Old")</f>
        <v>Mid-age</v>
      </c>
    </row>
    <row r="468" spans="1:10">
      <c r="A468" s="2">
        <v>24075908</v>
      </c>
      <c r="B468" s="2">
        <v>2407590801</v>
      </c>
      <c r="C468" s="2">
        <v>1</v>
      </c>
      <c r="D468" s="2">
        <v>2021</v>
      </c>
      <c r="E468" s="2">
        <v>1</v>
      </c>
      <c r="F468" s="2">
        <v>0.68</v>
      </c>
      <c r="G468" s="2">
        <v>217.81</v>
      </c>
      <c r="H468" s="2" t="str">
        <f>VLOOKUP(qhkz_4dqm[[#This Row],[fuel_type]],lookup!A:B,2,FALSE)</f>
        <v>Gasoline</v>
      </c>
      <c r="I468" s="2">
        <f ca="1">YEAR(TODAY())-qhkz_4dqm[[#This Row],[year]]</f>
        <v>5</v>
      </c>
      <c r="J468" s="2" t="str" cm="1">
        <f t="array" aca="1" ref="J468" ca="1">_xlfn.IFS(qhkz_4dqm[[#This Row],[vehicle_age]]&lt;=3,"Newer",qhkz_4dqm[[#This Row],[vehicle_age]]&lt;=9,"Mid-age",qhkz_4dqm[[#This Row],[vehicle_age]]&lt;=19,"Older",qhkz_4dqm[[#This Row],[vehicle_age]]&gt;=20,"Very Old")</f>
        <v>Mid-age</v>
      </c>
    </row>
    <row r="469" spans="1:10">
      <c r="A469" s="2">
        <v>24076121</v>
      </c>
      <c r="B469" s="2">
        <v>2407612101</v>
      </c>
      <c r="C469" s="2">
        <v>1</v>
      </c>
      <c r="D469" s="2">
        <v>2011</v>
      </c>
      <c r="E469" s="2">
        <v>1</v>
      </c>
      <c r="F469" s="2">
        <v>2014</v>
      </c>
      <c r="G469" s="2">
        <v>792.5</v>
      </c>
      <c r="H469" s="2" t="str">
        <f>VLOOKUP(qhkz_4dqm[[#This Row],[fuel_type]],lookup!A:B,2,FALSE)</f>
        <v>Gasoline</v>
      </c>
      <c r="I469" s="2">
        <f ca="1">YEAR(TODAY())-qhkz_4dqm[[#This Row],[year]]</f>
        <v>15</v>
      </c>
      <c r="J469" s="2" t="str" cm="1">
        <f t="array" aca="1" ref="J469" ca="1">_xlfn.IFS(qhkz_4dqm[[#This Row],[vehicle_age]]&lt;=3,"Newer",qhkz_4dqm[[#This Row],[vehicle_age]]&lt;=9,"Mid-age",qhkz_4dqm[[#This Row],[vehicle_age]]&lt;=19,"Older",qhkz_4dqm[[#This Row],[vehicle_age]]&gt;=20,"Very Old")</f>
        <v>Older</v>
      </c>
    </row>
    <row r="470" spans="1:10">
      <c r="A470" s="2">
        <v>24076144</v>
      </c>
      <c r="B470" s="2">
        <v>2407614401</v>
      </c>
      <c r="C470" s="2">
        <v>1</v>
      </c>
      <c r="D470" s="2">
        <v>2023</v>
      </c>
      <c r="E470" s="2">
        <v>1</v>
      </c>
      <c r="F470" s="2">
        <v>2072.39</v>
      </c>
      <c r="G470" s="2">
        <v>1886.64</v>
      </c>
      <c r="H470" s="2" t="str">
        <f>VLOOKUP(qhkz_4dqm[[#This Row],[fuel_type]],lookup!A:B,2,FALSE)</f>
        <v>Gasoline</v>
      </c>
      <c r="I470" s="2">
        <f ca="1">YEAR(TODAY())-qhkz_4dqm[[#This Row],[year]]</f>
        <v>3</v>
      </c>
      <c r="J470" s="2" t="str" cm="1">
        <f t="array" aca="1" ref="J470" ca="1">_xlfn.IFS(qhkz_4dqm[[#This Row],[vehicle_age]]&lt;=3,"Newer",qhkz_4dqm[[#This Row],[vehicle_age]]&lt;=9,"Mid-age",qhkz_4dqm[[#This Row],[vehicle_age]]&lt;=19,"Older",qhkz_4dqm[[#This Row],[vehicle_age]]&gt;=20,"Very Old")</f>
        <v>Newer</v>
      </c>
    </row>
    <row r="471" spans="1:10">
      <c r="A471" s="2">
        <v>24076152</v>
      </c>
      <c r="B471" s="2">
        <v>2407615201</v>
      </c>
      <c r="C471" s="2">
        <v>1</v>
      </c>
      <c r="D471" s="2">
        <v>2007</v>
      </c>
      <c r="E471" s="2">
        <v>1</v>
      </c>
      <c r="F471" s="2">
        <v>0.68</v>
      </c>
      <c r="G471" s="2">
        <v>338.27</v>
      </c>
      <c r="H471" s="2" t="str">
        <f>VLOOKUP(qhkz_4dqm[[#This Row],[fuel_type]],lookup!A:B,2,FALSE)</f>
        <v>Gasoline</v>
      </c>
      <c r="I471" s="2">
        <f ca="1">YEAR(TODAY())-qhkz_4dqm[[#This Row],[year]]</f>
        <v>19</v>
      </c>
      <c r="J471" s="2" t="str" cm="1">
        <f t="array" aca="1" ref="J471" ca="1">_xlfn.IFS(qhkz_4dqm[[#This Row],[vehicle_age]]&lt;=3,"Newer",qhkz_4dqm[[#This Row],[vehicle_age]]&lt;=9,"Mid-age",qhkz_4dqm[[#This Row],[vehicle_age]]&lt;=19,"Older",qhkz_4dqm[[#This Row],[vehicle_age]]&gt;=20,"Very Old")</f>
        <v>Older</v>
      </c>
    </row>
    <row r="472" spans="1:10">
      <c r="A472" s="2">
        <v>24076250</v>
      </c>
      <c r="B472" s="2">
        <v>2407625001</v>
      </c>
      <c r="C472" s="2">
        <v>1</v>
      </c>
      <c r="D472" s="2">
        <v>2012</v>
      </c>
      <c r="E472" s="2">
        <v>1</v>
      </c>
      <c r="F472" s="2">
        <v>1.35</v>
      </c>
      <c r="G472" s="2">
        <v>186.78</v>
      </c>
      <c r="H472" s="2" t="str">
        <f>VLOOKUP(qhkz_4dqm[[#This Row],[fuel_type]],lookup!A:B,2,FALSE)</f>
        <v>Gasoline</v>
      </c>
      <c r="I472" s="2">
        <f ca="1">YEAR(TODAY())-qhkz_4dqm[[#This Row],[year]]</f>
        <v>14</v>
      </c>
      <c r="J472" s="2" t="str" cm="1">
        <f t="array" aca="1" ref="J472" ca="1">_xlfn.IFS(qhkz_4dqm[[#This Row],[vehicle_age]]&lt;=3,"Newer",qhkz_4dqm[[#This Row],[vehicle_age]]&lt;=9,"Mid-age",qhkz_4dqm[[#This Row],[vehicle_age]]&lt;=19,"Older",qhkz_4dqm[[#This Row],[vehicle_age]]&gt;=20,"Very Old")</f>
        <v>Older</v>
      </c>
    </row>
    <row r="473" spans="1:10">
      <c r="A473" s="2">
        <v>24076302</v>
      </c>
      <c r="B473" s="2">
        <v>2407630201</v>
      </c>
      <c r="C473" s="2">
        <v>1</v>
      </c>
      <c r="D473" s="2">
        <v>2013</v>
      </c>
      <c r="E473" s="2">
        <v>1</v>
      </c>
      <c r="F473" s="2">
        <v>2568.98</v>
      </c>
      <c r="G473" s="2">
        <v>628.99</v>
      </c>
      <c r="H473" s="2" t="str">
        <f>VLOOKUP(qhkz_4dqm[[#This Row],[fuel_type]],lookup!A:B,2,FALSE)</f>
        <v>Gasoline</v>
      </c>
      <c r="I473" s="2">
        <f ca="1">YEAR(TODAY())-qhkz_4dqm[[#This Row],[year]]</f>
        <v>13</v>
      </c>
      <c r="J473" s="2" t="str" cm="1">
        <f t="array" aca="1" ref="J473" ca="1">_xlfn.IFS(qhkz_4dqm[[#This Row],[vehicle_age]]&lt;=3,"Newer",qhkz_4dqm[[#This Row],[vehicle_age]]&lt;=9,"Mid-age",qhkz_4dqm[[#This Row],[vehicle_age]]&lt;=19,"Older",qhkz_4dqm[[#This Row],[vehicle_age]]&gt;=20,"Very Old")</f>
        <v>Older</v>
      </c>
    </row>
    <row r="474" spans="1:10">
      <c r="A474" s="2">
        <v>24076373</v>
      </c>
      <c r="B474" s="2">
        <v>2407637301</v>
      </c>
      <c r="C474" s="2">
        <v>1</v>
      </c>
      <c r="D474" s="2">
        <v>2014</v>
      </c>
      <c r="E474" s="2">
        <v>1</v>
      </c>
      <c r="F474" s="2">
        <v>119.06</v>
      </c>
      <c r="G474" s="2">
        <v>194.73</v>
      </c>
      <c r="H474" s="2" t="str">
        <f>VLOOKUP(qhkz_4dqm[[#This Row],[fuel_type]],lookup!A:B,2,FALSE)</f>
        <v>Gasoline</v>
      </c>
      <c r="I474" s="2">
        <f ca="1">YEAR(TODAY())-qhkz_4dqm[[#This Row],[year]]</f>
        <v>12</v>
      </c>
      <c r="J474" s="2" t="str" cm="1">
        <f t="array" aca="1" ref="J474" ca="1">_xlfn.IFS(qhkz_4dqm[[#This Row],[vehicle_age]]&lt;=3,"Newer",qhkz_4dqm[[#This Row],[vehicle_age]]&lt;=9,"Mid-age",qhkz_4dqm[[#This Row],[vehicle_age]]&lt;=19,"Older",qhkz_4dqm[[#This Row],[vehicle_age]]&gt;=20,"Very Old")</f>
        <v>Older</v>
      </c>
    </row>
    <row r="475" spans="1:10">
      <c r="A475" s="2">
        <v>24076446</v>
      </c>
      <c r="B475" s="2">
        <v>2407644601</v>
      </c>
      <c r="C475" s="2">
        <v>1</v>
      </c>
      <c r="D475" s="2">
        <v>2005</v>
      </c>
      <c r="E475" s="2">
        <v>1</v>
      </c>
      <c r="F475" s="2">
        <v>511.35</v>
      </c>
      <c r="G475" s="2">
        <v>567.03</v>
      </c>
      <c r="H475" s="2" t="str">
        <f>VLOOKUP(qhkz_4dqm[[#This Row],[fuel_type]],lookup!A:B,2,FALSE)</f>
        <v>Gasoline</v>
      </c>
      <c r="I475" s="2">
        <f ca="1">YEAR(TODAY())-qhkz_4dqm[[#This Row],[year]]</f>
        <v>21</v>
      </c>
      <c r="J475" s="2" t="str" cm="1">
        <f t="array" aca="1" ref="J475" ca="1">_xlfn.IFS(qhkz_4dqm[[#This Row],[vehicle_age]]&lt;=3,"Newer",qhkz_4dqm[[#This Row],[vehicle_age]]&lt;=9,"Mid-age",qhkz_4dqm[[#This Row],[vehicle_age]]&lt;=19,"Older",qhkz_4dqm[[#This Row],[vehicle_age]]&gt;=20,"Very Old")</f>
        <v>Very Old</v>
      </c>
    </row>
    <row r="476" spans="1:10">
      <c r="A476" s="2">
        <v>24076535</v>
      </c>
      <c r="B476" s="2">
        <v>2407653501</v>
      </c>
      <c r="C476" s="2">
        <v>1</v>
      </c>
      <c r="D476" s="2">
        <v>2013</v>
      </c>
      <c r="E476" s="2">
        <v>1</v>
      </c>
      <c r="F476" s="2">
        <v>573.79</v>
      </c>
      <c r="G476" s="2">
        <v>460.72</v>
      </c>
      <c r="H476" s="2" t="str">
        <f>VLOOKUP(qhkz_4dqm[[#This Row],[fuel_type]],lookup!A:B,2,FALSE)</f>
        <v>Gasoline</v>
      </c>
      <c r="I476" s="2">
        <f ca="1">YEAR(TODAY())-qhkz_4dqm[[#This Row],[year]]</f>
        <v>13</v>
      </c>
      <c r="J476" s="2" t="str" cm="1">
        <f t="array" aca="1" ref="J476" ca="1">_xlfn.IFS(qhkz_4dqm[[#This Row],[vehicle_age]]&lt;=3,"Newer",qhkz_4dqm[[#This Row],[vehicle_age]]&lt;=9,"Mid-age",qhkz_4dqm[[#This Row],[vehicle_age]]&lt;=19,"Older",qhkz_4dqm[[#This Row],[vehicle_age]]&gt;=20,"Very Old")</f>
        <v>Older</v>
      </c>
    </row>
    <row r="477" spans="1:10">
      <c r="A477" s="2">
        <v>24076642</v>
      </c>
      <c r="B477" s="2">
        <v>2407664201</v>
      </c>
      <c r="C477" s="2">
        <v>1</v>
      </c>
      <c r="D477" s="2">
        <v>2022</v>
      </c>
      <c r="E477" s="2">
        <v>1</v>
      </c>
      <c r="F477" s="2">
        <v>0.45</v>
      </c>
      <c r="G477" s="2">
        <v>121.88</v>
      </c>
      <c r="H477" s="2" t="str">
        <f>VLOOKUP(qhkz_4dqm[[#This Row],[fuel_type]],lookup!A:B,2,FALSE)</f>
        <v>Gasoline</v>
      </c>
      <c r="I477" s="2">
        <f ca="1">YEAR(TODAY())-qhkz_4dqm[[#This Row],[year]]</f>
        <v>4</v>
      </c>
      <c r="J477" s="2" t="str" cm="1">
        <f t="array" aca="1" ref="J477" ca="1">_xlfn.IFS(qhkz_4dqm[[#This Row],[vehicle_age]]&lt;=3,"Newer",qhkz_4dqm[[#This Row],[vehicle_age]]&lt;=9,"Mid-age",qhkz_4dqm[[#This Row],[vehicle_age]]&lt;=19,"Older",qhkz_4dqm[[#This Row],[vehicle_age]]&gt;=20,"Very Old")</f>
        <v>Mid-age</v>
      </c>
    </row>
    <row r="478" spans="1:10">
      <c r="A478" s="2">
        <v>24076688</v>
      </c>
      <c r="B478" s="2">
        <v>2407668801</v>
      </c>
      <c r="C478" s="2">
        <v>1</v>
      </c>
      <c r="D478" s="2">
        <v>2021</v>
      </c>
      <c r="E478" s="2">
        <v>1</v>
      </c>
      <c r="F478" s="2">
        <v>1862.32</v>
      </c>
      <c r="G478" s="2">
        <v>1606.77</v>
      </c>
      <c r="H478" s="2" t="str">
        <f>VLOOKUP(qhkz_4dqm[[#This Row],[fuel_type]],lookup!A:B,2,FALSE)</f>
        <v>Gasoline</v>
      </c>
      <c r="I478" s="2">
        <f ca="1">YEAR(TODAY())-qhkz_4dqm[[#This Row],[year]]</f>
        <v>5</v>
      </c>
      <c r="J478" s="2" t="str" cm="1">
        <f t="array" aca="1" ref="J478" ca="1">_xlfn.IFS(qhkz_4dqm[[#This Row],[vehicle_age]]&lt;=3,"Newer",qhkz_4dqm[[#This Row],[vehicle_age]]&lt;=9,"Mid-age",qhkz_4dqm[[#This Row],[vehicle_age]]&lt;=19,"Older",qhkz_4dqm[[#This Row],[vehicle_age]]&gt;=20,"Very Old")</f>
        <v>Mid-age</v>
      </c>
    </row>
    <row r="479" spans="1:10">
      <c r="A479" s="2">
        <v>24076849</v>
      </c>
      <c r="B479" s="2">
        <v>2407684901</v>
      </c>
      <c r="C479" s="2">
        <v>1</v>
      </c>
      <c r="D479" s="2">
        <v>2014</v>
      </c>
      <c r="E479" s="2">
        <v>1</v>
      </c>
      <c r="F479" s="2">
        <v>4.63</v>
      </c>
      <c r="G479" s="2">
        <v>261.61</v>
      </c>
      <c r="H479" s="2" t="str">
        <f>VLOOKUP(qhkz_4dqm[[#This Row],[fuel_type]],lookup!A:B,2,FALSE)</f>
        <v>Gasoline</v>
      </c>
      <c r="I479" s="2">
        <f ca="1">YEAR(TODAY())-qhkz_4dqm[[#This Row],[year]]</f>
        <v>12</v>
      </c>
      <c r="J479" s="2" t="str" cm="1">
        <f t="array" aca="1" ref="J479" ca="1">_xlfn.IFS(qhkz_4dqm[[#This Row],[vehicle_age]]&lt;=3,"Newer",qhkz_4dqm[[#This Row],[vehicle_age]]&lt;=9,"Mid-age",qhkz_4dqm[[#This Row],[vehicle_age]]&lt;=19,"Older",qhkz_4dqm[[#This Row],[vehicle_age]]&gt;=20,"Very Old")</f>
        <v>Older</v>
      </c>
    </row>
    <row r="480" spans="1:10">
      <c r="A480" s="2">
        <v>24076876</v>
      </c>
      <c r="B480" s="2">
        <v>2407687601</v>
      </c>
      <c r="C480" s="2">
        <v>1</v>
      </c>
      <c r="D480" s="2">
        <v>2003</v>
      </c>
      <c r="E480" s="2">
        <v>1</v>
      </c>
      <c r="F480" s="2">
        <v>4.63</v>
      </c>
      <c r="G480" s="2">
        <v>261.61</v>
      </c>
      <c r="H480" s="2" t="str">
        <f>VLOOKUP(qhkz_4dqm[[#This Row],[fuel_type]],lookup!A:B,2,FALSE)</f>
        <v>Gasoline</v>
      </c>
      <c r="I480" s="2">
        <f ca="1">YEAR(TODAY())-qhkz_4dqm[[#This Row],[year]]</f>
        <v>23</v>
      </c>
      <c r="J480" s="2" t="str" cm="1">
        <f t="array" aca="1" ref="J480" ca="1">_xlfn.IFS(qhkz_4dqm[[#This Row],[vehicle_age]]&lt;=3,"Newer",qhkz_4dqm[[#This Row],[vehicle_age]]&lt;=9,"Mid-age",qhkz_4dqm[[#This Row],[vehicle_age]]&lt;=19,"Older",qhkz_4dqm[[#This Row],[vehicle_age]]&gt;=20,"Very Old")</f>
        <v>Very Old</v>
      </c>
    </row>
    <row r="481" spans="1:10">
      <c r="A481" s="2">
        <v>24076894</v>
      </c>
      <c r="B481" s="2">
        <v>2407689401</v>
      </c>
      <c r="C481" s="2">
        <v>1</v>
      </c>
      <c r="D481" s="2">
        <v>2024</v>
      </c>
      <c r="E481" s="2">
        <v>1</v>
      </c>
      <c r="F481" s="2">
        <v>427.12</v>
      </c>
      <c r="G481" s="2">
        <v>807.8</v>
      </c>
      <c r="H481" s="2" t="str">
        <f>VLOOKUP(qhkz_4dqm[[#This Row],[fuel_type]],lookup!A:B,2,FALSE)</f>
        <v>Gasoline</v>
      </c>
      <c r="I481" s="2">
        <f ca="1">YEAR(TODAY())-qhkz_4dqm[[#This Row],[year]]</f>
        <v>2</v>
      </c>
      <c r="J481" s="2" t="str" cm="1">
        <f t="array" aca="1" ref="J481" ca="1">_xlfn.IFS(qhkz_4dqm[[#This Row],[vehicle_age]]&lt;=3,"Newer",qhkz_4dqm[[#This Row],[vehicle_age]]&lt;=9,"Mid-age",qhkz_4dqm[[#This Row],[vehicle_age]]&lt;=19,"Older",qhkz_4dqm[[#This Row],[vehicle_age]]&gt;=20,"Very Old")</f>
        <v>Newer</v>
      </c>
    </row>
    <row r="482" spans="1:10">
      <c r="A482" s="2">
        <v>24076928</v>
      </c>
      <c r="B482" s="2">
        <v>2407692801</v>
      </c>
      <c r="C482" s="2">
        <v>1</v>
      </c>
      <c r="D482" s="2">
        <v>2001</v>
      </c>
      <c r="E482" s="2">
        <v>1</v>
      </c>
      <c r="F482" s="2">
        <v>0.68</v>
      </c>
      <c r="G482" s="2">
        <v>97.33</v>
      </c>
      <c r="H482" s="2" t="str">
        <f>VLOOKUP(qhkz_4dqm[[#This Row],[fuel_type]],lookup!A:B,2,FALSE)</f>
        <v>Gasoline</v>
      </c>
      <c r="I482" s="2">
        <f ca="1">YEAR(TODAY())-qhkz_4dqm[[#This Row],[year]]</f>
        <v>25</v>
      </c>
      <c r="J482" s="2" t="str" cm="1">
        <f t="array" aca="1" ref="J482" ca="1">_xlfn.IFS(qhkz_4dqm[[#This Row],[vehicle_age]]&lt;=3,"Newer",qhkz_4dqm[[#This Row],[vehicle_age]]&lt;=9,"Mid-age",qhkz_4dqm[[#This Row],[vehicle_age]]&lt;=19,"Older",qhkz_4dqm[[#This Row],[vehicle_age]]&gt;=20,"Very Old")</f>
        <v>Very Old</v>
      </c>
    </row>
    <row r="483" spans="1:10">
      <c r="A483" s="2">
        <v>24076937</v>
      </c>
      <c r="B483" s="2">
        <v>2407693701</v>
      </c>
      <c r="C483" s="2">
        <v>1</v>
      </c>
      <c r="D483" s="2">
        <v>2023</v>
      </c>
      <c r="E483" s="2">
        <v>2</v>
      </c>
      <c r="F483" s="2">
        <v>1.76</v>
      </c>
      <c r="G483" s="2">
        <v>327.43</v>
      </c>
      <c r="H483" s="2" t="str">
        <f>VLOOKUP(qhkz_4dqm[[#This Row],[fuel_type]],lookup!A:B,2,FALSE)</f>
        <v>Diesel</v>
      </c>
      <c r="I483" s="2">
        <f ca="1">YEAR(TODAY())-qhkz_4dqm[[#This Row],[year]]</f>
        <v>3</v>
      </c>
      <c r="J483" s="2" t="str" cm="1">
        <f t="array" aca="1" ref="J483" ca="1">_xlfn.IFS(qhkz_4dqm[[#This Row],[vehicle_age]]&lt;=3,"Newer",qhkz_4dqm[[#This Row],[vehicle_age]]&lt;=9,"Mid-age",qhkz_4dqm[[#This Row],[vehicle_age]]&lt;=19,"Older",qhkz_4dqm[[#This Row],[vehicle_age]]&gt;=20,"Very Old")</f>
        <v>Newer</v>
      </c>
    </row>
    <row r="484" spans="1:10">
      <c r="A484" s="2">
        <v>24076955</v>
      </c>
      <c r="B484" s="2">
        <v>2407695501</v>
      </c>
      <c r="C484" s="2">
        <v>1</v>
      </c>
      <c r="D484" s="2">
        <v>2022</v>
      </c>
      <c r="E484" s="2">
        <v>4</v>
      </c>
      <c r="F484" s="2">
        <v>0.68</v>
      </c>
      <c r="G484" s="2">
        <v>389.34</v>
      </c>
      <c r="H484" s="2" t="str">
        <f>VLOOKUP(qhkz_4dqm[[#This Row],[fuel_type]],lookup!A:B,2,FALSE)</f>
        <v>Electric</v>
      </c>
      <c r="I484" s="2">
        <f ca="1">YEAR(TODAY())-qhkz_4dqm[[#This Row],[year]]</f>
        <v>4</v>
      </c>
      <c r="J484" s="2" t="str" cm="1">
        <f t="array" aca="1" ref="J484" ca="1">_xlfn.IFS(qhkz_4dqm[[#This Row],[vehicle_age]]&lt;=3,"Newer",qhkz_4dqm[[#This Row],[vehicle_age]]&lt;=9,"Mid-age",qhkz_4dqm[[#This Row],[vehicle_age]]&lt;=19,"Older",qhkz_4dqm[[#This Row],[vehicle_age]]&gt;=20,"Very Old")</f>
        <v>Mid-age</v>
      </c>
    </row>
    <row r="485" spans="1:10">
      <c r="A485" s="2">
        <v>24077283</v>
      </c>
      <c r="B485" s="2">
        <v>2407728301</v>
      </c>
      <c r="C485" s="2">
        <v>1</v>
      </c>
      <c r="D485" s="2">
        <v>2021</v>
      </c>
      <c r="E485" s="2">
        <v>1</v>
      </c>
      <c r="F485" s="2">
        <v>426.5</v>
      </c>
      <c r="G485" s="2">
        <v>213.84</v>
      </c>
      <c r="H485" s="2" t="str">
        <f>VLOOKUP(qhkz_4dqm[[#This Row],[fuel_type]],lookup!A:B,2,FALSE)</f>
        <v>Gasoline</v>
      </c>
      <c r="I485" s="2">
        <f ca="1">YEAR(TODAY())-qhkz_4dqm[[#This Row],[year]]</f>
        <v>5</v>
      </c>
      <c r="J485" s="2" t="str" cm="1">
        <f t="array" aca="1" ref="J485" ca="1">_xlfn.IFS(qhkz_4dqm[[#This Row],[vehicle_age]]&lt;=3,"Newer",qhkz_4dqm[[#This Row],[vehicle_age]]&lt;=9,"Mid-age",qhkz_4dqm[[#This Row],[vehicle_age]]&lt;=19,"Older",qhkz_4dqm[[#This Row],[vehicle_age]]&gt;=20,"Very Old")</f>
        <v>Mid-age</v>
      </c>
    </row>
    <row r="486" spans="1:10">
      <c r="A486" s="2">
        <v>24077289</v>
      </c>
      <c r="B486" s="2">
        <v>2407728901</v>
      </c>
      <c r="C486" s="2">
        <v>1</v>
      </c>
      <c r="D486" s="2">
        <v>2018</v>
      </c>
      <c r="E486" s="2">
        <v>1</v>
      </c>
      <c r="F486" s="2">
        <v>0.68</v>
      </c>
      <c r="G486" s="2">
        <v>369.62</v>
      </c>
      <c r="H486" s="2" t="str">
        <f>VLOOKUP(qhkz_4dqm[[#This Row],[fuel_type]],lookup!A:B,2,FALSE)</f>
        <v>Gasoline</v>
      </c>
      <c r="I486" s="2">
        <f ca="1">YEAR(TODAY())-qhkz_4dqm[[#This Row],[year]]</f>
        <v>8</v>
      </c>
      <c r="J486" s="2" t="str" cm="1">
        <f t="array" aca="1" ref="J486" ca="1">_xlfn.IFS(qhkz_4dqm[[#This Row],[vehicle_age]]&lt;=3,"Newer",qhkz_4dqm[[#This Row],[vehicle_age]]&lt;=9,"Mid-age",qhkz_4dqm[[#This Row],[vehicle_age]]&lt;=19,"Older",qhkz_4dqm[[#This Row],[vehicle_age]]&gt;=20,"Very Old")</f>
        <v>Mid-age</v>
      </c>
    </row>
    <row r="487" spans="1:10">
      <c r="A487" s="2">
        <v>24077422</v>
      </c>
      <c r="B487" s="2">
        <v>2407742201</v>
      </c>
      <c r="C487" s="2">
        <v>1</v>
      </c>
      <c r="D487" s="2">
        <v>2013</v>
      </c>
      <c r="E487" s="2">
        <v>1</v>
      </c>
      <c r="F487" s="2">
        <v>1.36</v>
      </c>
      <c r="G487" s="2">
        <v>69.95</v>
      </c>
      <c r="H487" s="2" t="str">
        <f>VLOOKUP(qhkz_4dqm[[#This Row],[fuel_type]],lookup!A:B,2,FALSE)</f>
        <v>Gasoline</v>
      </c>
      <c r="I487" s="2">
        <f ca="1">YEAR(TODAY())-qhkz_4dqm[[#This Row],[year]]</f>
        <v>13</v>
      </c>
      <c r="J487" s="2" t="str" cm="1">
        <f t="array" aca="1" ref="J487" ca="1">_xlfn.IFS(qhkz_4dqm[[#This Row],[vehicle_age]]&lt;=3,"Newer",qhkz_4dqm[[#This Row],[vehicle_age]]&lt;=9,"Mid-age",qhkz_4dqm[[#This Row],[vehicle_age]]&lt;=19,"Older",qhkz_4dqm[[#This Row],[vehicle_age]]&gt;=20,"Very Old")</f>
        <v>Older</v>
      </c>
    </row>
    <row r="488" spans="1:10">
      <c r="A488" s="2">
        <v>24077653</v>
      </c>
      <c r="B488" s="2">
        <v>2407765301</v>
      </c>
      <c r="C488" s="2">
        <v>1</v>
      </c>
      <c r="D488" s="2">
        <v>2021</v>
      </c>
      <c r="E488" s="2">
        <v>7</v>
      </c>
      <c r="F488" s="2">
        <v>26.68</v>
      </c>
      <c r="G488" s="2">
        <v>259.98</v>
      </c>
      <c r="H488" s="2" t="str">
        <f>VLOOKUP(qhkz_4dqm[[#This Row],[fuel_type]],lookup!A:B,2,FALSE)</f>
        <v>Don't Know / Not Reported</v>
      </c>
      <c r="I488" s="2">
        <f ca="1">YEAR(TODAY())-qhkz_4dqm[[#This Row],[year]]</f>
        <v>5</v>
      </c>
      <c r="J488" s="2" t="str" cm="1">
        <f t="array" aca="1" ref="J488" ca="1">_xlfn.IFS(qhkz_4dqm[[#This Row],[vehicle_age]]&lt;=3,"Newer",qhkz_4dqm[[#This Row],[vehicle_age]]&lt;=9,"Mid-age",qhkz_4dqm[[#This Row],[vehicle_age]]&lt;=19,"Older",qhkz_4dqm[[#This Row],[vehicle_age]]&gt;=20,"Very Old")</f>
        <v>Mid-age</v>
      </c>
    </row>
    <row r="489" spans="1:10">
      <c r="A489" s="2">
        <v>24077756</v>
      </c>
      <c r="B489" s="2">
        <v>2407775601</v>
      </c>
      <c r="C489" s="2">
        <v>1</v>
      </c>
      <c r="D489" s="2">
        <v>2021</v>
      </c>
      <c r="E489" s="2">
        <v>1</v>
      </c>
      <c r="F489" s="2">
        <v>111.9</v>
      </c>
      <c r="G489" s="2">
        <v>745.56</v>
      </c>
      <c r="H489" s="2" t="str">
        <f>VLOOKUP(qhkz_4dqm[[#This Row],[fuel_type]],lookup!A:B,2,FALSE)</f>
        <v>Gasoline</v>
      </c>
      <c r="I489" s="2">
        <f ca="1">YEAR(TODAY())-qhkz_4dqm[[#This Row],[year]]</f>
        <v>5</v>
      </c>
      <c r="J489" s="2" t="str" cm="1">
        <f t="array" aca="1" ref="J489" ca="1">_xlfn.IFS(qhkz_4dqm[[#This Row],[vehicle_age]]&lt;=3,"Newer",qhkz_4dqm[[#This Row],[vehicle_age]]&lt;=9,"Mid-age",qhkz_4dqm[[#This Row],[vehicle_age]]&lt;=19,"Older",qhkz_4dqm[[#This Row],[vehicle_age]]&gt;=20,"Very Old")</f>
        <v>Mid-age</v>
      </c>
    </row>
    <row r="490" spans="1:10">
      <c r="A490" s="2">
        <v>24077763</v>
      </c>
      <c r="B490" s="2">
        <v>2407776301</v>
      </c>
      <c r="C490" s="2">
        <v>1</v>
      </c>
      <c r="D490" s="2">
        <v>2019</v>
      </c>
      <c r="E490" s="2">
        <v>1</v>
      </c>
      <c r="F490" s="2">
        <v>0.68</v>
      </c>
      <c r="G490" s="2">
        <v>439.05</v>
      </c>
      <c r="H490" s="2" t="str">
        <f>VLOOKUP(qhkz_4dqm[[#This Row],[fuel_type]],lookup!A:B,2,FALSE)</f>
        <v>Gasoline</v>
      </c>
      <c r="I490" s="2">
        <f ca="1">YEAR(TODAY())-qhkz_4dqm[[#This Row],[year]]</f>
        <v>7</v>
      </c>
      <c r="J490" s="2" t="str" cm="1">
        <f t="array" aca="1" ref="J490" ca="1">_xlfn.IFS(qhkz_4dqm[[#This Row],[vehicle_age]]&lt;=3,"Newer",qhkz_4dqm[[#This Row],[vehicle_age]]&lt;=9,"Mid-age",qhkz_4dqm[[#This Row],[vehicle_age]]&lt;=19,"Older",qhkz_4dqm[[#This Row],[vehicle_age]]&gt;=20,"Very Old")</f>
        <v>Mid-age</v>
      </c>
    </row>
    <row r="491" spans="1:10">
      <c r="A491" s="2">
        <v>24077893</v>
      </c>
      <c r="B491" s="2">
        <v>2407789301</v>
      </c>
      <c r="C491" s="2">
        <v>1</v>
      </c>
      <c r="D491" s="2">
        <v>2019</v>
      </c>
      <c r="E491" s="2">
        <v>1</v>
      </c>
      <c r="F491" s="2">
        <v>1007.85</v>
      </c>
      <c r="G491" s="2">
        <v>943.25</v>
      </c>
      <c r="H491" s="2" t="str">
        <f>VLOOKUP(qhkz_4dqm[[#This Row],[fuel_type]],lookup!A:B,2,FALSE)</f>
        <v>Gasoline</v>
      </c>
      <c r="I491" s="2">
        <f ca="1">YEAR(TODAY())-qhkz_4dqm[[#This Row],[year]]</f>
        <v>7</v>
      </c>
      <c r="J491" s="2" t="str" cm="1">
        <f t="array" aca="1" ref="J491" ca="1">_xlfn.IFS(qhkz_4dqm[[#This Row],[vehicle_age]]&lt;=3,"Newer",qhkz_4dqm[[#This Row],[vehicle_age]]&lt;=9,"Mid-age",qhkz_4dqm[[#This Row],[vehicle_age]]&lt;=19,"Older",qhkz_4dqm[[#This Row],[vehicle_age]]&gt;=20,"Very Old")</f>
        <v>Mid-age</v>
      </c>
    </row>
    <row r="492" spans="1:10">
      <c r="A492" s="2">
        <v>24077929</v>
      </c>
      <c r="B492" s="2">
        <v>2407792901</v>
      </c>
      <c r="C492" s="2">
        <v>1</v>
      </c>
      <c r="D492" s="2">
        <v>2021</v>
      </c>
      <c r="E492" s="2">
        <v>1</v>
      </c>
      <c r="F492" s="2">
        <v>50.66</v>
      </c>
      <c r="G492" s="2">
        <v>447.84</v>
      </c>
      <c r="H492" s="2" t="str">
        <f>VLOOKUP(qhkz_4dqm[[#This Row],[fuel_type]],lookup!A:B,2,FALSE)</f>
        <v>Gasoline</v>
      </c>
      <c r="I492" s="2">
        <f ca="1">YEAR(TODAY())-qhkz_4dqm[[#This Row],[year]]</f>
        <v>5</v>
      </c>
      <c r="J492" s="2" t="str" cm="1">
        <f t="array" aca="1" ref="J492" ca="1">_xlfn.IFS(qhkz_4dqm[[#This Row],[vehicle_age]]&lt;=3,"Newer",qhkz_4dqm[[#This Row],[vehicle_age]]&lt;=9,"Mid-age",qhkz_4dqm[[#This Row],[vehicle_age]]&lt;=19,"Older",qhkz_4dqm[[#This Row],[vehicle_age]]&gt;=20,"Very Old")</f>
        <v>Mid-age</v>
      </c>
    </row>
    <row r="493" spans="1:10">
      <c r="A493" s="2">
        <v>24078017</v>
      </c>
      <c r="B493" s="2">
        <v>2407801701</v>
      </c>
      <c r="C493" s="2">
        <v>1</v>
      </c>
      <c r="D493" s="2">
        <v>2020</v>
      </c>
      <c r="E493" s="2">
        <v>1</v>
      </c>
      <c r="F493" s="2">
        <v>948.83</v>
      </c>
      <c r="G493" s="2">
        <v>437.9</v>
      </c>
      <c r="H493" s="2" t="str">
        <f>VLOOKUP(qhkz_4dqm[[#This Row],[fuel_type]],lookup!A:B,2,FALSE)</f>
        <v>Gasoline</v>
      </c>
      <c r="I493" s="2">
        <f ca="1">YEAR(TODAY())-qhkz_4dqm[[#This Row],[year]]</f>
        <v>6</v>
      </c>
      <c r="J493" s="2" t="str" cm="1">
        <f t="array" aca="1" ref="J493" ca="1">_xlfn.IFS(qhkz_4dqm[[#This Row],[vehicle_age]]&lt;=3,"Newer",qhkz_4dqm[[#This Row],[vehicle_age]]&lt;=9,"Mid-age",qhkz_4dqm[[#This Row],[vehicle_age]]&lt;=19,"Older",qhkz_4dqm[[#This Row],[vehicle_age]]&gt;=20,"Very Old")</f>
        <v>Mid-age</v>
      </c>
    </row>
    <row r="494" spans="1:10">
      <c r="A494" s="2">
        <v>24078018</v>
      </c>
      <c r="B494" s="2">
        <v>2407801801</v>
      </c>
      <c r="C494" s="2">
        <v>1</v>
      </c>
      <c r="D494" s="2">
        <v>2013</v>
      </c>
      <c r="E494" s="2">
        <v>1</v>
      </c>
      <c r="F494" s="2">
        <v>928.96</v>
      </c>
      <c r="G494" s="2">
        <v>416.35</v>
      </c>
      <c r="H494" s="2" t="str">
        <f>VLOOKUP(qhkz_4dqm[[#This Row],[fuel_type]],lookup!A:B,2,FALSE)</f>
        <v>Gasoline</v>
      </c>
      <c r="I494" s="2">
        <f ca="1">YEAR(TODAY())-qhkz_4dqm[[#This Row],[year]]</f>
        <v>13</v>
      </c>
      <c r="J494" s="2" t="str" cm="1">
        <f t="array" aca="1" ref="J494" ca="1">_xlfn.IFS(qhkz_4dqm[[#This Row],[vehicle_age]]&lt;=3,"Newer",qhkz_4dqm[[#This Row],[vehicle_age]]&lt;=9,"Mid-age",qhkz_4dqm[[#This Row],[vehicle_age]]&lt;=19,"Older",qhkz_4dqm[[#This Row],[vehicle_age]]&gt;=20,"Very Old")</f>
        <v>Older</v>
      </c>
    </row>
    <row r="495" spans="1:10">
      <c r="A495" s="2">
        <v>24078174</v>
      </c>
      <c r="B495" s="2">
        <v>2407817401</v>
      </c>
      <c r="C495" s="2">
        <v>1</v>
      </c>
      <c r="D495" s="2">
        <v>2018</v>
      </c>
      <c r="E495" s="2">
        <v>1</v>
      </c>
      <c r="F495" s="2">
        <v>0.68</v>
      </c>
      <c r="G495" s="2">
        <v>389.34</v>
      </c>
      <c r="H495" s="2" t="str">
        <f>VLOOKUP(qhkz_4dqm[[#This Row],[fuel_type]],lookup!A:B,2,FALSE)</f>
        <v>Gasoline</v>
      </c>
      <c r="I495" s="2">
        <f ca="1">YEAR(TODAY())-qhkz_4dqm[[#This Row],[year]]</f>
        <v>8</v>
      </c>
      <c r="J495" s="2" t="str" cm="1">
        <f t="array" aca="1" ref="J495" ca="1">_xlfn.IFS(qhkz_4dqm[[#This Row],[vehicle_age]]&lt;=3,"Newer",qhkz_4dqm[[#This Row],[vehicle_age]]&lt;=9,"Mid-age",qhkz_4dqm[[#This Row],[vehicle_age]]&lt;=19,"Older",qhkz_4dqm[[#This Row],[vehicle_age]]&gt;=20,"Very Old")</f>
        <v>Mid-age</v>
      </c>
    </row>
    <row r="496" spans="1:10">
      <c r="A496" s="2">
        <v>24078214</v>
      </c>
      <c r="B496" s="2">
        <v>2407821401</v>
      </c>
      <c r="C496" s="2">
        <v>1</v>
      </c>
      <c r="D496" s="2">
        <v>2006</v>
      </c>
      <c r="E496" s="2">
        <v>1</v>
      </c>
      <c r="F496" s="2">
        <v>1.36</v>
      </c>
      <c r="G496" s="2">
        <v>382.4</v>
      </c>
      <c r="H496" s="2" t="str">
        <f>VLOOKUP(qhkz_4dqm[[#This Row],[fuel_type]],lookup!A:B,2,FALSE)</f>
        <v>Gasoline</v>
      </c>
      <c r="I496" s="2">
        <f ca="1">YEAR(TODAY())-qhkz_4dqm[[#This Row],[year]]</f>
        <v>20</v>
      </c>
      <c r="J496" s="2" t="str" cm="1">
        <f t="array" aca="1" ref="J496" ca="1">_xlfn.IFS(qhkz_4dqm[[#This Row],[vehicle_age]]&lt;=3,"Newer",qhkz_4dqm[[#This Row],[vehicle_age]]&lt;=9,"Mid-age",qhkz_4dqm[[#This Row],[vehicle_age]]&lt;=19,"Older",qhkz_4dqm[[#This Row],[vehicle_age]]&gt;=20,"Very Old")</f>
        <v>Very Old</v>
      </c>
    </row>
    <row r="497" spans="1:10">
      <c r="A497" s="2">
        <v>24078261</v>
      </c>
      <c r="B497" s="2">
        <v>2407826101</v>
      </c>
      <c r="C497" s="2">
        <v>1</v>
      </c>
      <c r="D497" s="2">
        <v>2014</v>
      </c>
      <c r="E497" s="2">
        <v>1</v>
      </c>
      <c r="F497" s="2">
        <v>521.86</v>
      </c>
      <c r="G497" s="2">
        <v>383.58</v>
      </c>
      <c r="H497" s="2" t="str">
        <f>VLOOKUP(qhkz_4dqm[[#This Row],[fuel_type]],lookup!A:B,2,FALSE)</f>
        <v>Gasoline</v>
      </c>
      <c r="I497" s="2">
        <f ca="1">YEAR(TODAY())-qhkz_4dqm[[#This Row],[year]]</f>
        <v>12</v>
      </c>
      <c r="J497" s="2" t="str" cm="1">
        <f t="array" aca="1" ref="J497" ca="1">_xlfn.IFS(qhkz_4dqm[[#This Row],[vehicle_age]]&lt;=3,"Newer",qhkz_4dqm[[#This Row],[vehicle_age]]&lt;=9,"Mid-age",qhkz_4dqm[[#This Row],[vehicle_age]]&lt;=19,"Older",qhkz_4dqm[[#This Row],[vehicle_age]]&gt;=20,"Very Old")</f>
        <v>Older</v>
      </c>
    </row>
    <row r="498" spans="1:10">
      <c r="A498" s="2">
        <v>24078486</v>
      </c>
      <c r="B498" s="2">
        <v>2407848601</v>
      </c>
      <c r="C498" s="2">
        <v>1</v>
      </c>
      <c r="D498" s="2">
        <v>2018</v>
      </c>
      <c r="E498" s="2">
        <v>1</v>
      </c>
      <c r="F498" s="2">
        <v>1.35</v>
      </c>
      <c r="G498" s="2">
        <v>221.98</v>
      </c>
      <c r="H498" s="2" t="str">
        <f>VLOOKUP(qhkz_4dqm[[#This Row],[fuel_type]],lookup!A:B,2,FALSE)</f>
        <v>Gasoline</v>
      </c>
      <c r="I498" s="2">
        <f ca="1">YEAR(TODAY())-qhkz_4dqm[[#This Row],[year]]</f>
        <v>8</v>
      </c>
      <c r="J498" s="2" t="str" cm="1">
        <f t="array" aca="1" ref="J498" ca="1">_xlfn.IFS(qhkz_4dqm[[#This Row],[vehicle_age]]&lt;=3,"Newer",qhkz_4dqm[[#This Row],[vehicle_age]]&lt;=9,"Mid-age",qhkz_4dqm[[#This Row],[vehicle_age]]&lt;=19,"Older",qhkz_4dqm[[#This Row],[vehicle_age]]&gt;=20,"Very Old")</f>
        <v>Mid-age</v>
      </c>
    </row>
    <row r="499" spans="1:10">
      <c r="A499" s="2">
        <v>24078584</v>
      </c>
      <c r="B499" s="2">
        <v>2407858401</v>
      </c>
      <c r="C499" s="2">
        <v>1</v>
      </c>
      <c r="D499" s="2">
        <v>2018</v>
      </c>
      <c r="E499" s="2">
        <v>1</v>
      </c>
      <c r="F499" s="2">
        <v>1.62</v>
      </c>
      <c r="G499" s="2">
        <v>181.41</v>
      </c>
      <c r="H499" s="2" t="str">
        <f>VLOOKUP(qhkz_4dqm[[#This Row],[fuel_type]],lookup!A:B,2,FALSE)</f>
        <v>Gasoline</v>
      </c>
      <c r="I499" s="2">
        <f ca="1">YEAR(TODAY())-qhkz_4dqm[[#This Row],[year]]</f>
        <v>8</v>
      </c>
      <c r="J499" s="2" t="str" cm="1">
        <f t="array" aca="1" ref="J499" ca="1">_xlfn.IFS(qhkz_4dqm[[#This Row],[vehicle_age]]&lt;=3,"Newer",qhkz_4dqm[[#This Row],[vehicle_age]]&lt;=9,"Mid-age",qhkz_4dqm[[#This Row],[vehicle_age]]&lt;=19,"Older",qhkz_4dqm[[#This Row],[vehicle_age]]&gt;=20,"Very Old")</f>
        <v>Mid-age</v>
      </c>
    </row>
    <row r="500" spans="1:10">
      <c r="A500" s="2">
        <v>24078596</v>
      </c>
      <c r="B500" s="2">
        <v>2407859601</v>
      </c>
      <c r="C500" s="2">
        <v>1</v>
      </c>
      <c r="D500" s="2">
        <v>2020</v>
      </c>
      <c r="E500" s="2">
        <v>4</v>
      </c>
      <c r="F500" s="2">
        <v>5.95</v>
      </c>
      <c r="G500" s="2">
        <v>233.72</v>
      </c>
      <c r="H500" s="2" t="str">
        <f>VLOOKUP(qhkz_4dqm[[#This Row],[fuel_type]],lookup!A:B,2,FALSE)</f>
        <v>Electric</v>
      </c>
      <c r="I500" s="2">
        <f ca="1">YEAR(TODAY())-qhkz_4dqm[[#This Row],[year]]</f>
        <v>6</v>
      </c>
      <c r="J500" s="2" t="str" cm="1">
        <f t="array" aca="1" ref="J500" ca="1">_xlfn.IFS(qhkz_4dqm[[#This Row],[vehicle_age]]&lt;=3,"Newer",qhkz_4dqm[[#This Row],[vehicle_age]]&lt;=9,"Mid-age",qhkz_4dqm[[#This Row],[vehicle_age]]&lt;=19,"Older",qhkz_4dqm[[#This Row],[vehicle_age]]&gt;=20,"Very Old")</f>
        <v>Mid-age</v>
      </c>
    </row>
    <row r="501" spans="1:10">
      <c r="A501" s="2">
        <v>24078643</v>
      </c>
      <c r="B501" s="2">
        <v>2407864301</v>
      </c>
      <c r="C501" s="2">
        <v>1</v>
      </c>
      <c r="D501" s="2">
        <v>2017</v>
      </c>
      <c r="E501" s="2">
        <v>1</v>
      </c>
      <c r="F501" s="2">
        <v>10.85</v>
      </c>
      <c r="G501" s="2">
        <v>536.53</v>
      </c>
      <c r="H501" s="2" t="str">
        <f>VLOOKUP(qhkz_4dqm[[#This Row],[fuel_type]],lookup!A:B,2,FALSE)</f>
        <v>Gasoline</v>
      </c>
      <c r="I501" s="2">
        <f ca="1">YEAR(TODAY())-qhkz_4dqm[[#This Row],[year]]</f>
        <v>9</v>
      </c>
      <c r="J501" s="2" t="str" cm="1">
        <f t="array" aca="1" ref="J501" ca="1">_xlfn.IFS(qhkz_4dqm[[#This Row],[vehicle_age]]&lt;=3,"Newer",qhkz_4dqm[[#This Row],[vehicle_age]]&lt;=9,"Mid-age",qhkz_4dqm[[#This Row],[vehicle_age]]&lt;=19,"Older",qhkz_4dqm[[#This Row],[vehicle_age]]&gt;=20,"Very Old")</f>
        <v>Mid-age</v>
      </c>
    </row>
    <row r="502" spans="1:10">
      <c r="A502" s="2">
        <v>24078741</v>
      </c>
      <c r="B502" s="2">
        <v>2407874101</v>
      </c>
      <c r="C502" s="2">
        <v>1</v>
      </c>
      <c r="D502" s="2">
        <v>2017</v>
      </c>
      <c r="E502" s="2">
        <v>1</v>
      </c>
      <c r="F502" s="2">
        <v>1.35</v>
      </c>
      <c r="G502" s="2">
        <v>186.78</v>
      </c>
      <c r="H502" s="2" t="str">
        <f>VLOOKUP(qhkz_4dqm[[#This Row],[fuel_type]],lookup!A:B,2,FALSE)</f>
        <v>Gasoline</v>
      </c>
      <c r="I502" s="2">
        <f ca="1">YEAR(TODAY())-qhkz_4dqm[[#This Row],[year]]</f>
        <v>9</v>
      </c>
      <c r="J502" s="2" t="str" cm="1">
        <f t="array" aca="1" ref="J502" ca="1">_xlfn.IFS(qhkz_4dqm[[#This Row],[vehicle_age]]&lt;=3,"Newer",qhkz_4dqm[[#This Row],[vehicle_age]]&lt;=9,"Mid-age",qhkz_4dqm[[#This Row],[vehicle_age]]&lt;=19,"Older",qhkz_4dqm[[#This Row],[vehicle_age]]&gt;=20,"Very Old")</f>
        <v>Mid-age</v>
      </c>
    </row>
    <row r="503" spans="1:10">
      <c r="A503" s="2">
        <v>24078759</v>
      </c>
      <c r="B503" s="2">
        <v>2407875901</v>
      </c>
      <c r="C503" s="2">
        <v>1</v>
      </c>
      <c r="D503" s="2">
        <v>2022</v>
      </c>
      <c r="E503" s="2">
        <v>2</v>
      </c>
      <c r="F503" s="2">
        <v>634.75</v>
      </c>
      <c r="G503" s="2">
        <v>536.64</v>
      </c>
      <c r="H503" s="2" t="str">
        <f>VLOOKUP(qhkz_4dqm[[#This Row],[fuel_type]],lookup!A:B,2,FALSE)</f>
        <v>Diesel</v>
      </c>
      <c r="I503" s="2">
        <f ca="1">YEAR(TODAY())-qhkz_4dqm[[#This Row],[year]]</f>
        <v>4</v>
      </c>
      <c r="J503" s="2" t="str" cm="1">
        <f t="array" aca="1" ref="J503" ca="1">_xlfn.IFS(qhkz_4dqm[[#This Row],[vehicle_age]]&lt;=3,"Newer",qhkz_4dqm[[#This Row],[vehicle_age]]&lt;=9,"Mid-age",qhkz_4dqm[[#This Row],[vehicle_age]]&lt;=19,"Older",qhkz_4dqm[[#This Row],[vehicle_age]]&gt;=20,"Very Old")</f>
        <v>Mid-age</v>
      </c>
    </row>
    <row r="504" spans="1:10">
      <c r="A504" s="2">
        <v>24078925</v>
      </c>
      <c r="B504" s="2">
        <v>2407892501</v>
      </c>
      <c r="C504" s="2">
        <v>1</v>
      </c>
      <c r="D504" s="2">
        <v>2019</v>
      </c>
      <c r="E504" s="2">
        <v>1</v>
      </c>
      <c r="F504" s="2">
        <v>1.35</v>
      </c>
      <c r="G504" s="2">
        <v>186.78</v>
      </c>
      <c r="H504" s="2" t="str">
        <f>VLOOKUP(qhkz_4dqm[[#This Row],[fuel_type]],lookup!A:B,2,FALSE)</f>
        <v>Gasoline</v>
      </c>
      <c r="I504" s="2">
        <f ca="1">YEAR(TODAY())-qhkz_4dqm[[#This Row],[year]]</f>
        <v>7</v>
      </c>
      <c r="J504" s="2" t="str" cm="1">
        <f t="array" aca="1" ref="J504" ca="1">_xlfn.IFS(qhkz_4dqm[[#This Row],[vehicle_age]]&lt;=3,"Newer",qhkz_4dqm[[#This Row],[vehicle_age]]&lt;=9,"Mid-age",qhkz_4dqm[[#This Row],[vehicle_age]]&lt;=19,"Older",qhkz_4dqm[[#This Row],[vehicle_age]]&gt;=20,"Very Old")</f>
        <v>Mid-age</v>
      </c>
    </row>
    <row r="505" spans="1:10">
      <c r="A505" s="2">
        <v>24079172</v>
      </c>
      <c r="B505" s="2">
        <v>2407917201</v>
      </c>
      <c r="C505" s="2">
        <v>1</v>
      </c>
      <c r="D505" s="2">
        <v>2023</v>
      </c>
      <c r="E505" s="2">
        <v>1</v>
      </c>
      <c r="F505" s="2">
        <v>0.45</v>
      </c>
      <c r="G505" s="2">
        <v>177.83</v>
      </c>
      <c r="H505" s="2" t="str">
        <f>VLOOKUP(qhkz_4dqm[[#This Row],[fuel_type]],lookup!A:B,2,FALSE)</f>
        <v>Gasoline</v>
      </c>
      <c r="I505" s="2">
        <f ca="1">YEAR(TODAY())-qhkz_4dqm[[#This Row],[year]]</f>
        <v>3</v>
      </c>
      <c r="J505" s="2" t="str" cm="1">
        <f t="array" aca="1" ref="J505" ca="1">_xlfn.IFS(qhkz_4dqm[[#This Row],[vehicle_age]]&lt;=3,"Newer",qhkz_4dqm[[#This Row],[vehicle_age]]&lt;=9,"Mid-age",qhkz_4dqm[[#This Row],[vehicle_age]]&lt;=19,"Older",qhkz_4dqm[[#This Row],[vehicle_age]]&gt;=20,"Very Old")</f>
        <v>Newer</v>
      </c>
    </row>
    <row r="506" spans="1:10">
      <c r="A506" s="2">
        <v>24079316</v>
      </c>
      <c r="B506" s="2">
        <v>2407931601</v>
      </c>
      <c r="C506" s="2">
        <v>1</v>
      </c>
      <c r="D506" s="2">
        <v>2018</v>
      </c>
      <c r="E506" s="2">
        <v>1</v>
      </c>
      <c r="F506" s="2">
        <v>1259.6099999999999</v>
      </c>
      <c r="G506" s="2">
        <v>1828.46</v>
      </c>
      <c r="H506" s="2" t="str">
        <f>VLOOKUP(qhkz_4dqm[[#This Row],[fuel_type]],lookup!A:B,2,FALSE)</f>
        <v>Gasoline</v>
      </c>
      <c r="I506" s="2">
        <f ca="1">YEAR(TODAY())-qhkz_4dqm[[#This Row],[year]]</f>
        <v>8</v>
      </c>
      <c r="J506" s="2" t="str" cm="1">
        <f t="array" aca="1" ref="J506" ca="1">_xlfn.IFS(qhkz_4dqm[[#This Row],[vehicle_age]]&lt;=3,"Newer",qhkz_4dqm[[#This Row],[vehicle_age]]&lt;=9,"Mid-age",qhkz_4dqm[[#This Row],[vehicle_age]]&lt;=19,"Older",qhkz_4dqm[[#This Row],[vehicle_age]]&gt;=20,"Very Old")</f>
        <v>Mid-age</v>
      </c>
    </row>
    <row r="507" spans="1:10">
      <c r="A507" s="2">
        <v>24079424</v>
      </c>
      <c r="B507" s="2">
        <v>2407942401</v>
      </c>
      <c r="C507" s="2">
        <v>1</v>
      </c>
      <c r="D507" s="2">
        <v>2020</v>
      </c>
      <c r="E507" s="2">
        <v>1</v>
      </c>
      <c r="F507" s="2">
        <v>928.96</v>
      </c>
      <c r="G507" s="2">
        <v>416.35</v>
      </c>
      <c r="H507" s="2" t="str">
        <f>VLOOKUP(qhkz_4dqm[[#This Row],[fuel_type]],lookup!A:B,2,FALSE)</f>
        <v>Gasoline</v>
      </c>
      <c r="I507" s="2">
        <f ca="1">YEAR(TODAY())-qhkz_4dqm[[#This Row],[year]]</f>
        <v>6</v>
      </c>
      <c r="J507" s="2" t="str" cm="1">
        <f t="array" aca="1" ref="J507" ca="1">_xlfn.IFS(qhkz_4dqm[[#This Row],[vehicle_age]]&lt;=3,"Newer",qhkz_4dqm[[#This Row],[vehicle_age]]&lt;=9,"Mid-age",qhkz_4dqm[[#This Row],[vehicle_age]]&lt;=19,"Older",qhkz_4dqm[[#This Row],[vehicle_age]]&gt;=20,"Very Old")</f>
        <v>Mid-age</v>
      </c>
    </row>
    <row r="508" spans="1:10">
      <c r="A508" s="2">
        <v>24079521</v>
      </c>
      <c r="B508" s="2">
        <v>2407952101</v>
      </c>
      <c r="C508" s="2">
        <v>1</v>
      </c>
      <c r="D508" s="2">
        <v>2012</v>
      </c>
      <c r="E508" s="2">
        <v>2</v>
      </c>
      <c r="F508" s="2">
        <v>111.9</v>
      </c>
      <c r="G508" s="2">
        <v>745.56</v>
      </c>
      <c r="H508" s="2" t="str">
        <f>VLOOKUP(qhkz_4dqm[[#This Row],[fuel_type]],lookup!A:B,2,FALSE)</f>
        <v>Diesel</v>
      </c>
      <c r="I508" s="2">
        <f ca="1">YEAR(TODAY())-qhkz_4dqm[[#This Row],[year]]</f>
        <v>14</v>
      </c>
      <c r="J508" s="2" t="str" cm="1">
        <f t="array" aca="1" ref="J508" ca="1">_xlfn.IFS(qhkz_4dqm[[#This Row],[vehicle_age]]&lt;=3,"Newer",qhkz_4dqm[[#This Row],[vehicle_age]]&lt;=9,"Mid-age",qhkz_4dqm[[#This Row],[vehicle_age]]&lt;=19,"Older",qhkz_4dqm[[#This Row],[vehicle_age]]&gt;=20,"Very Old")</f>
        <v>Older</v>
      </c>
    </row>
    <row r="509" spans="1:10">
      <c r="A509" s="2">
        <v>24079568</v>
      </c>
      <c r="B509" s="2">
        <v>2407956801</v>
      </c>
      <c r="C509" s="2">
        <v>1</v>
      </c>
      <c r="D509" s="2">
        <v>2024</v>
      </c>
      <c r="E509" s="2">
        <v>1</v>
      </c>
      <c r="F509" s="2">
        <v>3868.41</v>
      </c>
      <c r="G509" s="2">
        <v>922.42</v>
      </c>
      <c r="H509" s="2" t="str">
        <f>VLOOKUP(qhkz_4dqm[[#This Row],[fuel_type]],lookup!A:B,2,FALSE)</f>
        <v>Gasoline</v>
      </c>
      <c r="I509" s="2">
        <f ca="1">YEAR(TODAY())-qhkz_4dqm[[#This Row],[year]]</f>
        <v>2</v>
      </c>
      <c r="J509" s="2" t="str" cm="1">
        <f t="array" aca="1" ref="J509" ca="1">_xlfn.IFS(qhkz_4dqm[[#This Row],[vehicle_age]]&lt;=3,"Newer",qhkz_4dqm[[#This Row],[vehicle_age]]&lt;=9,"Mid-age",qhkz_4dqm[[#This Row],[vehicle_age]]&lt;=19,"Older",qhkz_4dqm[[#This Row],[vehicle_age]]&gt;=20,"Very Old")</f>
        <v>Newer</v>
      </c>
    </row>
    <row r="510" spans="1:10">
      <c r="A510" s="2">
        <v>24079598</v>
      </c>
      <c r="B510" s="2">
        <v>2407959801</v>
      </c>
      <c r="C510" s="2">
        <v>1</v>
      </c>
      <c r="D510" s="2">
        <v>2022</v>
      </c>
      <c r="E510" s="2">
        <v>1</v>
      </c>
      <c r="F510" s="2">
        <v>42</v>
      </c>
      <c r="G510" s="2">
        <v>189.58</v>
      </c>
      <c r="H510" s="2" t="str">
        <f>VLOOKUP(qhkz_4dqm[[#This Row],[fuel_type]],lookup!A:B,2,FALSE)</f>
        <v>Gasoline</v>
      </c>
      <c r="I510" s="2">
        <f ca="1">YEAR(TODAY())-qhkz_4dqm[[#This Row],[year]]</f>
        <v>4</v>
      </c>
      <c r="J510" s="2" t="str" cm="1">
        <f t="array" aca="1" ref="J510" ca="1">_xlfn.IFS(qhkz_4dqm[[#This Row],[vehicle_age]]&lt;=3,"Newer",qhkz_4dqm[[#This Row],[vehicle_age]]&lt;=9,"Mid-age",qhkz_4dqm[[#This Row],[vehicle_age]]&lt;=19,"Older",qhkz_4dqm[[#This Row],[vehicle_age]]&gt;=20,"Very Old")</f>
        <v>Mid-age</v>
      </c>
    </row>
    <row r="511" spans="1:10">
      <c r="A511" s="2">
        <v>24079609</v>
      </c>
      <c r="B511" s="2">
        <v>2407960901</v>
      </c>
      <c r="C511" s="2">
        <v>1</v>
      </c>
      <c r="D511" s="2">
        <v>2014</v>
      </c>
      <c r="E511" s="2">
        <v>1</v>
      </c>
      <c r="F511" s="2">
        <v>3857.78</v>
      </c>
      <c r="G511" s="2">
        <v>3311.15</v>
      </c>
      <c r="H511" s="2" t="str">
        <f>VLOOKUP(qhkz_4dqm[[#This Row],[fuel_type]],lookup!A:B,2,FALSE)</f>
        <v>Gasoline</v>
      </c>
      <c r="I511" s="2">
        <f ca="1">YEAR(TODAY())-qhkz_4dqm[[#This Row],[year]]</f>
        <v>12</v>
      </c>
      <c r="J511" s="2" t="str" cm="1">
        <f t="array" aca="1" ref="J511" ca="1">_xlfn.IFS(qhkz_4dqm[[#This Row],[vehicle_age]]&lt;=3,"Newer",qhkz_4dqm[[#This Row],[vehicle_age]]&lt;=9,"Mid-age",qhkz_4dqm[[#This Row],[vehicle_age]]&lt;=19,"Older",qhkz_4dqm[[#This Row],[vehicle_age]]&gt;=20,"Very Old")</f>
        <v>Older</v>
      </c>
    </row>
    <row r="512" spans="1:10">
      <c r="A512" s="2">
        <v>24079815</v>
      </c>
      <c r="B512" s="2">
        <v>2407981501</v>
      </c>
      <c r="C512" s="2">
        <v>1</v>
      </c>
      <c r="D512" s="2">
        <v>2014</v>
      </c>
      <c r="E512" s="2">
        <v>1</v>
      </c>
      <c r="F512" s="2">
        <v>1.35</v>
      </c>
      <c r="G512" s="2">
        <v>246.68</v>
      </c>
      <c r="H512" s="2" t="str">
        <f>VLOOKUP(qhkz_4dqm[[#This Row],[fuel_type]],lookup!A:B,2,FALSE)</f>
        <v>Gasoline</v>
      </c>
      <c r="I512" s="2">
        <f ca="1">YEAR(TODAY())-qhkz_4dqm[[#This Row],[year]]</f>
        <v>12</v>
      </c>
      <c r="J512" s="2" t="str" cm="1">
        <f t="array" aca="1" ref="J512" ca="1">_xlfn.IFS(qhkz_4dqm[[#This Row],[vehicle_age]]&lt;=3,"Newer",qhkz_4dqm[[#This Row],[vehicle_age]]&lt;=9,"Mid-age",qhkz_4dqm[[#This Row],[vehicle_age]]&lt;=19,"Older",qhkz_4dqm[[#This Row],[vehicle_age]]&gt;=20,"Very Old")</f>
        <v>Older</v>
      </c>
    </row>
    <row r="513" spans="1:10">
      <c r="A513" s="2">
        <v>24079971</v>
      </c>
      <c r="B513" s="2">
        <v>2407997101</v>
      </c>
      <c r="C513" s="2">
        <v>1</v>
      </c>
      <c r="D513" s="2">
        <v>2010</v>
      </c>
      <c r="E513" s="2">
        <v>1</v>
      </c>
      <c r="F513" s="2">
        <v>1374.65</v>
      </c>
      <c r="G513" s="2">
        <v>956.86</v>
      </c>
      <c r="H513" s="2" t="str">
        <f>VLOOKUP(qhkz_4dqm[[#This Row],[fuel_type]],lookup!A:B,2,FALSE)</f>
        <v>Gasoline</v>
      </c>
      <c r="I513" s="2">
        <f ca="1">YEAR(TODAY())-qhkz_4dqm[[#This Row],[year]]</f>
        <v>16</v>
      </c>
      <c r="J513" s="2" t="str" cm="1">
        <f t="array" aca="1" ref="J513" ca="1">_xlfn.IFS(qhkz_4dqm[[#This Row],[vehicle_age]]&lt;=3,"Newer",qhkz_4dqm[[#This Row],[vehicle_age]]&lt;=9,"Mid-age",qhkz_4dqm[[#This Row],[vehicle_age]]&lt;=19,"Older",qhkz_4dqm[[#This Row],[vehicle_age]]&gt;=20,"Very Old")</f>
        <v>Older</v>
      </c>
    </row>
    <row r="514" spans="1:10">
      <c r="A514" s="2">
        <v>24080394</v>
      </c>
      <c r="B514" s="2">
        <v>2408039401</v>
      </c>
      <c r="C514" s="2">
        <v>1</v>
      </c>
      <c r="D514" s="2">
        <v>2023</v>
      </c>
      <c r="E514" s="2">
        <v>4</v>
      </c>
      <c r="F514" s="2">
        <v>0.68</v>
      </c>
      <c r="G514" s="2">
        <v>190.17</v>
      </c>
      <c r="H514" s="2" t="str">
        <f>VLOOKUP(qhkz_4dqm[[#This Row],[fuel_type]],lookup!A:B,2,FALSE)</f>
        <v>Electric</v>
      </c>
      <c r="I514" s="2">
        <f ca="1">YEAR(TODAY())-qhkz_4dqm[[#This Row],[year]]</f>
        <v>3</v>
      </c>
      <c r="J514" s="2" t="str" cm="1">
        <f t="array" aca="1" ref="J514" ca="1">_xlfn.IFS(qhkz_4dqm[[#This Row],[vehicle_age]]&lt;=3,"Newer",qhkz_4dqm[[#This Row],[vehicle_age]]&lt;=9,"Mid-age",qhkz_4dqm[[#This Row],[vehicle_age]]&lt;=19,"Older",qhkz_4dqm[[#This Row],[vehicle_age]]&gt;=20,"Very Old")</f>
        <v>Newer</v>
      </c>
    </row>
    <row r="515" spans="1:10">
      <c r="A515" s="2">
        <v>24080440</v>
      </c>
      <c r="B515" s="2">
        <v>2408044001</v>
      </c>
      <c r="C515" s="2">
        <v>1</v>
      </c>
      <c r="D515" s="2">
        <v>2012</v>
      </c>
      <c r="E515" s="2">
        <v>1</v>
      </c>
      <c r="F515" s="2">
        <v>1.35</v>
      </c>
      <c r="G515" s="2">
        <v>184.49</v>
      </c>
      <c r="H515" s="2" t="str">
        <f>VLOOKUP(qhkz_4dqm[[#This Row],[fuel_type]],lookup!A:B,2,FALSE)</f>
        <v>Gasoline</v>
      </c>
      <c r="I515" s="2">
        <f ca="1">YEAR(TODAY())-qhkz_4dqm[[#This Row],[year]]</f>
        <v>14</v>
      </c>
      <c r="J515" s="2" t="str" cm="1">
        <f t="array" aca="1" ref="J515" ca="1">_xlfn.IFS(qhkz_4dqm[[#This Row],[vehicle_age]]&lt;=3,"Newer",qhkz_4dqm[[#This Row],[vehicle_age]]&lt;=9,"Mid-age",qhkz_4dqm[[#This Row],[vehicle_age]]&lt;=19,"Older",qhkz_4dqm[[#This Row],[vehicle_age]]&gt;=20,"Very Old")</f>
        <v>Older</v>
      </c>
    </row>
    <row r="516" spans="1:10">
      <c r="A516" s="2">
        <v>24080544</v>
      </c>
      <c r="B516" s="2">
        <v>2408054401</v>
      </c>
      <c r="C516" s="2">
        <v>1</v>
      </c>
      <c r="D516" s="2">
        <v>2016</v>
      </c>
      <c r="E516" s="2">
        <v>1</v>
      </c>
      <c r="F516" s="2">
        <v>0.45</v>
      </c>
      <c r="G516" s="2">
        <v>68.239999999999995</v>
      </c>
      <c r="H516" s="2" t="str">
        <f>VLOOKUP(qhkz_4dqm[[#This Row],[fuel_type]],lookup!A:B,2,FALSE)</f>
        <v>Gasoline</v>
      </c>
      <c r="I516" s="2">
        <f ca="1">YEAR(TODAY())-qhkz_4dqm[[#This Row],[year]]</f>
        <v>10</v>
      </c>
      <c r="J516" s="2" t="str" cm="1">
        <f t="array" aca="1" ref="J516" ca="1">_xlfn.IFS(qhkz_4dqm[[#This Row],[vehicle_age]]&lt;=3,"Newer",qhkz_4dqm[[#This Row],[vehicle_age]]&lt;=9,"Mid-age",qhkz_4dqm[[#This Row],[vehicle_age]]&lt;=19,"Older",qhkz_4dqm[[#This Row],[vehicle_age]]&gt;=20,"Very Old")</f>
        <v>Older</v>
      </c>
    </row>
    <row r="517" spans="1:10">
      <c r="A517" s="2">
        <v>24080548</v>
      </c>
      <c r="B517" s="2">
        <v>2408054801</v>
      </c>
      <c r="C517" s="2">
        <v>1</v>
      </c>
      <c r="D517" s="2">
        <v>2021</v>
      </c>
      <c r="E517" s="2">
        <v>1</v>
      </c>
      <c r="F517" s="2">
        <v>1.35</v>
      </c>
      <c r="G517" s="2">
        <v>121.25</v>
      </c>
      <c r="H517" s="2" t="str">
        <f>VLOOKUP(qhkz_4dqm[[#This Row],[fuel_type]],lookup!A:B,2,FALSE)</f>
        <v>Gasoline</v>
      </c>
      <c r="I517" s="2">
        <f ca="1">YEAR(TODAY())-qhkz_4dqm[[#This Row],[year]]</f>
        <v>5</v>
      </c>
      <c r="J517" s="2" t="str" cm="1">
        <f t="array" aca="1" ref="J517" ca="1">_xlfn.IFS(qhkz_4dqm[[#This Row],[vehicle_age]]&lt;=3,"Newer",qhkz_4dqm[[#This Row],[vehicle_age]]&lt;=9,"Mid-age",qhkz_4dqm[[#This Row],[vehicle_age]]&lt;=19,"Older",qhkz_4dqm[[#This Row],[vehicle_age]]&gt;=20,"Very Old")</f>
        <v>Mid-age</v>
      </c>
    </row>
    <row r="518" spans="1:10">
      <c r="A518" s="2">
        <v>24080649</v>
      </c>
      <c r="B518" s="2">
        <v>2408064901</v>
      </c>
      <c r="C518" s="2">
        <v>1</v>
      </c>
      <c r="D518" s="2">
        <v>2024</v>
      </c>
      <c r="E518" s="2">
        <v>1</v>
      </c>
      <c r="F518" s="2">
        <v>2077.83</v>
      </c>
      <c r="G518" s="2">
        <v>1201.56</v>
      </c>
      <c r="H518" s="2" t="str">
        <f>VLOOKUP(qhkz_4dqm[[#This Row],[fuel_type]],lookup!A:B,2,FALSE)</f>
        <v>Gasoline</v>
      </c>
      <c r="I518" s="2">
        <f ca="1">YEAR(TODAY())-qhkz_4dqm[[#This Row],[year]]</f>
        <v>2</v>
      </c>
      <c r="J518" s="2" t="str" cm="1">
        <f t="array" aca="1" ref="J518" ca="1">_xlfn.IFS(qhkz_4dqm[[#This Row],[vehicle_age]]&lt;=3,"Newer",qhkz_4dqm[[#This Row],[vehicle_age]]&lt;=9,"Mid-age",qhkz_4dqm[[#This Row],[vehicle_age]]&lt;=19,"Older",qhkz_4dqm[[#This Row],[vehicle_age]]&gt;=20,"Very Old")</f>
        <v>Newer</v>
      </c>
    </row>
    <row r="519" spans="1:10">
      <c r="A519" s="2">
        <v>24080697</v>
      </c>
      <c r="B519" s="2">
        <v>2408069701</v>
      </c>
      <c r="C519" s="2">
        <v>1</v>
      </c>
      <c r="D519" s="2">
        <v>2014</v>
      </c>
      <c r="E519" s="2">
        <v>1</v>
      </c>
      <c r="F519" s="2">
        <v>0.68</v>
      </c>
      <c r="G519" s="2">
        <v>112.34</v>
      </c>
      <c r="H519" s="2" t="str">
        <f>VLOOKUP(qhkz_4dqm[[#This Row],[fuel_type]],lookup!A:B,2,FALSE)</f>
        <v>Gasoline</v>
      </c>
      <c r="I519" s="2">
        <f ca="1">YEAR(TODAY())-qhkz_4dqm[[#This Row],[year]]</f>
        <v>12</v>
      </c>
      <c r="J519" s="2" t="str" cm="1">
        <f t="array" aca="1" ref="J519" ca="1">_xlfn.IFS(qhkz_4dqm[[#This Row],[vehicle_age]]&lt;=3,"Newer",qhkz_4dqm[[#This Row],[vehicle_age]]&lt;=9,"Mid-age",qhkz_4dqm[[#This Row],[vehicle_age]]&lt;=19,"Older",qhkz_4dqm[[#This Row],[vehicle_age]]&gt;=20,"Very Old")</f>
        <v>Older</v>
      </c>
    </row>
    <row r="520" spans="1:10">
      <c r="A520" s="2">
        <v>24080753</v>
      </c>
      <c r="B520" s="2">
        <v>2408075301</v>
      </c>
      <c r="C520" s="2">
        <v>1</v>
      </c>
      <c r="D520" s="2">
        <v>2023</v>
      </c>
      <c r="E520" s="2">
        <v>1</v>
      </c>
      <c r="F520" s="2">
        <v>0.68</v>
      </c>
      <c r="G520" s="2">
        <v>348.85</v>
      </c>
      <c r="H520" s="2" t="str">
        <f>VLOOKUP(qhkz_4dqm[[#This Row],[fuel_type]],lookup!A:B,2,FALSE)</f>
        <v>Gasoline</v>
      </c>
      <c r="I520" s="2">
        <f ca="1">YEAR(TODAY())-qhkz_4dqm[[#This Row],[year]]</f>
        <v>3</v>
      </c>
      <c r="J520" s="2" t="str" cm="1">
        <f t="array" aca="1" ref="J520" ca="1">_xlfn.IFS(qhkz_4dqm[[#This Row],[vehicle_age]]&lt;=3,"Newer",qhkz_4dqm[[#This Row],[vehicle_age]]&lt;=9,"Mid-age",qhkz_4dqm[[#This Row],[vehicle_age]]&lt;=19,"Older",qhkz_4dqm[[#This Row],[vehicle_age]]&gt;=20,"Very Old")</f>
        <v>Newer</v>
      </c>
    </row>
    <row r="521" spans="1:10">
      <c r="A521" s="2">
        <v>24080843</v>
      </c>
      <c r="B521" s="2">
        <v>2408084301</v>
      </c>
      <c r="C521" s="2">
        <v>1</v>
      </c>
      <c r="D521" s="2">
        <v>2021</v>
      </c>
      <c r="E521" s="2">
        <v>1</v>
      </c>
      <c r="F521" s="2">
        <v>3854.14</v>
      </c>
      <c r="G521" s="2">
        <v>875.67</v>
      </c>
      <c r="H521" s="2" t="str">
        <f>VLOOKUP(qhkz_4dqm[[#This Row],[fuel_type]],lookup!A:B,2,FALSE)</f>
        <v>Gasoline</v>
      </c>
      <c r="I521" s="2">
        <f ca="1">YEAR(TODAY())-qhkz_4dqm[[#This Row],[year]]</f>
        <v>5</v>
      </c>
      <c r="J521" s="2" t="str" cm="1">
        <f t="array" aca="1" ref="J521" ca="1">_xlfn.IFS(qhkz_4dqm[[#This Row],[vehicle_age]]&lt;=3,"Newer",qhkz_4dqm[[#This Row],[vehicle_age]]&lt;=9,"Mid-age",qhkz_4dqm[[#This Row],[vehicle_age]]&lt;=19,"Older",qhkz_4dqm[[#This Row],[vehicle_age]]&gt;=20,"Very Old")</f>
        <v>Mid-age</v>
      </c>
    </row>
    <row r="522" spans="1:10">
      <c r="A522" s="2">
        <v>24080920</v>
      </c>
      <c r="B522" s="2">
        <v>2408092001</v>
      </c>
      <c r="C522" s="2">
        <v>1</v>
      </c>
      <c r="D522" s="2">
        <v>2019</v>
      </c>
      <c r="E522" s="2">
        <v>1</v>
      </c>
      <c r="F522" s="2">
        <v>1.46</v>
      </c>
      <c r="G522" s="2">
        <v>190.06</v>
      </c>
      <c r="H522" s="2" t="str">
        <f>VLOOKUP(qhkz_4dqm[[#This Row],[fuel_type]],lookup!A:B,2,FALSE)</f>
        <v>Gasoline</v>
      </c>
      <c r="I522" s="2">
        <f ca="1">YEAR(TODAY())-qhkz_4dqm[[#This Row],[year]]</f>
        <v>7</v>
      </c>
      <c r="J522" s="2" t="str" cm="1">
        <f t="array" aca="1" ref="J522" ca="1">_xlfn.IFS(qhkz_4dqm[[#This Row],[vehicle_age]]&lt;=3,"Newer",qhkz_4dqm[[#This Row],[vehicle_age]]&lt;=9,"Mid-age",qhkz_4dqm[[#This Row],[vehicle_age]]&lt;=19,"Older",qhkz_4dqm[[#This Row],[vehicle_age]]&gt;=20,"Very Old")</f>
        <v>Mid-age</v>
      </c>
    </row>
    <row r="523" spans="1:10">
      <c r="A523" s="2">
        <v>24081016</v>
      </c>
      <c r="B523" s="2">
        <v>2408101601</v>
      </c>
      <c r="C523" s="2">
        <v>1</v>
      </c>
      <c r="D523" s="2">
        <v>2019</v>
      </c>
      <c r="E523" s="2">
        <v>1</v>
      </c>
      <c r="F523" s="2">
        <v>1.92</v>
      </c>
      <c r="G523" s="2">
        <v>135.16999999999999</v>
      </c>
      <c r="H523" s="2" t="str">
        <f>VLOOKUP(qhkz_4dqm[[#This Row],[fuel_type]],lookup!A:B,2,FALSE)</f>
        <v>Gasoline</v>
      </c>
      <c r="I523" s="2">
        <f ca="1">YEAR(TODAY())-qhkz_4dqm[[#This Row],[year]]</f>
        <v>7</v>
      </c>
      <c r="J523" s="2" t="str" cm="1">
        <f t="array" aca="1" ref="J523" ca="1">_xlfn.IFS(qhkz_4dqm[[#This Row],[vehicle_age]]&lt;=3,"Newer",qhkz_4dqm[[#This Row],[vehicle_age]]&lt;=9,"Mid-age",qhkz_4dqm[[#This Row],[vehicle_age]]&lt;=19,"Older",qhkz_4dqm[[#This Row],[vehicle_age]]&gt;=20,"Very Old")</f>
        <v>Mid-age</v>
      </c>
    </row>
    <row r="524" spans="1:10">
      <c r="A524" s="2">
        <v>24081309</v>
      </c>
      <c r="B524" s="2">
        <v>2408130901</v>
      </c>
      <c r="C524" s="2">
        <v>1</v>
      </c>
      <c r="D524" s="2">
        <v>2017</v>
      </c>
      <c r="E524" s="2">
        <v>1</v>
      </c>
      <c r="F524" s="2">
        <v>0.68</v>
      </c>
      <c r="G524" s="2">
        <v>285.01</v>
      </c>
      <c r="H524" s="2" t="str">
        <f>VLOOKUP(qhkz_4dqm[[#This Row],[fuel_type]],lookup!A:B,2,FALSE)</f>
        <v>Gasoline</v>
      </c>
      <c r="I524" s="2">
        <f ca="1">YEAR(TODAY())-qhkz_4dqm[[#This Row],[year]]</f>
        <v>9</v>
      </c>
      <c r="J524" s="2" t="str" cm="1">
        <f t="array" aca="1" ref="J524" ca="1">_xlfn.IFS(qhkz_4dqm[[#This Row],[vehicle_age]]&lt;=3,"Newer",qhkz_4dqm[[#This Row],[vehicle_age]]&lt;=9,"Mid-age",qhkz_4dqm[[#This Row],[vehicle_age]]&lt;=19,"Older",qhkz_4dqm[[#This Row],[vehicle_age]]&gt;=20,"Very Old")</f>
        <v>Mid-age</v>
      </c>
    </row>
    <row r="525" spans="1:10">
      <c r="A525" s="2">
        <v>24081413</v>
      </c>
      <c r="B525" s="2">
        <v>2408141301</v>
      </c>
      <c r="C525" s="2">
        <v>1</v>
      </c>
      <c r="D525" s="2">
        <v>2023</v>
      </c>
      <c r="E525" s="2">
        <v>1</v>
      </c>
      <c r="F525" s="2">
        <v>18.54</v>
      </c>
      <c r="G525" s="2">
        <v>438.04</v>
      </c>
      <c r="H525" s="2" t="str">
        <f>VLOOKUP(qhkz_4dqm[[#This Row],[fuel_type]],lookup!A:B,2,FALSE)</f>
        <v>Gasoline</v>
      </c>
      <c r="I525" s="2">
        <f ca="1">YEAR(TODAY())-qhkz_4dqm[[#This Row],[year]]</f>
        <v>3</v>
      </c>
      <c r="J525" s="2" t="str" cm="1">
        <f t="array" aca="1" ref="J525" ca="1">_xlfn.IFS(qhkz_4dqm[[#This Row],[vehicle_age]]&lt;=3,"Newer",qhkz_4dqm[[#This Row],[vehicle_age]]&lt;=9,"Mid-age",qhkz_4dqm[[#This Row],[vehicle_age]]&lt;=19,"Older",qhkz_4dqm[[#This Row],[vehicle_age]]&gt;=20,"Very Old")</f>
        <v>Newer</v>
      </c>
    </row>
    <row r="526" spans="1:10">
      <c r="A526" s="2">
        <v>24081456</v>
      </c>
      <c r="B526" s="2">
        <v>2408145601</v>
      </c>
      <c r="C526" s="2">
        <v>1</v>
      </c>
      <c r="D526" s="2">
        <v>1996</v>
      </c>
      <c r="E526" s="2">
        <v>1</v>
      </c>
      <c r="F526" s="2">
        <v>1.35</v>
      </c>
      <c r="G526" s="2">
        <v>466.04</v>
      </c>
      <c r="H526" s="2" t="str">
        <f>VLOOKUP(qhkz_4dqm[[#This Row],[fuel_type]],lookup!A:B,2,FALSE)</f>
        <v>Gasoline</v>
      </c>
      <c r="I526" s="2">
        <f ca="1">YEAR(TODAY())-qhkz_4dqm[[#This Row],[year]]</f>
        <v>30</v>
      </c>
      <c r="J526" s="2" t="str" cm="1">
        <f t="array" aca="1" ref="J526" ca="1">_xlfn.IFS(qhkz_4dqm[[#This Row],[vehicle_age]]&lt;=3,"Newer",qhkz_4dqm[[#This Row],[vehicle_age]]&lt;=9,"Mid-age",qhkz_4dqm[[#This Row],[vehicle_age]]&lt;=19,"Older",qhkz_4dqm[[#This Row],[vehicle_age]]&gt;=20,"Very Old")</f>
        <v>Very Old</v>
      </c>
    </row>
    <row r="527" spans="1:10">
      <c r="A527" s="2">
        <v>24081492</v>
      </c>
      <c r="B527" s="2">
        <v>2408149201</v>
      </c>
      <c r="C527" s="2">
        <v>1</v>
      </c>
      <c r="D527" s="2">
        <v>2017</v>
      </c>
      <c r="E527" s="2">
        <v>1</v>
      </c>
      <c r="F527" s="2">
        <v>3065.49</v>
      </c>
      <c r="G527" s="2">
        <v>305.62</v>
      </c>
      <c r="H527" s="2" t="str">
        <f>VLOOKUP(qhkz_4dqm[[#This Row],[fuel_type]],lookup!A:B,2,FALSE)</f>
        <v>Gasoline</v>
      </c>
      <c r="I527" s="2">
        <f ca="1">YEAR(TODAY())-qhkz_4dqm[[#This Row],[year]]</f>
        <v>9</v>
      </c>
      <c r="J527" s="2" t="str" cm="1">
        <f t="array" aca="1" ref="J527" ca="1">_xlfn.IFS(qhkz_4dqm[[#This Row],[vehicle_age]]&lt;=3,"Newer",qhkz_4dqm[[#This Row],[vehicle_age]]&lt;=9,"Mid-age",qhkz_4dqm[[#This Row],[vehicle_age]]&lt;=19,"Older",qhkz_4dqm[[#This Row],[vehicle_age]]&gt;=20,"Very Old")</f>
        <v>Mid-age</v>
      </c>
    </row>
    <row r="528" spans="1:10">
      <c r="A528" s="2">
        <v>24081517</v>
      </c>
      <c r="B528" s="2">
        <v>2408151701</v>
      </c>
      <c r="C528" s="2">
        <v>1</v>
      </c>
      <c r="D528" s="2">
        <v>2017</v>
      </c>
      <c r="E528" s="2">
        <v>1</v>
      </c>
      <c r="F528" s="2">
        <v>3.89</v>
      </c>
      <c r="G528" s="2">
        <v>265.45</v>
      </c>
      <c r="H528" s="2" t="str">
        <f>VLOOKUP(qhkz_4dqm[[#This Row],[fuel_type]],lookup!A:B,2,FALSE)</f>
        <v>Gasoline</v>
      </c>
      <c r="I528" s="2">
        <f ca="1">YEAR(TODAY())-qhkz_4dqm[[#This Row],[year]]</f>
        <v>9</v>
      </c>
      <c r="J528" s="2" t="str" cm="1">
        <f t="array" aca="1" ref="J528" ca="1">_xlfn.IFS(qhkz_4dqm[[#This Row],[vehicle_age]]&lt;=3,"Newer",qhkz_4dqm[[#This Row],[vehicle_age]]&lt;=9,"Mid-age",qhkz_4dqm[[#This Row],[vehicle_age]]&lt;=19,"Older",qhkz_4dqm[[#This Row],[vehicle_age]]&gt;=20,"Very Old")</f>
        <v>Mid-age</v>
      </c>
    </row>
    <row r="529" spans="1:10">
      <c r="A529" s="2">
        <v>24081570</v>
      </c>
      <c r="B529" s="2">
        <v>2408157001</v>
      </c>
      <c r="C529" s="2">
        <v>1</v>
      </c>
      <c r="D529" s="2">
        <v>2011</v>
      </c>
      <c r="E529" s="2">
        <v>1</v>
      </c>
      <c r="F529" s="2">
        <v>1.35</v>
      </c>
      <c r="G529" s="2">
        <v>240.1</v>
      </c>
      <c r="H529" s="2" t="str">
        <f>VLOOKUP(qhkz_4dqm[[#This Row],[fuel_type]],lookup!A:B,2,FALSE)</f>
        <v>Gasoline</v>
      </c>
      <c r="I529" s="2">
        <f ca="1">YEAR(TODAY())-qhkz_4dqm[[#This Row],[year]]</f>
        <v>15</v>
      </c>
      <c r="J529" s="2" t="str" cm="1">
        <f t="array" aca="1" ref="J529" ca="1">_xlfn.IFS(qhkz_4dqm[[#This Row],[vehicle_age]]&lt;=3,"Newer",qhkz_4dqm[[#This Row],[vehicle_age]]&lt;=9,"Mid-age",qhkz_4dqm[[#This Row],[vehicle_age]]&lt;=19,"Older",qhkz_4dqm[[#This Row],[vehicle_age]]&gt;=20,"Very Old")</f>
        <v>Older</v>
      </c>
    </row>
    <row r="530" spans="1:10">
      <c r="A530" s="2">
        <v>24081946</v>
      </c>
      <c r="B530" s="2">
        <v>2408194601</v>
      </c>
      <c r="C530" s="2">
        <v>1</v>
      </c>
      <c r="D530" s="2">
        <v>2017</v>
      </c>
      <c r="E530" s="2">
        <v>1</v>
      </c>
      <c r="F530" s="2">
        <v>242.86</v>
      </c>
      <c r="G530" s="2">
        <v>653.04999999999995</v>
      </c>
      <c r="H530" s="2" t="str">
        <f>VLOOKUP(qhkz_4dqm[[#This Row],[fuel_type]],lookup!A:B,2,FALSE)</f>
        <v>Gasoline</v>
      </c>
      <c r="I530" s="2">
        <f ca="1">YEAR(TODAY())-qhkz_4dqm[[#This Row],[year]]</f>
        <v>9</v>
      </c>
      <c r="J530" s="2" t="str" cm="1">
        <f t="array" aca="1" ref="J530" ca="1">_xlfn.IFS(qhkz_4dqm[[#This Row],[vehicle_age]]&lt;=3,"Newer",qhkz_4dqm[[#This Row],[vehicle_age]]&lt;=9,"Mid-age",qhkz_4dqm[[#This Row],[vehicle_age]]&lt;=19,"Older",qhkz_4dqm[[#This Row],[vehicle_age]]&gt;=20,"Very Old")</f>
        <v>Mid-age</v>
      </c>
    </row>
    <row r="531" spans="1:10">
      <c r="A531" s="2">
        <v>24081990</v>
      </c>
      <c r="B531" s="2">
        <v>2408199001</v>
      </c>
      <c r="C531" s="2">
        <v>1</v>
      </c>
      <c r="D531" s="2">
        <v>2014</v>
      </c>
      <c r="E531" s="2">
        <v>1</v>
      </c>
      <c r="F531" s="2">
        <v>4544.67</v>
      </c>
      <c r="G531" s="2">
        <v>3318.8</v>
      </c>
      <c r="H531" s="2" t="str">
        <f>VLOOKUP(qhkz_4dqm[[#This Row],[fuel_type]],lookup!A:B,2,FALSE)</f>
        <v>Gasoline</v>
      </c>
      <c r="I531" s="2">
        <f ca="1">YEAR(TODAY())-qhkz_4dqm[[#This Row],[year]]</f>
        <v>12</v>
      </c>
      <c r="J531" s="2" t="str" cm="1">
        <f t="array" aca="1" ref="J531" ca="1">_xlfn.IFS(qhkz_4dqm[[#This Row],[vehicle_age]]&lt;=3,"Newer",qhkz_4dqm[[#This Row],[vehicle_age]]&lt;=9,"Mid-age",qhkz_4dqm[[#This Row],[vehicle_age]]&lt;=19,"Older",qhkz_4dqm[[#This Row],[vehicle_age]]&gt;=20,"Very Old")</f>
        <v>Older</v>
      </c>
    </row>
    <row r="532" spans="1:10">
      <c r="A532" s="2">
        <v>24082038</v>
      </c>
      <c r="B532" s="2">
        <v>2408203801</v>
      </c>
      <c r="C532" s="2">
        <v>1</v>
      </c>
      <c r="D532" s="2">
        <v>2022</v>
      </c>
      <c r="E532" s="2">
        <v>1</v>
      </c>
      <c r="F532" s="2">
        <v>1.35</v>
      </c>
      <c r="G532" s="2">
        <v>199.24</v>
      </c>
      <c r="H532" s="2" t="str">
        <f>VLOOKUP(qhkz_4dqm[[#This Row],[fuel_type]],lookup!A:B,2,FALSE)</f>
        <v>Gasoline</v>
      </c>
      <c r="I532" s="2">
        <f ca="1">YEAR(TODAY())-qhkz_4dqm[[#This Row],[year]]</f>
        <v>4</v>
      </c>
      <c r="J532" s="2" t="str" cm="1">
        <f t="array" aca="1" ref="J532" ca="1">_xlfn.IFS(qhkz_4dqm[[#This Row],[vehicle_age]]&lt;=3,"Newer",qhkz_4dqm[[#This Row],[vehicle_age]]&lt;=9,"Mid-age",qhkz_4dqm[[#This Row],[vehicle_age]]&lt;=19,"Older",qhkz_4dqm[[#This Row],[vehicle_age]]&gt;=20,"Very Old")</f>
        <v>Mid-age</v>
      </c>
    </row>
    <row r="533" spans="1:10">
      <c r="A533" s="2">
        <v>24082069</v>
      </c>
      <c r="B533" s="2">
        <v>2408206901</v>
      </c>
      <c r="C533" s="2">
        <v>1</v>
      </c>
      <c r="D533" s="2">
        <v>2015</v>
      </c>
      <c r="E533" s="2">
        <v>2</v>
      </c>
      <c r="F533" s="2">
        <v>1.59</v>
      </c>
      <c r="G533" s="2">
        <v>169.83</v>
      </c>
      <c r="H533" s="2" t="str">
        <f>VLOOKUP(qhkz_4dqm[[#This Row],[fuel_type]],lookup!A:B,2,FALSE)</f>
        <v>Diesel</v>
      </c>
      <c r="I533" s="2">
        <f ca="1">YEAR(TODAY())-qhkz_4dqm[[#This Row],[year]]</f>
        <v>11</v>
      </c>
      <c r="J533" s="2" t="str" cm="1">
        <f t="array" aca="1" ref="J533" ca="1">_xlfn.IFS(qhkz_4dqm[[#This Row],[vehicle_age]]&lt;=3,"Newer",qhkz_4dqm[[#This Row],[vehicle_age]]&lt;=9,"Mid-age",qhkz_4dqm[[#This Row],[vehicle_age]]&lt;=19,"Older",qhkz_4dqm[[#This Row],[vehicle_age]]&gt;=20,"Very Old")</f>
        <v>Older</v>
      </c>
    </row>
    <row r="534" spans="1:10">
      <c r="A534" s="2">
        <v>24082098</v>
      </c>
      <c r="B534" s="2">
        <v>2408209801</v>
      </c>
      <c r="C534" s="2">
        <v>1</v>
      </c>
      <c r="D534" s="2">
        <v>2001</v>
      </c>
      <c r="E534" s="2">
        <v>1</v>
      </c>
      <c r="F534" s="2">
        <v>403.13</v>
      </c>
      <c r="G534" s="2">
        <v>209.32</v>
      </c>
      <c r="H534" s="2" t="str">
        <f>VLOOKUP(qhkz_4dqm[[#This Row],[fuel_type]],lookup!A:B,2,FALSE)</f>
        <v>Gasoline</v>
      </c>
      <c r="I534" s="2">
        <f ca="1">YEAR(TODAY())-qhkz_4dqm[[#This Row],[year]]</f>
        <v>25</v>
      </c>
      <c r="J534" s="2" t="str" cm="1">
        <f t="array" aca="1" ref="J534" ca="1">_xlfn.IFS(qhkz_4dqm[[#This Row],[vehicle_age]]&lt;=3,"Newer",qhkz_4dqm[[#This Row],[vehicle_age]]&lt;=9,"Mid-age",qhkz_4dqm[[#This Row],[vehicle_age]]&lt;=19,"Older",qhkz_4dqm[[#This Row],[vehicle_age]]&gt;=20,"Very Old")</f>
        <v>Very Old</v>
      </c>
    </row>
    <row r="535" spans="1:10">
      <c r="A535" s="2">
        <v>24082278</v>
      </c>
      <c r="B535" s="2">
        <v>2408227801</v>
      </c>
      <c r="C535" s="2">
        <v>1</v>
      </c>
      <c r="D535" s="2">
        <v>2021</v>
      </c>
      <c r="E535" s="2">
        <v>1</v>
      </c>
      <c r="F535" s="2">
        <v>0.81</v>
      </c>
      <c r="G535" s="2">
        <v>233.03</v>
      </c>
      <c r="H535" s="2" t="str">
        <f>VLOOKUP(qhkz_4dqm[[#This Row],[fuel_type]],lookup!A:B,2,FALSE)</f>
        <v>Gasoline</v>
      </c>
      <c r="I535" s="2">
        <f ca="1">YEAR(TODAY())-qhkz_4dqm[[#This Row],[year]]</f>
        <v>5</v>
      </c>
      <c r="J535" s="2" t="str" cm="1">
        <f t="array" aca="1" ref="J535" ca="1">_xlfn.IFS(qhkz_4dqm[[#This Row],[vehicle_age]]&lt;=3,"Newer",qhkz_4dqm[[#This Row],[vehicle_age]]&lt;=9,"Mid-age",qhkz_4dqm[[#This Row],[vehicle_age]]&lt;=19,"Older",qhkz_4dqm[[#This Row],[vehicle_age]]&gt;=20,"Very Old")</f>
        <v>Mid-age</v>
      </c>
    </row>
    <row r="536" spans="1:10">
      <c r="A536" s="2">
        <v>24082364</v>
      </c>
      <c r="B536" s="2">
        <v>2408236401</v>
      </c>
      <c r="C536" s="2">
        <v>1</v>
      </c>
      <c r="D536" s="2">
        <v>2006</v>
      </c>
      <c r="E536" s="2">
        <v>1</v>
      </c>
      <c r="F536" s="2">
        <v>3854.09</v>
      </c>
      <c r="G536" s="2">
        <v>3271.29</v>
      </c>
      <c r="H536" s="2" t="str">
        <f>VLOOKUP(qhkz_4dqm[[#This Row],[fuel_type]],lookup!A:B,2,FALSE)</f>
        <v>Gasoline</v>
      </c>
      <c r="I536" s="2">
        <f ca="1">YEAR(TODAY())-qhkz_4dqm[[#This Row],[year]]</f>
        <v>20</v>
      </c>
      <c r="J536" s="2" t="str" cm="1">
        <f t="array" aca="1" ref="J536" ca="1">_xlfn.IFS(qhkz_4dqm[[#This Row],[vehicle_age]]&lt;=3,"Newer",qhkz_4dqm[[#This Row],[vehicle_age]]&lt;=9,"Mid-age",qhkz_4dqm[[#This Row],[vehicle_age]]&lt;=19,"Older",qhkz_4dqm[[#This Row],[vehicle_age]]&gt;=20,"Very Old")</f>
        <v>Very Old</v>
      </c>
    </row>
    <row r="537" spans="1:10">
      <c r="A537" s="2">
        <v>24082421</v>
      </c>
      <c r="B537" s="2">
        <v>2408242101</v>
      </c>
      <c r="C537" s="2">
        <v>1</v>
      </c>
      <c r="D537" s="2">
        <v>2012</v>
      </c>
      <c r="E537" s="2">
        <v>1</v>
      </c>
      <c r="F537" s="2">
        <v>575.63</v>
      </c>
      <c r="G537" s="2">
        <v>779.95</v>
      </c>
      <c r="H537" s="2" t="str">
        <f>VLOOKUP(qhkz_4dqm[[#This Row],[fuel_type]],lookup!A:B,2,FALSE)</f>
        <v>Gasoline</v>
      </c>
      <c r="I537" s="2">
        <f ca="1">YEAR(TODAY())-qhkz_4dqm[[#This Row],[year]]</f>
        <v>14</v>
      </c>
      <c r="J537" s="2" t="str" cm="1">
        <f t="array" aca="1" ref="J537" ca="1">_xlfn.IFS(qhkz_4dqm[[#This Row],[vehicle_age]]&lt;=3,"Newer",qhkz_4dqm[[#This Row],[vehicle_age]]&lt;=9,"Mid-age",qhkz_4dqm[[#This Row],[vehicle_age]]&lt;=19,"Older",qhkz_4dqm[[#This Row],[vehicle_age]]&gt;=20,"Very Old")</f>
        <v>Older</v>
      </c>
    </row>
    <row r="538" spans="1:10">
      <c r="A538" s="2">
        <v>24082452</v>
      </c>
      <c r="B538" s="2">
        <v>2408245201</v>
      </c>
      <c r="C538" s="2">
        <v>1</v>
      </c>
      <c r="D538" s="2">
        <v>2001</v>
      </c>
      <c r="E538" s="2">
        <v>1</v>
      </c>
      <c r="F538" s="2">
        <v>0.54</v>
      </c>
      <c r="G538" s="2">
        <v>232.16</v>
      </c>
      <c r="H538" s="2" t="str">
        <f>VLOOKUP(qhkz_4dqm[[#This Row],[fuel_type]],lookup!A:B,2,FALSE)</f>
        <v>Gasoline</v>
      </c>
      <c r="I538" s="2">
        <f ca="1">YEAR(TODAY())-qhkz_4dqm[[#This Row],[year]]</f>
        <v>25</v>
      </c>
      <c r="J538" s="2" t="str" cm="1">
        <f t="array" aca="1" ref="J538" ca="1">_xlfn.IFS(qhkz_4dqm[[#This Row],[vehicle_age]]&lt;=3,"Newer",qhkz_4dqm[[#This Row],[vehicle_age]]&lt;=9,"Mid-age",qhkz_4dqm[[#This Row],[vehicle_age]]&lt;=19,"Older",qhkz_4dqm[[#This Row],[vehicle_age]]&gt;=20,"Very Old")</f>
        <v>Very Old</v>
      </c>
    </row>
    <row r="539" spans="1:10">
      <c r="A539" s="2">
        <v>24082470</v>
      </c>
      <c r="B539" s="2">
        <v>2408247001</v>
      </c>
      <c r="C539" s="2">
        <v>1</v>
      </c>
      <c r="D539" s="2">
        <v>2018</v>
      </c>
      <c r="E539" s="2">
        <v>1</v>
      </c>
      <c r="F539" s="2">
        <v>9232.27</v>
      </c>
      <c r="G539" s="2">
        <v>5502.94</v>
      </c>
      <c r="H539" s="2" t="str">
        <f>VLOOKUP(qhkz_4dqm[[#This Row],[fuel_type]],lookup!A:B,2,FALSE)</f>
        <v>Gasoline</v>
      </c>
      <c r="I539" s="2">
        <f ca="1">YEAR(TODAY())-qhkz_4dqm[[#This Row],[year]]</f>
        <v>8</v>
      </c>
      <c r="J539" s="2" t="str" cm="1">
        <f t="array" aca="1" ref="J539" ca="1">_xlfn.IFS(qhkz_4dqm[[#This Row],[vehicle_age]]&lt;=3,"Newer",qhkz_4dqm[[#This Row],[vehicle_age]]&lt;=9,"Mid-age",qhkz_4dqm[[#This Row],[vehicle_age]]&lt;=19,"Older",qhkz_4dqm[[#This Row],[vehicle_age]]&gt;=20,"Very Old")</f>
        <v>Mid-age</v>
      </c>
    </row>
    <row r="540" spans="1:10">
      <c r="A540" s="2">
        <v>24082502</v>
      </c>
      <c r="B540" s="2">
        <v>2408250201</v>
      </c>
      <c r="C540" s="2">
        <v>1</v>
      </c>
      <c r="D540" s="2">
        <v>2019</v>
      </c>
      <c r="E540" s="2">
        <v>1</v>
      </c>
      <c r="F540" s="2">
        <v>0.81</v>
      </c>
      <c r="G540" s="2">
        <v>102.08</v>
      </c>
      <c r="H540" s="2" t="str">
        <f>VLOOKUP(qhkz_4dqm[[#This Row],[fuel_type]],lookup!A:B,2,FALSE)</f>
        <v>Gasoline</v>
      </c>
      <c r="I540" s="2">
        <f ca="1">YEAR(TODAY())-qhkz_4dqm[[#This Row],[year]]</f>
        <v>7</v>
      </c>
      <c r="J540" s="2" t="str" cm="1">
        <f t="array" aca="1" ref="J540" ca="1">_xlfn.IFS(qhkz_4dqm[[#This Row],[vehicle_age]]&lt;=3,"Newer",qhkz_4dqm[[#This Row],[vehicle_age]]&lt;=9,"Mid-age",qhkz_4dqm[[#This Row],[vehicle_age]]&lt;=19,"Older",qhkz_4dqm[[#This Row],[vehicle_age]]&gt;=20,"Very Old")</f>
        <v>Mid-age</v>
      </c>
    </row>
    <row r="541" spans="1:10">
      <c r="A541" s="2">
        <v>24082618</v>
      </c>
      <c r="B541" s="2">
        <v>2408261801</v>
      </c>
      <c r="C541" s="2">
        <v>1</v>
      </c>
      <c r="D541" s="2">
        <v>2023</v>
      </c>
      <c r="E541" s="2">
        <v>1</v>
      </c>
      <c r="F541" s="2">
        <v>0.81</v>
      </c>
      <c r="G541" s="2">
        <v>203.49</v>
      </c>
      <c r="H541" s="2" t="str">
        <f>VLOOKUP(qhkz_4dqm[[#This Row],[fuel_type]],lookup!A:B,2,FALSE)</f>
        <v>Gasoline</v>
      </c>
      <c r="I541" s="2">
        <f ca="1">YEAR(TODAY())-qhkz_4dqm[[#This Row],[year]]</f>
        <v>3</v>
      </c>
      <c r="J541" s="2" t="str" cm="1">
        <f t="array" aca="1" ref="J541" ca="1">_xlfn.IFS(qhkz_4dqm[[#This Row],[vehicle_age]]&lt;=3,"Newer",qhkz_4dqm[[#This Row],[vehicle_age]]&lt;=9,"Mid-age",qhkz_4dqm[[#This Row],[vehicle_age]]&lt;=19,"Older",qhkz_4dqm[[#This Row],[vehicle_age]]&gt;=20,"Very Old")</f>
        <v>Newer</v>
      </c>
    </row>
    <row r="542" spans="1:10">
      <c r="A542" s="2">
        <v>24082661</v>
      </c>
      <c r="B542" s="2">
        <v>2408266101</v>
      </c>
      <c r="C542" s="2">
        <v>1</v>
      </c>
      <c r="D542" s="2">
        <v>2020</v>
      </c>
      <c r="E542" s="2">
        <v>1</v>
      </c>
      <c r="F542" s="2">
        <v>1.62</v>
      </c>
      <c r="G542" s="2">
        <v>144.80000000000001</v>
      </c>
      <c r="H542" s="2" t="str">
        <f>VLOOKUP(qhkz_4dqm[[#This Row],[fuel_type]],lookup!A:B,2,FALSE)</f>
        <v>Gasoline</v>
      </c>
      <c r="I542" s="2">
        <f ca="1">YEAR(TODAY())-qhkz_4dqm[[#This Row],[year]]</f>
        <v>6</v>
      </c>
      <c r="J542" s="2" t="str" cm="1">
        <f t="array" aca="1" ref="J542" ca="1">_xlfn.IFS(qhkz_4dqm[[#This Row],[vehicle_age]]&lt;=3,"Newer",qhkz_4dqm[[#This Row],[vehicle_age]]&lt;=9,"Mid-age",qhkz_4dqm[[#This Row],[vehicle_age]]&lt;=19,"Older",qhkz_4dqm[[#This Row],[vehicle_age]]&gt;=20,"Very Old")</f>
        <v>Mid-age</v>
      </c>
    </row>
    <row r="543" spans="1:10">
      <c r="A543" s="2">
        <v>24082801</v>
      </c>
      <c r="B543" s="2">
        <v>2408280101</v>
      </c>
      <c r="C543" s="2">
        <v>1</v>
      </c>
      <c r="D543" s="2">
        <v>2010</v>
      </c>
      <c r="E543" s="2">
        <v>1</v>
      </c>
      <c r="F543" s="2">
        <v>1150.8</v>
      </c>
      <c r="G543" s="2">
        <v>938.55</v>
      </c>
      <c r="H543" s="2" t="str">
        <f>VLOOKUP(qhkz_4dqm[[#This Row],[fuel_type]],lookup!A:B,2,FALSE)</f>
        <v>Gasoline</v>
      </c>
      <c r="I543" s="2">
        <f ca="1">YEAR(TODAY())-qhkz_4dqm[[#This Row],[year]]</f>
        <v>16</v>
      </c>
      <c r="J543" s="2" t="str" cm="1">
        <f t="array" aca="1" ref="J543" ca="1">_xlfn.IFS(qhkz_4dqm[[#This Row],[vehicle_age]]&lt;=3,"Newer",qhkz_4dqm[[#This Row],[vehicle_age]]&lt;=9,"Mid-age",qhkz_4dqm[[#This Row],[vehicle_age]]&lt;=19,"Older",qhkz_4dqm[[#This Row],[vehicle_age]]&gt;=20,"Very Old")</f>
        <v>Older</v>
      </c>
    </row>
    <row r="544" spans="1:10">
      <c r="A544" s="2">
        <v>24082802</v>
      </c>
      <c r="B544" s="2">
        <v>2408280201</v>
      </c>
      <c r="C544" s="2">
        <v>1</v>
      </c>
      <c r="D544" s="2">
        <v>2024</v>
      </c>
      <c r="E544" s="2">
        <v>3</v>
      </c>
      <c r="F544" s="2">
        <v>2195.15</v>
      </c>
      <c r="G544" s="2">
        <v>443.73</v>
      </c>
      <c r="H544" s="2" t="str">
        <f>VLOOKUP(qhkz_4dqm[[#This Row],[fuel_type]],lookup!A:B,2,FALSE)</f>
        <v>Hybrid</v>
      </c>
      <c r="I544" s="2">
        <f ca="1">YEAR(TODAY())-qhkz_4dqm[[#This Row],[year]]</f>
        <v>2</v>
      </c>
      <c r="J544" s="2" t="str" cm="1">
        <f t="array" aca="1" ref="J544" ca="1">_xlfn.IFS(qhkz_4dqm[[#This Row],[vehicle_age]]&lt;=3,"Newer",qhkz_4dqm[[#This Row],[vehicle_age]]&lt;=9,"Mid-age",qhkz_4dqm[[#This Row],[vehicle_age]]&lt;=19,"Older",qhkz_4dqm[[#This Row],[vehicle_age]]&gt;=20,"Very Old")</f>
        <v>Newer</v>
      </c>
    </row>
    <row r="545" spans="1:10">
      <c r="A545" s="2">
        <v>24082940</v>
      </c>
      <c r="B545" s="2">
        <v>2408294001</v>
      </c>
      <c r="C545" s="2">
        <v>1</v>
      </c>
      <c r="D545" s="2">
        <v>2014</v>
      </c>
      <c r="E545" s="2">
        <v>1</v>
      </c>
      <c r="F545" s="2">
        <v>1.62</v>
      </c>
      <c r="G545" s="2">
        <v>119.15</v>
      </c>
      <c r="H545" s="2" t="str">
        <f>VLOOKUP(qhkz_4dqm[[#This Row],[fuel_type]],lookup!A:B,2,FALSE)</f>
        <v>Gasoline</v>
      </c>
      <c r="I545" s="2">
        <f ca="1">YEAR(TODAY())-qhkz_4dqm[[#This Row],[year]]</f>
        <v>12</v>
      </c>
      <c r="J545" s="2" t="str" cm="1">
        <f t="array" aca="1" ref="J545" ca="1">_xlfn.IFS(qhkz_4dqm[[#This Row],[vehicle_age]]&lt;=3,"Newer",qhkz_4dqm[[#This Row],[vehicle_age]]&lt;=9,"Mid-age",qhkz_4dqm[[#This Row],[vehicle_age]]&lt;=19,"Older",qhkz_4dqm[[#This Row],[vehicle_age]]&gt;=20,"Very Old")</f>
        <v>Older</v>
      </c>
    </row>
    <row r="546" spans="1:10">
      <c r="A546" s="2">
        <v>24082943</v>
      </c>
      <c r="B546" s="2">
        <v>2408294301</v>
      </c>
      <c r="C546" s="2">
        <v>1</v>
      </c>
      <c r="D546" s="2">
        <v>2019</v>
      </c>
      <c r="E546" s="2">
        <v>1</v>
      </c>
      <c r="F546" s="2">
        <v>6820.25</v>
      </c>
      <c r="G546" s="2">
        <v>4843.28</v>
      </c>
      <c r="H546" s="2" t="str">
        <f>VLOOKUP(qhkz_4dqm[[#This Row],[fuel_type]],lookup!A:B,2,FALSE)</f>
        <v>Gasoline</v>
      </c>
      <c r="I546" s="2">
        <f ca="1">YEAR(TODAY())-qhkz_4dqm[[#This Row],[year]]</f>
        <v>7</v>
      </c>
      <c r="J546" s="2" t="str" cm="1">
        <f t="array" aca="1" ref="J546" ca="1">_xlfn.IFS(qhkz_4dqm[[#This Row],[vehicle_age]]&lt;=3,"Newer",qhkz_4dqm[[#This Row],[vehicle_age]]&lt;=9,"Mid-age",qhkz_4dqm[[#This Row],[vehicle_age]]&lt;=19,"Older",qhkz_4dqm[[#This Row],[vehicle_age]]&gt;=20,"Very Old")</f>
        <v>Mid-age</v>
      </c>
    </row>
    <row r="547" spans="1:10">
      <c r="A547" s="2">
        <v>24083000</v>
      </c>
      <c r="B547" s="2">
        <v>2408300001</v>
      </c>
      <c r="C547" s="2">
        <v>1</v>
      </c>
      <c r="D547" s="2">
        <v>1997</v>
      </c>
      <c r="E547" s="2">
        <v>1</v>
      </c>
      <c r="F547" s="2">
        <v>2212.4299999999998</v>
      </c>
      <c r="G547" s="2">
        <v>1091.9100000000001</v>
      </c>
      <c r="H547" s="2" t="str">
        <f>VLOOKUP(qhkz_4dqm[[#This Row],[fuel_type]],lookup!A:B,2,FALSE)</f>
        <v>Gasoline</v>
      </c>
      <c r="I547" s="2">
        <f ca="1">YEAR(TODAY())-qhkz_4dqm[[#This Row],[year]]</f>
        <v>29</v>
      </c>
      <c r="J547" s="2" t="str" cm="1">
        <f t="array" aca="1" ref="J547" ca="1">_xlfn.IFS(qhkz_4dqm[[#This Row],[vehicle_age]]&lt;=3,"Newer",qhkz_4dqm[[#This Row],[vehicle_age]]&lt;=9,"Mid-age",qhkz_4dqm[[#This Row],[vehicle_age]]&lt;=19,"Older",qhkz_4dqm[[#This Row],[vehicle_age]]&gt;=20,"Very Old")</f>
        <v>Very Old</v>
      </c>
    </row>
    <row r="548" spans="1:10">
      <c r="A548" s="2">
        <v>24083393</v>
      </c>
      <c r="B548" s="2">
        <v>2408339301</v>
      </c>
      <c r="C548" s="2">
        <v>1</v>
      </c>
      <c r="D548" s="2">
        <v>2022</v>
      </c>
      <c r="E548" s="2">
        <v>1</v>
      </c>
      <c r="F548" s="2">
        <v>1.61</v>
      </c>
      <c r="G548" s="2">
        <v>193.51</v>
      </c>
      <c r="H548" s="2" t="str">
        <f>VLOOKUP(qhkz_4dqm[[#This Row],[fuel_type]],lookup!A:B,2,FALSE)</f>
        <v>Gasoline</v>
      </c>
      <c r="I548" s="2">
        <f ca="1">YEAR(TODAY())-qhkz_4dqm[[#This Row],[year]]</f>
        <v>4</v>
      </c>
      <c r="J548" s="2" t="str" cm="1">
        <f t="array" aca="1" ref="J548" ca="1">_xlfn.IFS(qhkz_4dqm[[#This Row],[vehicle_age]]&lt;=3,"Newer",qhkz_4dqm[[#This Row],[vehicle_age]]&lt;=9,"Mid-age",qhkz_4dqm[[#This Row],[vehicle_age]]&lt;=19,"Older",qhkz_4dqm[[#This Row],[vehicle_age]]&gt;=20,"Very Old")</f>
        <v>Mid-age</v>
      </c>
    </row>
    <row r="549" spans="1:10">
      <c r="A549" s="2">
        <v>24083447</v>
      </c>
      <c r="B549" s="2">
        <v>2408344701</v>
      </c>
      <c r="C549" s="2">
        <v>1</v>
      </c>
      <c r="D549" s="2">
        <v>2014</v>
      </c>
      <c r="E549" s="2">
        <v>1</v>
      </c>
      <c r="F549" s="2">
        <v>1.61</v>
      </c>
      <c r="G549" s="2">
        <v>702.43</v>
      </c>
      <c r="H549" s="2" t="str">
        <f>VLOOKUP(qhkz_4dqm[[#This Row],[fuel_type]],lookup!A:B,2,FALSE)</f>
        <v>Gasoline</v>
      </c>
      <c r="I549" s="2">
        <f ca="1">YEAR(TODAY())-qhkz_4dqm[[#This Row],[year]]</f>
        <v>12</v>
      </c>
      <c r="J549" s="2" t="str" cm="1">
        <f t="array" aca="1" ref="J549" ca="1">_xlfn.IFS(qhkz_4dqm[[#This Row],[vehicle_age]]&lt;=3,"Newer",qhkz_4dqm[[#This Row],[vehicle_age]]&lt;=9,"Mid-age",qhkz_4dqm[[#This Row],[vehicle_age]]&lt;=19,"Older",qhkz_4dqm[[#This Row],[vehicle_age]]&gt;=20,"Very Old")</f>
        <v>Older</v>
      </c>
    </row>
    <row r="550" spans="1:10">
      <c r="A550" s="2">
        <v>24083476</v>
      </c>
      <c r="B550" s="2">
        <v>2408347601</v>
      </c>
      <c r="C550" s="2">
        <v>1</v>
      </c>
      <c r="D550" s="2">
        <v>2021</v>
      </c>
      <c r="E550" s="2">
        <v>1</v>
      </c>
      <c r="F550" s="2">
        <v>568.78</v>
      </c>
      <c r="G550" s="2">
        <v>736.51</v>
      </c>
      <c r="H550" s="2" t="str">
        <f>VLOOKUP(qhkz_4dqm[[#This Row],[fuel_type]],lookup!A:B,2,FALSE)</f>
        <v>Gasoline</v>
      </c>
      <c r="I550" s="2">
        <f ca="1">YEAR(TODAY())-qhkz_4dqm[[#This Row],[year]]</f>
        <v>5</v>
      </c>
      <c r="J550" s="2" t="str" cm="1">
        <f t="array" aca="1" ref="J550" ca="1">_xlfn.IFS(qhkz_4dqm[[#This Row],[vehicle_age]]&lt;=3,"Newer",qhkz_4dqm[[#This Row],[vehicle_age]]&lt;=9,"Mid-age",qhkz_4dqm[[#This Row],[vehicle_age]]&lt;=19,"Older",qhkz_4dqm[[#This Row],[vehicle_age]]&gt;=20,"Very Old")</f>
        <v>Mid-age</v>
      </c>
    </row>
    <row r="551" spans="1:10">
      <c r="A551" s="2">
        <v>24083543</v>
      </c>
      <c r="B551" s="2">
        <v>2408354301</v>
      </c>
      <c r="C551" s="2">
        <v>1</v>
      </c>
      <c r="D551" s="2">
        <v>2022</v>
      </c>
      <c r="E551" s="2">
        <v>1</v>
      </c>
      <c r="F551" s="2">
        <v>0.81</v>
      </c>
      <c r="G551" s="2">
        <v>179.82</v>
      </c>
      <c r="H551" s="2" t="str">
        <f>VLOOKUP(qhkz_4dqm[[#This Row],[fuel_type]],lookup!A:B,2,FALSE)</f>
        <v>Gasoline</v>
      </c>
      <c r="I551" s="2">
        <f ca="1">YEAR(TODAY())-qhkz_4dqm[[#This Row],[year]]</f>
        <v>4</v>
      </c>
      <c r="J551" s="2" t="str" cm="1">
        <f t="array" aca="1" ref="J551" ca="1">_xlfn.IFS(qhkz_4dqm[[#This Row],[vehicle_age]]&lt;=3,"Newer",qhkz_4dqm[[#This Row],[vehicle_age]]&lt;=9,"Mid-age",qhkz_4dqm[[#This Row],[vehicle_age]]&lt;=19,"Older",qhkz_4dqm[[#This Row],[vehicle_age]]&gt;=20,"Very Old")</f>
        <v>Mid-age</v>
      </c>
    </row>
    <row r="552" spans="1:10">
      <c r="A552" s="2">
        <v>24083565</v>
      </c>
      <c r="B552" s="2">
        <v>2408356501</v>
      </c>
      <c r="C552" s="2">
        <v>1</v>
      </c>
      <c r="D552" s="2">
        <v>2015</v>
      </c>
      <c r="E552" s="2">
        <v>1</v>
      </c>
      <c r="F552" s="2">
        <v>2307.0500000000002</v>
      </c>
      <c r="G552" s="2">
        <v>2005.17</v>
      </c>
      <c r="H552" s="2" t="str">
        <f>VLOOKUP(qhkz_4dqm[[#This Row],[fuel_type]],lookup!A:B,2,FALSE)</f>
        <v>Gasoline</v>
      </c>
      <c r="I552" s="2">
        <f ca="1">YEAR(TODAY())-qhkz_4dqm[[#This Row],[year]]</f>
        <v>11</v>
      </c>
      <c r="J552" s="2" t="str" cm="1">
        <f t="array" aca="1" ref="J552" ca="1">_xlfn.IFS(qhkz_4dqm[[#This Row],[vehicle_age]]&lt;=3,"Newer",qhkz_4dqm[[#This Row],[vehicle_age]]&lt;=9,"Mid-age",qhkz_4dqm[[#This Row],[vehicle_age]]&lt;=19,"Older",qhkz_4dqm[[#This Row],[vehicle_age]]&gt;=20,"Very Old")</f>
        <v>Older</v>
      </c>
    </row>
    <row r="553" spans="1:10">
      <c r="A553" s="2">
        <v>24083583</v>
      </c>
      <c r="B553" s="2">
        <v>2408358301</v>
      </c>
      <c r="C553" s="2">
        <v>1</v>
      </c>
      <c r="D553" s="2">
        <v>2004</v>
      </c>
      <c r="E553" s="2">
        <v>1</v>
      </c>
      <c r="F553" s="2">
        <v>0.81</v>
      </c>
      <c r="G553" s="2">
        <v>203.84</v>
      </c>
      <c r="H553" s="2" t="str">
        <f>VLOOKUP(qhkz_4dqm[[#This Row],[fuel_type]],lookup!A:B,2,FALSE)</f>
        <v>Gasoline</v>
      </c>
      <c r="I553" s="2">
        <f ca="1">YEAR(TODAY())-qhkz_4dqm[[#This Row],[year]]</f>
        <v>22</v>
      </c>
      <c r="J553" s="2" t="str" cm="1">
        <f t="array" aca="1" ref="J553" ca="1">_xlfn.IFS(qhkz_4dqm[[#This Row],[vehicle_age]]&lt;=3,"Newer",qhkz_4dqm[[#This Row],[vehicle_age]]&lt;=9,"Mid-age",qhkz_4dqm[[#This Row],[vehicle_age]]&lt;=19,"Older",qhkz_4dqm[[#This Row],[vehicle_age]]&gt;=20,"Very Old")</f>
        <v>Very Old</v>
      </c>
    </row>
    <row r="554" spans="1:10">
      <c r="A554" s="2">
        <v>24083717</v>
      </c>
      <c r="B554" s="2">
        <v>2408371701</v>
      </c>
      <c r="C554" s="2">
        <v>1</v>
      </c>
      <c r="D554" s="2">
        <v>2008</v>
      </c>
      <c r="E554" s="2">
        <v>1</v>
      </c>
      <c r="F554" s="2">
        <v>68.61</v>
      </c>
      <c r="G554" s="2">
        <v>742.83</v>
      </c>
      <c r="H554" s="2" t="str">
        <f>VLOOKUP(qhkz_4dqm[[#This Row],[fuel_type]],lookup!A:B,2,FALSE)</f>
        <v>Gasoline</v>
      </c>
      <c r="I554" s="2">
        <f ca="1">YEAR(TODAY())-qhkz_4dqm[[#This Row],[year]]</f>
        <v>18</v>
      </c>
      <c r="J554" s="2" t="str" cm="1">
        <f t="array" aca="1" ref="J554" ca="1">_xlfn.IFS(qhkz_4dqm[[#This Row],[vehicle_age]]&lt;=3,"Newer",qhkz_4dqm[[#This Row],[vehicle_age]]&lt;=9,"Mid-age",qhkz_4dqm[[#This Row],[vehicle_age]]&lt;=19,"Older",qhkz_4dqm[[#This Row],[vehicle_age]]&gt;=20,"Very Old")</f>
        <v>Older</v>
      </c>
    </row>
    <row r="555" spans="1:10">
      <c r="A555" s="2">
        <v>24083814</v>
      </c>
      <c r="B555" s="2">
        <v>2408381401</v>
      </c>
      <c r="C555" s="2">
        <v>1</v>
      </c>
      <c r="D555" s="2">
        <v>2011</v>
      </c>
      <c r="E555" s="2">
        <v>1</v>
      </c>
      <c r="F555" s="2">
        <v>54.39</v>
      </c>
      <c r="G555" s="2">
        <v>428.33</v>
      </c>
      <c r="H555" s="2" t="str">
        <f>VLOOKUP(qhkz_4dqm[[#This Row],[fuel_type]],lookup!A:B,2,FALSE)</f>
        <v>Gasoline</v>
      </c>
      <c r="I555" s="2">
        <f ca="1">YEAR(TODAY())-qhkz_4dqm[[#This Row],[year]]</f>
        <v>15</v>
      </c>
      <c r="J555" s="2" t="str" cm="1">
        <f t="array" aca="1" ref="J555" ca="1">_xlfn.IFS(qhkz_4dqm[[#This Row],[vehicle_age]]&lt;=3,"Newer",qhkz_4dqm[[#This Row],[vehicle_age]]&lt;=9,"Mid-age",qhkz_4dqm[[#This Row],[vehicle_age]]&lt;=19,"Older",qhkz_4dqm[[#This Row],[vehicle_age]]&gt;=20,"Very Old")</f>
        <v>Older</v>
      </c>
    </row>
    <row r="556" spans="1:10">
      <c r="A556" s="2">
        <v>24083825</v>
      </c>
      <c r="B556" s="2">
        <v>2408382501</v>
      </c>
      <c r="C556" s="2">
        <v>1</v>
      </c>
      <c r="D556" s="2">
        <v>2022</v>
      </c>
      <c r="E556" s="2">
        <v>1</v>
      </c>
      <c r="F556" s="2">
        <v>0.54</v>
      </c>
      <c r="G556" s="2">
        <v>241.59</v>
      </c>
      <c r="H556" s="2" t="str">
        <f>VLOOKUP(qhkz_4dqm[[#This Row],[fuel_type]],lookup!A:B,2,FALSE)</f>
        <v>Gasoline</v>
      </c>
      <c r="I556" s="2">
        <f ca="1">YEAR(TODAY())-qhkz_4dqm[[#This Row],[year]]</f>
        <v>4</v>
      </c>
      <c r="J556" s="2" t="str" cm="1">
        <f t="array" aca="1" ref="J556" ca="1">_xlfn.IFS(qhkz_4dqm[[#This Row],[vehicle_age]]&lt;=3,"Newer",qhkz_4dqm[[#This Row],[vehicle_age]]&lt;=9,"Mid-age",qhkz_4dqm[[#This Row],[vehicle_age]]&lt;=19,"Older",qhkz_4dqm[[#This Row],[vehicle_age]]&gt;=20,"Very Old")</f>
        <v>Mid-age</v>
      </c>
    </row>
    <row r="557" spans="1:10">
      <c r="A557" s="2">
        <v>24083990</v>
      </c>
      <c r="B557" s="2">
        <v>2408399001</v>
      </c>
      <c r="C557" s="2">
        <v>1</v>
      </c>
      <c r="D557" s="2">
        <v>2020</v>
      </c>
      <c r="E557" s="2">
        <v>1</v>
      </c>
      <c r="F557" s="2">
        <v>1972.55</v>
      </c>
      <c r="G557" s="2">
        <v>2730.87</v>
      </c>
      <c r="H557" s="2" t="str">
        <f>VLOOKUP(qhkz_4dqm[[#This Row],[fuel_type]],lookup!A:B,2,FALSE)</f>
        <v>Gasoline</v>
      </c>
      <c r="I557" s="2">
        <f ca="1">YEAR(TODAY())-qhkz_4dqm[[#This Row],[year]]</f>
        <v>6</v>
      </c>
      <c r="J557" s="2" t="str" cm="1">
        <f t="array" aca="1" ref="J557" ca="1">_xlfn.IFS(qhkz_4dqm[[#This Row],[vehicle_age]]&lt;=3,"Newer",qhkz_4dqm[[#This Row],[vehicle_age]]&lt;=9,"Mid-age",qhkz_4dqm[[#This Row],[vehicle_age]]&lt;=19,"Older",qhkz_4dqm[[#This Row],[vehicle_age]]&gt;=20,"Very Old")</f>
        <v>Mid-age</v>
      </c>
    </row>
    <row r="558" spans="1:10">
      <c r="A558" s="2">
        <v>24084274</v>
      </c>
      <c r="B558" s="2">
        <v>2408427401</v>
      </c>
      <c r="C558" s="2">
        <v>1</v>
      </c>
      <c r="D558" s="2">
        <v>2022</v>
      </c>
      <c r="E558" s="2">
        <v>1</v>
      </c>
      <c r="F558" s="2">
        <v>0.81</v>
      </c>
      <c r="G558" s="2">
        <v>391.24</v>
      </c>
      <c r="H558" s="2" t="str">
        <f>VLOOKUP(qhkz_4dqm[[#This Row],[fuel_type]],lookup!A:B,2,FALSE)</f>
        <v>Gasoline</v>
      </c>
      <c r="I558" s="2">
        <f ca="1">YEAR(TODAY())-qhkz_4dqm[[#This Row],[year]]</f>
        <v>4</v>
      </c>
      <c r="J558" s="2" t="str" cm="1">
        <f t="array" aca="1" ref="J558" ca="1">_xlfn.IFS(qhkz_4dqm[[#This Row],[vehicle_age]]&lt;=3,"Newer",qhkz_4dqm[[#This Row],[vehicle_age]]&lt;=9,"Mid-age",qhkz_4dqm[[#This Row],[vehicle_age]]&lt;=19,"Older",qhkz_4dqm[[#This Row],[vehicle_age]]&gt;=20,"Very Old")</f>
        <v>Mid-age</v>
      </c>
    </row>
    <row r="559" spans="1:10">
      <c r="A559" s="2">
        <v>24084387</v>
      </c>
      <c r="B559" s="2">
        <v>2408438701</v>
      </c>
      <c r="C559" s="2">
        <v>1</v>
      </c>
      <c r="D559" s="2">
        <v>2017</v>
      </c>
      <c r="E559" s="2">
        <v>1</v>
      </c>
      <c r="F559" s="2">
        <v>9227.81</v>
      </c>
      <c r="G559" s="2">
        <v>2436.7800000000002</v>
      </c>
      <c r="H559" s="2" t="str">
        <f>VLOOKUP(qhkz_4dqm[[#This Row],[fuel_type]],lookup!A:B,2,FALSE)</f>
        <v>Gasoline</v>
      </c>
      <c r="I559" s="2">
        <f ca="1">YEAR(TODAY())-qhkz_4dqm[[#This Row],[year]]</f>
        <v>9</v>
      </c>
      <c r="J559" s="2" t="str" cm="1">
        <f t="array" aca="1" ref="J559" ca="1">_xlfn.IFS(qhkz_4dqm[[#This Row],[vehicle_age]]&lt;=3,"Newer",qhkz_4dqm[[#This Row],[vehicle_age]]&lt;=9,"Mid-age",qhkz_4dqm[[#This Row],[vehicle_age]]&lt;=19,"Older",qhkz_4dqm[[#This Row],[vehicle_age]]&gt;=20,"Very Old")</f>
        <v>Mid-age</v>
      </c>
    </row>
    <row r="560" spans="1:10">
      <c r="A560" s="2">
        <v>24084603</v>
      </c>
      <c r="B560" s="2">
        <v>2408460301</v>
      </c>
      <c r="C560" s="2">
        <v>1</v>
      </c>
      <c r="D560" s="2">
        <v>2004</v>
      </c>
      <c r="E560" s="2">
        <v>1</v>
      </c>
      <c r="F560" s="2">
        <v>252.22</v>
      </c>
      <c r="G560" s="2">
        <v>574.51</v>
      </c>
      <c r="H560" s="2" t="str">
        <f>VLOOKUP(qhkz_4dqm[[#This Row],[fuel_type]],lookup!A:B,2,FALSE)</f>
        <v>Gasoline</v>
      </c>
      <c r="I560" s="2">
        <f ca="1">YEAR(TODAY())-qhkz_4dqm[[#This Row],[year]]</f>
        <v>22</v>
      </c>
      <c r="J560" s="2" t="str" cm="1">
        <f t="array" aca="1" ref="J560" ca="1">_xlfn.IFS(qhkz_4dqm[[#This Row],[vehicle_age]]&lt;=3,"Newer",qhkz_4dqm[[#This Row],[vehicle_age]]&lt;=9,"Mid-age",qhkz_4dqm[[#This Row],[vehicle_age]]&lt;=19,"Older",qhkz_4dqm[[#This Row],[vehicle_age]]&gt;=20,"Very Old")</f>
        <v>Very Old</v>
      </c>
    </row>
    <row r="561" spans="1:10">
      <c r="A561" s="2">
        <v>24084691</v>
      </c>
      <c r="B561" s="2">
        <v>2408469101</v>
      </c>
      <c r="C561" s="2">
        <v>1</v>
      </c>
      <c r="D561" s="2">
        <v>2013</v>
      </c>
      <c r="E561" s="2">
        <v>1</v>
      </c>
      <c r="F561" s="2">
        <v>4081.47</v>
      </c>
      <c r="G561" s="2">
        <v>862.87</v>
      </c>
      <c r="H561" s="2" t="str">
        <f>VLOOKUP(qhkz_4dqm[[#This Row],[fuel_type]],lookup!A:B,2,FALSE)</f>
        <v>Gasoline</v>
      </c>
      <c r="I561" s="2">
        <f ca="1">YEAR(TODAY())-qhkz_4dqm[[#This Row],[year]]</f>
        <v>13</v>
      </c>
      <c r="J561" s="2" t="str" cm="1">
        <f t="array" aca="1" ref="J561" ca="1">_xlfn.IFS(qhkz_4dqm[[#This Row],[vehicle_age]]&lt;=3,"Newer",qhkz_4dqm[[#This Row],[vehicle_age]]&lt;=9,"Mid-age",qhkz_4dqm[[#This Row],[vehicle_age]]&lt;=19,"Older",qhkz_4dqm[[#This Row],[vehicle_age]]&gt;=20,"Very Old")</f>
        <v>Older</v>
      </c>
    </row>
    <row r="562" spans="1:10">
      <c r="A562" s="2">
        <v>24084972</v>
      </c>
      <c r="B562" s="2">
        <v>2408497201</v>
      </c>
      <c r="C562" s="2">
        <v>1</v>
      </c>
      <c r="D562" s="2">
        <v>1994</v>
      </c>
      <c r="E562" s="2">
        <v>1</v>
      </c>
      <c r="F562" s="2">
        <v>0.81</v>
      </c>
      <c r="G562" s="2">
        <v>271.41000000000003</v>
      </c>
      <c r="H562" s="2" t="str">
        <f>VLOOKUP(qhkz_4dqm[[#This Row],[fuel_type]],lookup!A:B,2,FALSE)</f>
        <v>Gasoline</v>
      </c>
      <c r="I562" s="2">
        <f ca="1">YEAR(TODAY())-qhkz_4dqm[[#This Row],[year]]</f>
        <v>32</v>
      </c>
      <c r="J562" s="2" t="str" cm="1">
        <f t="array" aca="1" ref="J562" ca="1">_xlfn.IFS(qhkz_4dqm[[#This Row],[vehicle_age]]&lt;=3,"Newer",qhkz_4dqm[[#This Row],[vehicle_age]]&lt;=9,"Mid-age",qhkz_4dqm[[#This Row],[vehicle_age]]&lt;=19,"Older",qhkz_4dqm[[#This Row],[vehicle_age]]&gt;=20,"Very Old")</f>
        <v>Very Old</v>
      </c>
    </row>
    <row r="563" spans="1:10">
      <c r="A563" s="2">
        <v>24085010</v>
      </c>
      <c r="B563" s="2">
        <v>2408501001</v>
      </c>
      <c r="C563" s="2">
        <v>1</v>
      </c>
      <c r="D563" s="2">
        <v>2010</v>
      </c>
      <c r="E563" s="2">
        <v>1</v>
      </c>
      <c r="F563" s="2">
        <v>1930.99</v>
      </c>
      <c r="G563" s="2">
        <v>205.62</v>
      </c>
      <c r="H563" s="2" t="str">
        <f>VLOOKUP(qhkz_4dqm[[#This Row],[fuel_type]],lookup!A:B,2,FALSE)</f>
        <v>Gasoline</v>
      </c>
      <c r="I563" s="2">
        <f ca="1">YEAR(TODAY())-qhkz_4dqm[[#This Row],[year]]</f>
        <v>16</v>
      </c>
      <c r="J563" s="2" t="str" cm="1">
        <f t="array" aca="1" ref="J563" ca="1">_xlfn.IFS(qhkz_4dqm[[#This Row],[vehicle_age]]&lt;=3,"Newer",qhkz_4dqm[[#This Row],[vehicle_age]]&lt;=9,"Mid-age",qhkz_4dqm[[#This Row],[vehicle_age]]&lt;=19,"Older",qhkz_4dqm[[#This Row],[vehicle_age]]&gt;=20,"Very Old")</f>
        <v>Older</v>
      </c>
    </row>
    <row r="564" spans="1:10">
      <c r="A564" s="2">
        <v>24085186</v>
      </c>
      <c r="B564" s="2">
        <v>2408518601</v>
      </c>
      <c r="C564" s="2">
        <v>1</v>
      </c>
      <c r="D564" s="2">
        <v>2012</v>
      </c>
      <c r="E564" s="2">
        <v>1</v>
      </c>
      <c r="F564" s="2">
        <v>0.81</v>
      </c>
      <c r="G564" s="2">
        <v>122.3</v>
      </c>
      <c r="H564" s="2" t="str">
        <f>VLOOKUP(qhkz_4dqm[[#This Row],[fuel_type]],lookup!A:B,2,FALSE)</f>
        <v>Gasoline</v>
      </c>
      <c r="I564" s="2">
        <f ca="1">YEAR(TODAY())-qhkz_4dqm[[#This Row],[year]]</f>
        <v>14</v>
      </c>
      <c r="J564" s="2" t="str" cm="1">
        <f t="array" aca="1" ref="J564" ca="1">_xlfn.IFS(qhkz_4dqm[[#This Row],[vehicle_age]]&lt;=3,"Newer",qhkz_4dqm[[#This Row],[vehicle_age]]&lt;=9,"Mid-age",qhkz_4dqm[[#This Row],[vehicle_age]]&lt;=19,"Older",qhkz_4dqm[[#This Row],[vehicle_age]]&gt;=20,"Very Old")</f>
        <v>Older</v>
      </c>
    </row>
    <row r="565" spans="1:10">
      <c r="A565" s="2">
        <v>24085354</v>
      </c>
      <c r="B565" s="2">
        <v>2408535401</v>
      </c>
      <c r="C565" s="2">
        <v>1</v>
      </c>
      <c r="D565" s="2">
        <v>2022</v>
      </c>
      <c r="E565" s="2">
        <v>1</v>
      </c>
      <c r="F565" s="2">
        <v>1817.78</v>
      </c>
      <c r="G565" s="2">
        <v>520.33000000000004</v>
      </c>
      <c r="H565" s="2" t="str">
        <f>VLOOKUP(qhkz_4dqm[[#This Row],[fuel_type]],lookup!A:B,2,FALSE)</f>
        <v>Gasoline</v>
      </c>
      <c r="I565" s="2">
        <f ca="1">YEAR(TODAY())-qhkz_4dqm[[#This Row],[year]]</f>
        <v>4</v>
      </c>
      <c r="J565" s="2" t="str" cm="1">
        <f t="array" aca="1" ref="J565" ca="1">_xlfn.IFS(qhkz_4dqm[[#This Row],[vehicle_age]]&lt;=3,"Newer",qhkz_4dqm[[#This Row],[vehicle_age]]&lt;=9,"Mid-age",qhkz_4dqm[[#This Row],[vehicle_age]]&lt;=19,"Older",qhkz_4dqm[[#This Row],[vehicle_age]]&gt;=20,"Very Old")</f>
        <v>Mid-age</v>
      </c>
    </row>
    <row r="566" spans="1:10">
      <c r="A566" s="2">
        <v>24085357</v>
      </c>
      <c r="B566" s="2">
        <v>2408535701</v>
      </c>
      <c r="C566" s="2">
        <v>1</v>
      </c>
      <c r="D566" s="2">
        <v>2022</v>
      </c>
      <c r="E566" s="2">
        <v>1</v>
      </c>
      <c r="F566" s="2">
        <v>196</v>
      </c>
      <c r="G566" s="2">
        <v>222.01</v>
      </c>
      <c r="H566" s="2" t="str">
        <f>VLOOKUP(qhkz_4dqm[[#This Row],[fuel_type]],lookup!A:B,2,FALSE)</f>
        <v>Gasoline</v>
      </c>
      <c r="I566" s="2">
        <f ca="1">YEAR(TODAY())-qhkz_4dqm[[#This Row],[year]]</f>
        <v>4</v>
      </c>
      <c r="J566" s="2" t="str" cm="1">
        <f t="array" aca="1" ref="J566" ca="1">_xlfn.IFS(qhkz_4dqm[[#This Row],[vehicle_age]]&lt;=3,"Newer",qhkz_4dqm[[#This Row],[vehicle_age]]&lt;=9,"Mid-age",qhkz_4dqm[[#This Row],[vehicle_age]]&lt;=19,"Older",qhkz_4dqm[[#This Row],[vehicle_age]]&gt;=20,"Very Old")</f>
        <v>Mid-age</v>
      </c>
    </row>
    <row r="567" spans="1:10">
      <c r="A567" s="2">
        <v>24085361</v>
      </c>
      <c r="B567" s="2">
        <v>2408536101</v>
      </c>
      <c r="C567" s="2">
        <v>1</v>
      </c>
      <c r="D567" s="2">
        <v>2020</v>
      </c>
      <c r="E567" s="2">
        <v>1</v>
      </c>
      <c r="F567" s="2">
        <v>0.32</v>
      </c>
      <c r="G567" s="2">
        <v>161.41</v>
      </c>
      <c r="H567" s="2" t="str">
        <f>VLOOKUP(qhkz_4dqm[[#This Row],[fuel_type]],lookup!A:B,2,FALSE)</f>
        <v>Gasoline</v>
      </c>
      <c r="I567" s="2">
        <f ca="1">YEAR(TODAY())-qhkz_4dqm[[#This Row],[year]]</f>
        <v>6</v>
      </c>
      <c r="J567" s="2" t="str" cm="1">
        <f t="array" aca="1" ref="J567" ca="1">_xlfn.IFS(qhkz_4dqm[[#This Row],[vehicle_age]]&lt;=3,"Newer",qhkz_4dqm[[#This Row],[vehicle_age]]&lt;=9,"Mid-age",qhkz_4dqm[[#This Row],[vehicle_age]]&lt;=19,"Older",qhkz_4dqm[[#This Row],[vehicle_age]]&gt;=20,"Very Old")</f>
        <v>Mid-age</v>
      </c>
    </row>
    <row r="568" spans="1:10">
      <c r="A568" s="2">
        <v>24085445</v>
      </c>
      <c r="B568" s="2">
        <v>2408544501</v>
      </c>
      <c r="C568" s="2">
        <v>1</v>
      </c>
      <c r="D568" s="2">
        <v>2004</v>
      </c>
      <c r="E568" s="2">
        <v>1</v>
      </c>
      <c r="F568" s="2">
        <v>18.79</v>
      </c>
      <c r="G568" s="2">
        <v>2130.16</v>
      </c>
      <c r="H568" s="2" t="str">
        <f>VLOOKUP(qhkz_4dqm[[#This Row],[fuel_type]],lookup!A:B,2,FALSE)</f>
        <v>Gasoline</v>
      </c>
      <c r="I568" s="2">
        <f ca="1">YEAR(TODAY())-qhkz_4dqm[[#This Row],[year]]</f>
        <v>22</v>
      </c>
      <c r="J568" s="2" t="str" cm="1">
        <f t="array" aca="1" ref="J568" ca="1">_xlfn.IFS(qhkz_4dqm[[#This Row],[vehicle_age]]&lt;=3,"Newer",qhkz_4dqm[[#This Row],[vehicle_age]]&lt;=9,"Mid-age",qhkz_4dqm[[#This Row],[vehicle_age]]&lt;=19,"Older",qhkz_4dqm[[#This Row],[vehicle_age]]&gt;=20,"Very Old")</f>
        <v>Very Old</v>
      </c>
    </row>
    <row r="569" spans="1:10">
      <c r="A569" s="2">
        <v>24085447</v>
      </c>
      <c r="B569" s="2">
        <v>2408544701</v>
      </c>
      <c r="C569" s="2">
        <v>1</v>
      </c>
      <c r="D569" s="2">
        <v>2020</v>
      </c>
      <c r="E569" s="2">
        <v>2</v>
      </c>
      <c r="F569" s="2">
        <v>5006.29</v>
      </c>
      <c r="G569" s="2">
        <v>489.9</v>
      </c>
      <c r="H569" s="2" t="str">
        <f>VLOOKUP(qhkz_4dqm[[#This Row],[fuel_type]],lookup!A:B,2,FALSE)</f>
        <v>Diesel</v>
      </c>
      <c r="I569" s="2">
        <f ca="1">YEAR(TODAY())-qhkz_4dqm[[#This Row],[year]]</f>
        <v>6</v>
      </c>
      <c r="J569" s="2" t="str" cm="1">
        <f t="array" aca="1" ref="J569" ca="1">_xlfn.IFS(qhkz_4dqm[[#This Row],[vehicle_age]]&lt;=3,"Newer",qhkz_4dqm[[#This Row],[vehicle_age]]&lt;=9,"Mid-age",qhkz_4dqm[[#This Row],[vehicle_age]]&lt;=19,"Older",qhkz_4dqm[[#This Row],[vehicle_age]]&gt;=20,"Very Old")</f>
        <v>Mid-age</v>
      </c>
    </row>
    <row r="570" spans="1:10">
      <c r="A570" s="2">
        <v>24085606</v>
      </c>
      <c r="B570" s="2">
        <v>2408560601</v>
      </c>
      <c r="C570" s="2">
        <v>1</v>
      </c>
      <c r="D570" s="2">
        <v>2016</v>
      </c>
      <c r="E570" s="2">
        <v>1</v>
      </c>
      <c r="F570" s="2">
        <v>436.52</v>
      </c>
      <c r="G570" s="2">
        <v>756.12</v>
      </c>
      <c r="H570" s="2" t="str">
        <f>VLOOKUP(qhkz_4dqm[[#This Row],[fuel_type]],lookup!A:B,2,FALSE)</f>
        <v>Gasoline</v>
      </c>
      <c r="I570" s="2">
        <f ca="1">YEAR(TODAY())-qhkz_4dqm[[#This Row],[year]]</f>
        <v>10</v>
      </c>
      <c r="J570" s="2" t="str" cm="1">
        <f t="array" aca="1" ref="J570" ca="1">_xlfn.IFS(qhkz_4dqm[[#This Row],[vehicle_age]]&lt;=3,"Newer",qhkz_4dqm[[#This Row],[vehicle_age]]&lt;=9,"Mid-age",qhkz_4dqm[[#This Row],[vehicle_age]]&lt;=19,"Older",qhkz_4dqm[[#This Row],[vehicle_age]]&gt;=20,"Very Old")</f>
        <v>Older</v>
      </c>
    </row>
    <row r="571" spans="1:10">
      <c r="A571" s="2">
        <v>24085870</v>
      </c>
      <c r="B571" s="2">
        <v>2408587001</v>
      </c>
      <c r="C571" s="2">
        <v>1</v>
      </c>
      <c r="D571" s="2">
        <v>2023</v>
      </c>
      <c r="E571" s="2">
        <v>1</v>
      </c>
      <c r="F571" s="2">
        <v>0.6</v>
      </c>
      <c r="G571" s="2">
        <v>63.55</v>
      </c>
      <c r="H571" s="2" t="str">
        <f>VLOOKUP(qhkz_4dqm[[#This Row],[fuel_type]],lookup!A:B,2,FALSE)</f>
        <v>Gasoline</v>
      </c>
      <c r="I571" s="2">
        <f ca="1">YEAR(TODAY())-qhkz_4dqm[[#This Row],[year]]</f>
        <v>3</v>
      </c>
      <c r="J571" s="2" t="str" cm="1">
        <f t="array" aca="1" ref="J571" ca="1">_xlfn.IFS(qhkz_4dqm[[#This Row],[vehicle_age]]&lt;=3,"Newer",qhkz_4dqm[[#This Row],[vehicle_age]]&lt;=9,"Mid-age",qhkz_4dqm[[#This Row],[vehicle_age]]&lt;=19,"Older",qhkz_4dqm[[#This Row],[vehicle_age]]&gt;=20,"Very Old")</f>
        <v>Newer</v>
      </c>
    </row>
    <row r="572" spans="1:10">
      <c r="A572" s="2">
        <v>24086094</v>
      </c>
      <c r="B572" s="2">
        <v>2408609401</v>
      </c>
      <c r="C572" s="2">
        <v>1</v>
      </c>
      <c r="D572" s="2">
        <v>2010</v>
      </c>
      <c r="E572" s="2">
        <v>1</v>
      </c>
      <c r="F572" s="2">
        <v>5.95</v>
      </c>
      <c r="G572" s="2">
        <v>519.63</v>
      </c>
      <c r="H572" s="2" t="str">
        <f>VLOOKUP(qhkz_4dqm[[#This Row],[fuel_type]],lookup!A:B,2,FALSE)</f>
        <v>Gasoline</v>
      </c>
      <c r="I572" s="2">
        <f ca="1">YEAR(TODAY())-qhkz_4dqm[[#This Row],[year]]</f>
        <v>16</v>
      </c>
      <c r="J572" s="2" t="str" cm="1">
        <f t="array" aca="1" ref="J572" ca="1">_xlfn.IFS(qhkz_4dqm[[#This Row],[vehicle_age]]&lt;=3,"Newer",qhkz_4dqm[[#This Row],[vehicle_age]]&lt;=9,"Mid-age",qhkz_4dqm[[#This Row],[vehicle_age]]&lt;=19,"Older",qhkz_4dqm[[#This Row],[vehicle_age]]&gt;=20,"Very Old")</f>
        <v>Older</v>
      </c>
    </row>
    <row r="573" spans="1:10">
      <c r="A573" s="2">
        <v>24086263</v>
      </c>
      <c r="B573" s="2">
        <v>2408626301</v>
      </c>
      <c r="C573" s="2">
        <v>1</v>
      </c>
      <c r="D573" s="2">
        <v>2014</v>
      </c>
      <c r="E573" s="2">
        <v>1</v>
      </c>
      <c r="F573" s="2">
        <v>0.6</v>
      </c>
      <c r="G573" s="2">
        <v>116.75</v>
      </c>
      <c r="H573" s="2" t="str">
        <f>VLOOKUP(qhkz_4dqm[[#This Row],[fuel_type]],lookup!A:B,2,FALSE)</f>
        <v>Gasoline</v>
      </c>
      <c r="I573" s="2">
        <f ca="1">YEAR(TODAY())-qhkz_4dqm[[#This Row],[year]]</f>
        <v>12</v>
      </c>
      <c r="J573" s="2" t="str" cm="1">
        <f t="array" aca="1" ref="J573" ca="1">_xlfn.IFS(qhkz_4dqm[[#This Row],[vehicle_age]]&lt;=3,"Newer",qhkz_4dqm[[#This Row],[vehicle_age]]&lt;=9,"Mid-age",qhkz_4dqm[[#This Row],[vehicle_age]]&lt;=19,"Older",qhkz_4dqm[[#This Row],[vehicle_age]]&gt;=20,"Very Old")</f>
        <v>Older</v>
      </c>
    </row>
    <row r="574" spans="1:10">
      <c r="A574" s="2">
        <v>24086327</v>
      </c>
      <c r="B574" s="2">
        <v>2408632701</v>
      </c>
      <c r="C574" s="2">
        <v>1</v>
      </c>
      <c r="D574" s="2">
        <v>2009</v>
      </c>
      <c r="E574" s="2">
        <v>1</v>
      </c>
      <c r="F574" s="2">
        <v>0.6</v>
      </c>
      <c r="G574" s="2">
        <v>92.69</v>
      </c>
      <c r="H574" s="2" t="str">
        <f>VLOOKUP(qhkz_4dqm[[#This Row],[fuel_type]],lookup!A:B,2,FALSE)</f>
        <v>Gasoline</v>
      </c>
      <c r="I574" s="2">
        <f ca="1">YEAR(TODAY())-qhkz_4dqm[[#This Row],[year]]</f>
        <v>17</v>
      </c>
      <c r="J574" s="2" t="str" cm="1">
        <f t="array" aca="1" ref="J574" ca="1">_xlfn.IFS(qhkz_4dqm[[#This Row],[vehicle_age]]&lt;=3,"Newer",qhkz_4dqm[[#This Row],[vehicle_age]]&lt;=9,"Mid-age",qhkz_4dqm[[#This Row],[vehicle_age]]&lt;=19,"Older",qhkz_4dqm[[#This Row],[vehicle_age]]&gt;=20,"Very Old")</f>
        <v>Older</v>
      </c>
    </row>
    <row r="575" spans="1:10">
      <c r="A575" s="2">
        <v>24086398</v>
      </c>
      <c r="B575" s="2">
        <v>2408639801</v>
      </c>
      <c r="C575" s="2">
        <v>1</v>
      </c>
      <c r="D575" s="2">
        <v>2016</v>
      </c>
      <c r="E575" s="2">
        <v>1</v>
      </c>
      <c r="F575" s="2">
        <v>6091.95</v>
      </c>
      <c r="G575" s="2">
        <v>2665.02</v>
      </c>
      <c r="H575" s="2" t="str">
        <f>VLOOKUP(qhkz_4dqm[[#This Row],[fuel_type]],lookup!A:B,2,FALSE)</f>
        <v>Gasoline</v>
      </c>
      <c r="I575" s="2">
        <f ca="1">YEAR(TODAY())-qhkz_4dqm[[#This Row],[year]]</f>
        <v>10</v>
      </c>
      <c r="J575" s="2" t="str" cm="1">
        <f t="array" aca="1" ref="J575" ca="1">_xlfn.IFS(qhkz_4dqm[[#This Row],[vehicle_age]]&lt;=3,"Newer",qhkz_4dqm[[#This Row],[vehicle_age]]&lt;=9,"Mid-age",qhkz_4dqm[[#This Row],[vehicle_age]]&lt;=19,"Older",qhkz_4dqm[[#This Row],[vehicle_age]]&gt;=20,"Very Old")</f>
        <v>Older</v>
      </c>
    </row>
    <row r="576" spans="1:10">
      <c r="A576" s="2">
        <v>24086403</v>
      </c>
      <c r="B576" s="2">
        <v>2408640301</v>
      </c>
      <c r="C576" s="2">
        <v>1</v>
      </c>
      <c r="D576" s="2">
        <v>2008</v>
      </c>
      <c r="E576" s="2">
        <v>1</v>
      </c>
      <c r="F576" s="2">
        <v>3046.17</v>
      </c>
      <c r="G576" s="2">
        <v>2143.4499999999998</v>
      </c>
      <c r="H576" s="2" t="str">
        <f>VLOOKUP(qhkz_4dqm[[#This Row],[fuel_type]],lookup!A:B,2,FALSE)</f>
        <v>Gasoline</v>
      </c>
      <c r="I576" s="2">
        <f ca="1">YEAR(TODAY())-qhkz_4dqm[[#This Row],[year]]</f>
        <v>18</v>
      </c>
      <c r="J576" s="2" t="str" cm="1">
        <f t="array" aca="1" ref="J576" ca="1">_xlfn.IFS(qhkz_4dqm[[#This Row],[vehicle_age]]&lt;=3,"Newer",qhkz_4dqm[[#This Row],[vehicle_age]]&lt;=9,"Mid-age",qhkz_4dqm[[#This Row],[vehicle_age]]&lt;=19,"Older",qhkz_4dqm[[#This Row],[vehicle_age]]&gt;=20,"Very Old")</f>
        <v>Older</v>
      </c>
    </row>
    <row r="577" spans="1:10">
      <c r="A577" s="2">
        <v>24086438</v>
      </c>
      <c r="B577" s="2">
        <v>2408643801</v>
      </c>
      <c r="C577" s="2">
        <v>1</v>
      </c>
      <c r="D577" s="2">
        <v>2016</v>
      </c>
      <c r="E577" s="2">
        <v>1</v>
      </c>
      <c r="F577" s="2">
        <v>1630.92</v>
      </c>
      <c r="G577" s="2">
        <v>1036.26</v>
      </c>
      <c r="H577" s="2" t="str">
        <f>VLOOKUP(qhkz_4dqm[[#This Row],[fuel_type]],lookup!A:B,2,FALSE)</f>
        <v>Gasoline</v>
      </c>
      <c r="I577" s="2">
        <f ca="1">YEAR(TODAY())-qhkz_4dqm[[#This Row],[year]]</f>
        <v>10</v>
      </c>
      <c r="J577" s="2" t="str" cm="1">
        <f t="array" aca="1" ref="J577" ca="1">_xlfn.IFS(qhkz_4dqm[[#This Row],[vehicle_age]]&lt;=3,"Newer",qhkz_4dqm[[#This Row],[vehicle_age]]&lt;=9,"Mid-age",qhkz_4dqm[[#This Row],[vehicle_age]]&lt;=19,"Older",qhkz_4dqm[[#This Row],[vehicle_age]]&gt;=20,"Very Old")</f>
        <v>Older</v>
      </c>
    </row>
    <row r="578" spans="1:10">
      <c r="A578" s="2">
        <v>24086574</v>
      </c>
      <c r="B578" s="2">
        <v>2408657401</v>
      </c>
      <c r="C578" s="2">
        <v>1</v>
      </c>
      <c r="D578" s="2">
        <v>2014</v>
      </c>
      <c r="E578" s="2">
        <v>1</v>
      </c>
      <c r="F578" s="2">
        <v>0.4</v>
      </c>
      <c r="G578" s="2">
        <v>194.29</v>
      </c>
      <c r="H578" s="2" t="str">
        <f>VLOOKUP(qhkz_4dqm[[#This Row],[fuel_type]],lookup!A:B,2,FALSE)</f>
        <v>Gasoline</v>
      </c>
      <c r="I578" s="2">
        <f ca="1">YEAR(TODAY())-qhkz_4dqm[[#This Row],[year]]</f>
        <v>12</v>
      </c>
      <c r="J578" s="2" t="str" cm="1">
        <f t="array" aca="1" ref="J578" ca="1">_xlfn.IFS(qhkz_4dqm[[#This Row],[vehicle_age]]&lt;=3,"Newer",qhkz_4dqm[[#This Row],[vehicle_age]]&lt;=9,"Mid-age",qhkz_4dqm[[#This Row],[vehicle_age]]&lt;=19,"Older",qhkz_4dqm[[#This Row],[vehicle_age]]&gt;=20,"Very Old")</f>
        <v>Older</v>
      </c>
    </row>
    <row r="579" spans="1:10">
      <c r="A579" s="2">
        <v>24086583</v>
      </c>
      <c r="B579" s="2">
        <v>2408658301</v>
      </c>
      <c r="C579" s="2">
        <v>1</v>
      </c>
      <c r="D579" s="2">
        <v>2020</v>
      </c>
      <c r="E579" s="2">
        <v>1</v>
      </c>
      <c r="F579" s="2">
        <v>3046.2</v>
      </c>
      <c r="G579" s="2">
        <v>2999.18</v>
      </c>
      <c r="H579" s="2" t="str">
        <f>VLOOKUP(qhkz_4dqm[[#This Row],[fuel_type]],lookup!A:B,2,FALSE)</f>
        <v>Gasoline</v>
      </c>
      <c r="I579" s="2">
        <f ca="1">YEAR(TODAY())-qhkz_4dqm[[#This Row],[year]]</f>
        <v>6</v>
      </c>
      <c r="J579" s="2" t="str" cm="1">
        <f t="array" aca="1" ref="J579" ca="1">_xlfn.IFS(qhkz_4dqm[[#This Row],[vehicle_age]]&lt;=3,"Newer",qhkz_4dqm[[#This Row],[vehicle_age]]&lt;=9,"Mid-age",qhkz_4dqm[[#This Row],[vehicle_age]]&lt;=19,"Older",qhkz_4dqm[[#This Row],[vehicle_age]]&gt;=20,"Very Old")</f>
        <v>Mid-age</v>
      </c>
    </row>
    <row r="580" spans="1:10">
      <c r="A580" s="2">
        <v>24086739</v>
      </c>
      <c r="B580" s="2">
        <v>2408673901</v>
      </c>
      <c r="C580" s="2">
        <v>1</v>
      </c>
      <c r="D580" s="2">
        <v>2018</v>
      </c>
      <c r="E580" s="2">
        <v>1</v>
      </c>
      <c r="F580" s="2">
        <v>1.2</v>
      </c>
      <c r="G580" s="2">
        <v>206.5</v>
      </c>
      <c r="H580" s="2" t="str">
        <f>VLOOKUP(qhkz_4dqm[[#This Row],[fuel_type]],lookup!A:B,2,FALSE)</f>
        <v>Gasoline</v>
      </c>
      <c r="I580" s="2">
        <f ca="1">YEAR(TODAY())-qhkz_4dqm[[#This Row],[year]]</f>
        <v>8</v>
      </c>
      <c r="J580" s="2" t="str" cm="1">
        <f t="array" aca="1" ref="J580" ca="1">_xlfn.IFS(qhkz_4dqm[[#This Row],[vehicle_age]]&lt;=3,"Newer",qhkz_4dqm[[#This Row],[vehicle_age]]&lt;=9,"Mid-age",qhkz_4dqm[[#This Row],[vehicle_age]]&lt;=19,"Older",qhkz_4dqm[[#This Row],[vehicle_age]]&gt;=20,"Very Old")</f>
        <v>Mid-age</v>
      </c>
    </row>
    <row r="581" spans="1:10">
      <c r="A581" s="2">
        <v>24086802</v>
      </c>
      <c r="B581" s="2">
        <v>2408680201</v>
      </c>
      <c r="C581" s="2">
        <v>1</v>
      </c>
      <c r="D581" s="2">
        <v>2009</v>
      </c>
      <c r="E581" s="2">
        <v>1</v>
      </c>
      <c r="F581" s="2">
        <v>0.6</v>
      </c>
      <c r="G581" s="2">
        <v>347.42</v>
      </c>
      <c r="H581" s="2" t="str">
        <f>VLOOKUP(qhkz_4dqm[[#This Row],[fuel_type]],lookup!A:B,2,FALSE)</f>
        <v>Gasoline</v>
      </c>
      <c r="I581" s="2">
        <f ca="1">YEAR(TODAY())-qhkz_4dqm[[#This Row],[year]]</f>
        <v>17</v>
      </c>
      <c r="J581" s="2" t="str" cm="1">
        <f t="array" aca="1" ref="J581" ca="1">_xlfn.IFS(qhkz_4dqm[[#This Row],[vehicle_age]]&lt;=3,"Newer",qhkz_4dqm[[#This Row],[vehicle_age]]&lt;=9,"Mid-age",qhkz_4dqm[[#This Row],[vehicle_age]]&lt;=19,"Older",qhkz_4dqm[[#This Row],[vehicle_age]]&gt;=20,"Very Old")</f>
        <v>Older</v>
      </c>
    </row>
    <row r="582" spans="1:10">
      <c r="A582" s="2">
        <v>24086810</v>
      </c>
      <c r="B582" s="2">
        <v>2408681001</v>
      </c>
      <c r="C582" s="2">
        <v>1</v>
      </c>
      <c r="D582" s="2">
        <v>2019</v>
      </c>
      <c r="E582" s="2">
        <v>1</v>
      </c>
      <c r="F582" s="2">
        <v>0.6</v>
      </c>
      <c r="G582" s="2">
        <v>147.29</v>
      </c>
      <c r="H582" s="2" t="str">
        <f>VLOOKUP(qhkz_4dqm[[#This Row],[fuel_type]],lookup!A:B,2,FALSE)</f>
        <v>Gasoline</v>
      </c>
      <c r="I582" s="2">
        <f ca="1">YEAR(TODAY())-qhkz_4dqm[[#This Row],[year]]</f>
        <v>7</v>
      </c>
      <c r="J582" s="2" t="str" cm="1">
        <f t="array" aca="1" ref="J582" ca="1">_xlfn.IFS(qhkz_4dqm[[#This Row],[vehicle_age]]&lt;=3,"Newer",qhkz_4dqm[[#This Row],[vehicle_age]]&lt;=9,"Mid-age",qhkz_4dqm[[#This Row],[vehicle_age]]&lt;=19,"Older",qhkz_4dqm[[#This Row],[vehicle_age]]&gt;=20,"Very Old")</f>
        <v>Mid-age</v>
      </c>
    </row>
    <row r="583" spans="1:10">
      <c r="A583" s="2">
        <v>24087033</v>
      </c>
      <c r="B583" s="2">
        <v>2408703301</v>
      </c>
      <c r="C583" s="2">
        <v>1</v>
      </c>
      <c r="D583" s="2">
        <v>2017</v>
      </c>
      <c r="E583" s="2">
        <v>1</v>
      </c>
      <c r="F583" s="2">
        <v>1.2</v>
      </c>
      <c r="G583" s="2">
        <v>108.2</v>
      </c>
      <c r="H583" s="2" t="str">
        <f>VLOOKUP(qhkz_4dqm[[#This Row],[fuel_type]],lookup!A:B,2,FALSE)</f>
        <v>Gasoline</v>
      </c>
      <c r="I583" s="2">
        <f ca="1">YEAR(TODAY())-qhkz_4dqm[[#This Row],[year]]</f>
        <v>9</v>
      </c>
      <c r="J583" s="2" t="str" cm="1">
        <f t="array" aca="1" ref="J583" ca="1">_xlfn.IFS(qhkz_4dqm[[#This Row],[vehicle_age]]&lt;=3,"Newer",qhkz_4dqm[[#This Row],[vehicle_age]]&lt;=9,"Mid-age",qhkz_4dqm[[#This Row],[vehicle_age]]&lt;=19,"Older",qhkz_4dqm[[#This Row],[vehicle_age]]&gt;=20,"Very Old")</f>
        <v>Mid-age</v>
      </c>
    </row>
    <row r="584" spans="1:10">
      <c r="A584" s="2">
        <v>24087157</v>
      </c>
      <c r="B584" s="2">
        <v>2408715701</v>
      </c>
      <c r="C584" s="2">
        <v>1</v>
      </c>
      <c r="D584" s="2">
        <v>2019</v>
      </c>
      <c r="E584" s="2">
        <v>1</v>
      </c>
      <c r="F584" s="2">
        <v>2657.98</v>
      </c>
      <c r="G584" s="2">
        <v>246.87</v>
      </c>
      <c r="H584" s="2" t="str">
        <f>VLOOKUP(qhkz_4dqm[[#This Row],[fuel_type]],lookup!A:B,2,FALSE)</f>
        <v>Gasoline</v>
      </c>
      <c r="I584" s="2">
        <f ca="1">YEAR(TODAY())-qhkz_4dqm[[#This Row],[year]]</f>
        <v>7</v>
      </c>
      <c r="J584" s="2" t="str" cm="1">
        <f t="array" aca="1" ref="J584" ca="1">_xlfn.IFS(qhkz_4dqm[[#This Row],[vehicle_age]]&lt;=3,"Newer",qhkz_4dqm[[#This Row],[vehicle_age]]&lt;=9,"Mid-age",qhkz_4dqm[[#This Row],[vehicle_age]]&lt;=19,"Older",qhkz_4dqm[[#This Row],[vehicle_age]]&gt;=20,"Very Old")</f>
        <v>Mid-age</v>
      </c>
    </row>
    <row r="585" spans="1:10">
      <c r="A585" s="2">
        <v>24087198</v>
      </c>
      <c r="B585" s="2">
        <v>2408719801</v>
      </c>
      <c r="C585" s="2">
        <v>1</v>
      </c>
      <c r="D585" s="2">
        <v>2021</v>
      </c>
      <c r="E585" s="2">
        <v>1</v>
      </c>
      <c r="F585" s="2">
        <v>2.74</v>
      </c>
      <c r="G585" s="2">
        <v>776.58</v>
      </c>
      <c r="H585" s="2" t="str">
        <f>VLOOKUP(qhkz_4dqm[[#This Row],[fuel_type]],lookup!A:B,2,FALSE)</f>
        <v>Gasoline</v>
      </c>
      <c r="I585" s="2">
        <f ca="1">YEAR(TODAY())-qhkz_4dqm[[#This Row],[year]]</f>
        <v>5</v>
      </c>
      <c r="J585" s="2" t="str" cm="1">
        <f t="array" aca="1" ref="J585" ca="1">_xlfn.IFS(qhkz_4dqm[[#This Row],[vehicle_age]]&lt;=3,"Newer",qhkz_4dqm[[#This Row],[vehicle_age]]&lt;=9,"Mid-age",qhkz_4dqm[[#This Row],[vehicle_age]]&lt;=19,"Older",qhkz_4dqm[[#This Row],[vehicle_age]]&gt;=20,"Very Old")</f>
        <v>Mid-age</v>
      </c>
    </row>
    <row r="586" spans="1:10">
      <c r="A586" s="2">
        <v>24087672</v>
      </c>
      <c r="B586" s="2">
        <v>2408767201</v>
      </c>
      <c r="C586" s="2">
        <v>1</v>
      </c>
      <c r="D586" s="2">
        <v>2023</v>
      </c>
      <c r="E586" s="2">
        <v>1</v>
      </c>
      <c r="F586" s="2">
        <v>0.6</v>
      </c>
      <c r="G586" s="2">
        <v>56.94</v>
      </c>
      <c r="H586" s="2" t="str">
        <f>VLOOKUP(qhkz_4dqm[[#This Row],[fuel_type]],lookup!A:B,2,FALSE)</f>
        <v>Gasoline</v>
      </c>
      <c r="I586" s="2">
        <f ca="1">YEAR(TODAY())-qhkz_4dqm[[#This Row],[year]]</f>
        <v>3</v>
      </c>
      <c r="J586" s="2" t="str" cm="1">
        <f t="array" aca="1" ref="J586" ca="1">_xlfn.IFS(qhkz_4dqm[[#This Row],[vehicle_age]]&lt;=3,"Newer",qhkz_4dqm[[#This Row],[vehicle_age]]&lt;=9,"Mid-age",qhkz_4dqm[[#This Row],[vehicle_age]]&lt;=19,"Older",qhkz_4dqm[[#This Row],[vehicle_age]]&gt;=20,"Very Old")</f>
        <v>Newer</v>
      </c>
    </row>
    <row r="587" spans="1:10">
      <c r="A587" s="2">
        <v>24087771</v>
      </c>
      <c r="B587" s="2">
        <v>2408777101</v>
      </c>
      <c r="C587" s="2">
        <v>1</v>
      </c>
      <c r="D587" s="2">
        <v>2020</v>
      </c>
      <c r="E587" s="2">
        <v>1</v>
      </c>
      <c r="F587" s="2">
        <v>0.52</v>
      </c>
      <c r="G587" s="2">
        <v>276.25</v>
      </c>
      <c r="H587" s="2" t="str">
        <f>VLOOKUP(qhkz_4dqm[[#This Row],[fuel_type]],lookup!A:B,2,FALSE)</f>
        <v>Gasoline</v>
      </c>
      <c r="I587" s="2">
        <f ca="1">YEAR(TODAY())-qhkz_4dqm[[#This Row],[year]]</f>
        <v>6</v>
      </c>
      <c r="J587" s="2" t="str" cm="1">
        <f t="array" aca="1" ref="J587" ca="1">_xlfn.IFS(qhkz_4dqm[[#This Row],[vehicle_age]]&lt;=3,"Newer",qhkz_4dqm[[#This Row],[vehicle_age]]&lt;=9,"Mid-age",qhkz_4dqm[[#This Row],[vehicle_age]]&lt;=19,"Older",qhkz_4dqm[[#This Row],[vehicle_age]]&gt;=20,"Very Old")</f>
        <v>Mid-age</v>
      </c>
    </row>
    <row r="588" spans="1:10">
      <c r="A588" s="2">
        <v>24088167</v>
      </c>
      <c r="B588" s="2">
        <v>2408816701</v>
      </c>
      <c r="C588" s="2">
        <v>1</v>
      </c>
      <c r="D588" s="2">
        <v>2017</v>
      </c>
      <c r="E588" s="2">
        <v>1</v>
      </c>
      <c r="F588" s="2">
        <v>2.17</v>
      </c>
      <c r="G588" s="2">
        <v>1134.3</v>
      </c>
      <c r="H588" s="2" t="str">
        <f>VLOOKUP(qhkz_4dqm[[#This Row],[fuel_type]],lookup!A:B,2,FALSE)</f>
        <v>Gasoline</v>
      </c>
      <c r="I588" s="2">
        <f ca="1">YEAR(TODAY())-qhkz_4dqm[[#This Row],[year]]</f>
        <v>9</v>
      </c>
      <c r="J588" s="2" t="str" cm="1">
        <f t="array" aca="1" ref="J588" ca="1">_xlfn.IFS(qhkz_4dqm[[#This Row],[vehicle_age]]&lt;=3,"Newer",qhkz_4dqm[[#This Row],[vehicle_age]]&lt;=9,"Mid-age",qhkz_4dqm[[#This Row],[vehicle_age]]&lt;=19,"Older",qhkz_4dqm[[#This Row],[vehicle_age]]&gt;=20,"Very Old")</f>
        <v>Mid-age</v>
      </c>
    </row>
    <row r="589" spans="1:10">
      <c r="A589" s="2">
        <v>24088218</v>
      </c>
      <c r="B589" s="2">
        <v>2408821801</v>
      </c>
      <c r="C589" s="2">
        <v>1</v>
      </c>
      <c r="D589" s="2">
        <v>2020</v>
      </c>
      <c r="E589" s="2">
        <v>1</v>
      </c>
      <c r="F589" s="2">
        <v>3045.52</v>
      </c>
      <c r="G589" s="2">
        <v>2034.52</v>
      </c>
      <c r="H589" s="2" t="str">
        <f>VLOOKUP(qhkz_4dqm[[#This Row],[fuel_type]],lookup!A:B,2,FALSE)</f>
        <v>Gasoline</v>
      </c>
      <c r="I589" s="2">
        <f ca="1">YEAR(TODAY())-qhkz_4dqm[[#This Row],[year]]</f>
        <v>6</v>
      </c>
      <c r="J589" s="2" t="str" cm="1">
        <f t="array" aca="1" ref="J589" ca="1">_xlfn.IFS(qhkz_4dqm[[#This Row],[vehicle_age]]&lt;=3,"Newer",qhkz_4dqm[[#This Row],[vehicle_age]]&lt;=9,"Mid-age",qhkz_4dqm[[#This Row],[vehicle_age]]&lt;=19,"Older",qhkz_4dqm[[#This Row],[vehicle_age]]&gt;=20,"Very Old")</f>
        <v>Mid-age</v>
      </c>
    </row>
    <row r="590" spans="1:10">
      <c r="A590" s="2">
        <v>24088241</v>
      </c>
      <c r="B590" s="2">
        <v>2408824101</v>
      </c>
      <c r="C590" s="2">
        <v>1</v>
      </c>
      <c r="D590" s="2">
        <v>2023</v>
      </c>
      <c r="E590" s="2">
        <v>1</v>
      </c>
      <c r="F590" s="2">
        <v>5026.32</v>
      </c>
      <c r="G590" s="2">
        <v>1362.53</v>
      </c>
      <c r="H590" s="2" t="str">
        <f>VLOOKUP(qhkz_4dqm[[#This Row],[fuel_type]],lookup!A:B,2,FALSE)</f>
        <v>Gasoline</v>
      </c>
      <c r="I590" s="2">
        <f ca="1">YEAR(TODAY())-qhkz_4dqm[[#This Row],[year]]</f>
        <v>3</v>
      </c>
      <c r="J590" s="2" t="str" cm="1">
        <f t="array" aca="1" ref="J590" ca="1">_xlfn.IFS(qhkz_4dqm[[#This Row],[vehicle_age]]&lt;=3,"Newer",qhkz_4dqm[[#This Row],[vehicle_age]]&lt;=9,"Mid-age",qhkz_4dqm[[#This Row],[vehicle_age]]&lt;=19,"Older",qhkz_4dqm[[#This Row],[vehicle_age]]&gt;=20,"Very Old")</f>
        <v>Newer</v>
      </c>
    </row>
    <row r="591" spans="1:10">
      <c r="A591" s="2">
        <v>24088246</v>
      </c>
      <c r="B591" s="2">
        <v>2408824601</v>
      </c>
      <c r="C591" s="2">
        <v>1</v>
      </c>
      <c r="D591" s="2">
        <v>2020</v>
      </c>
      <c r="E591" s="2">
        <v>1</v>
      </c>
      <c r="F591" s="2">
        <v>5251.08</v>
      </c>
      <c r="G591" s="2">
        <v>608.57000000000005</v>
      </c>
      <c r="H591" s="2" t="str">
        <f>VLOOKUP(qhkz_4dqm[[#This Row],[fuel_type]],lookup!A:B,2,FALSE)</f>
        <v>Gasoline</v>
      </c>
      <c r="I591" s="2">
        <f ca="1">YEAR(TODAY())-qhkz_4dqm[[#This Row],[year]]</f>
        <v>6</v>
      </c>
      <c r="J591" s="2" t="str" cm="1">
        <f t="array" aca="1" ref="J591" ca="1">_xlfn.IFS(qhkz_4dqm[[#This Row],[vehicle_age]]&lt;=3,"Newer",qhkz_4dqm[[#This Row],[vehicle_age]]&lt;=9,"Mid-age",qhkz_4dqm[[#This Row],[vehicle_age]]&lt;=19,"Older",qhkz_4dqm[[#This Row],[vehicle_age]]&gt;=20,"Very Old")</f>
        <v>Mid-age</v>
      </c>
    </row>
    <row r="592" spans="1:10">
      <c r="A592" s="2">
        <v>24088272</v>
      </c>
      <c r="B592" s="2">
        <v>2408827201</v>
      </c>
      <c r="C592" s="2">
        <v>1</v>
      </c>
      <c r="D592" s="2">
        <v>2012</v>
      </c>
      <c r="E592" s="2">
        <v>1</v>
      </c>
      <c r="F592" s="2">
        <v>1.21</v>
      </c>
      <c r="G592" s="2">
        <v>226.87</v>
      </c>
      <c r="H592" s="2" t="str">
        <f>VLOOKUP(qhkz_4dqm[[#This Row],[fuel_type]],lookup!A:B,2,FALSE)</f>
        <v>Gasoline</v>
      </c>
      <c r="I592" s="2">
        <f ca="1">YEAR(TODAY())-qhkz_4dqm[[#This Row],[year]]</f>
        <v>14</v>
      </c>
      <c r="J592" s="2" t="str" cm="1">
        <f t="array" aca="1" ref="J592" ca="1">_xlfn.IFS(qhkz_4dqm[[#This Row],[vehicle_age]]&lt;=3,"Newer",qhkz_4dqm[[#This Row],[vehicle_age]]&lt;=9,"Mid-age",qhkz_4dqm[[#This Row],[vehicle_age]]&lt;=19,"Older",qhkz_4dqm[[#This Row],[vehicle_age]]&gt;=20,"Very Old")</f>
        <v>Older</v>
      </c>
    </row>
    <row r="593" spans="1:10">
      <c r="A593" s="2">
        <v>24088349</v>
      </c>
      <c r="B593" s="2">
        <v>2408834901</v>
      </c>
      <c r="C593" s="2">
        <v>1</v>
      </c>
      <c r="D593" s="2">
        <v>2006</v>
      </c>
      <c r="E593" s="2">
        <v>1</v>
      </c>
      <c r="F593" s="2">
        <v>1.21</v>
      </c>
      <c r="G593" s="2">
        <v>456.26</v>
      </c>
      <c r="H593" s="2" t="str">
        <f>VLOOKUP(qhkz_4dqm[[#This Row],[fuel_type]],lookup!A:B,2,FALSE)</f>
        <v>Gasoline</v>
      </c>
      <c r="I593" s="2">
        <f ca="1">YEAR(TODAY())-qhkz_4dqm[[#This Row],[year]]</f>
        <v>20</v>
      </c>
      <c r="J593" s="2" t="str" cm="1">
        <f t="array" aca="1" ref="J593" ca="1">_xlfn.IFS(qhkz_4dqm[[#This Row],[vehicle_age]]&lt;=3,"Newer",qhkz_4dqm[[#This Row],[vehicle_age]]&lt;=9,"Mid-age",qhkz_4dqm[[#This Row],[vehicle_age]]&lt;=19,"Older",qhkz_4dqm[[#This Row],[vehicle_age]]&gt;=20,"Very Old")</f>
        <v>Very Old</v>
      </c>
    </row>
    <row r="594" spans="1:10">
      <c r="A594" s="2">
        <v>24088383</v>
      </c>
      <c r="B594" s="2">
        <v>2408838301</v>
      </c>
      <c r="C594" s="2">
        <v>1</v>
      </c>
      <c r="D594" s="2">
        <v>2012</v>
      </c>
      <c r="E594" s="2">
        <v>1</v>
      </c>
      <c r="F594" s="2">
        <v>132.69</v>
      </c>
      <c r="G594" s="2">
        <v>226.51</v>
      </c>
      <c r="H594" s="2" t="str">
        <f>VLOOKUP(qhkz_4dqm[[#This Row],[fuel_type]],lookup!A:B,2,FALSE)</f>
        <v>Gasoline</v>
      </c>
      <c r="I594" s="2">
        <f ca="1">YEAR(TODAY())-qhkz_4dqm[[#This Row],[year]]</f>
        <v>14</v>
      </c>
      <c r="J594" s="2" t="str" cm="1">
        <f t="array" aca="1" ref="J594" ca="1">_xlfn.IFS(qhkz_4dqm[[#This Row],[vehicle_age]]&lt;=3,"Newer",qhkz_4dqm[[#This Row],[vehicle_age]]&lt;=9,"Mid-age",qhkz_4dqm[[#This Row],[vehicle_age]]&lt;=19,"Older",qhkz_4dqm[[#This Row],[vehicle_age]]&gt;=20,"Very Old")</f>
        <v>Older</v>
      </c>
    </row>
    <row r="595" spans="1:10">
      <c r="A595" s="2">
        <v>24088414</v>
      </c>
      <c r="B595" s="2">
        <v>2408841401</v>
      </c>
      <c r="C595" s="2">
        <v>1</v>
      </c>
      <c r="D595" s="2">
        <v>2018</v>
      </c>
      <c r="E595" s="2">
        <v>1</v>
      </c>
      <c r="F595" s="2">
        <v>513.85</v>
      </c>
      <c r="G595" s="2">
        <v>488.59</v>
      </c>
      <c r="H595" s="2" t="str">
        <f>VLOOKUP(qhkz_4dqm[[#This Row],[fuel_type]],lookup!A:B,2,FALSE)</f>
        <v>Gasoline</v>
      </c>
      <c r="I595" s="2">
        <f ca="1">YEAR(TODAY())-qhkz_4dqm[[#This Row],[year]]</f>
        <v>8</v>
      </c>
      <c r="J595" s="2" t="str" cm="1">
        <f t="array" aca="1" ref="J595" ca="1">_xlfn.IFS(qhkz_4dqm[[#This Row],[vehicle_age]]&lt;=3,"Newer",qhkz_4dqm[[#This Row],[vehicle_age]]&lt;=9,"Mid-age",qhkz_4dqm[[#This Row],[vehicle_age]]&lt;=19,"Older",qhkz_4dqm[[#This Row],[vehicle_age]]&gt;=20,"Very Old")</f>
        <v>Mid-age</v>
      </c>
    </row>
    <row r="596" spans="1:10">
      <c r="A596" s="2">
        <v>24088615</v>
      </c>
      <c r="B596" s="2">
        <v>2408861501</v>
      </c>
      <c r="C596" s="2">
        <v>1</v>
      </c>
      <c r="D596" s="2">
        <v>2020</v>
      </c>
      <c r="E596" s="2">
        <v>1</v>
      </c>
      <c r="F596" s="2">
        <v>1.2</v>
      </c>
      <c r="G596" s="2">
        <v>161.09</v>
      </c>
      <c r="H596" s="2" t="str">
        <f>VLOOKUP(qhkz_4dqm[[#This Row],[fuel_type]],lookup!A:B,2,FALSE)</f>
        <v>Gasoline</v>
      </c>
      <c r="I596" s="2">
        <f ca="1">YEAR(TODAY())-qhkz_4dqm[[#This Row],[year]]</f>
        <v>6</v>
      </c>
      <c r="J596" s="2" t="str" cm="1">
        <f t="array" aca="1" ref="J596" ca="1">_xlfn.IFS(qhkz_4dqm[[#This Row],[vehicle_age]]&lt;=3,"Newer",qhkz_4dqm[[#This Row],[vehicle_age]]&lt;=9,"Mid-age",qhkz_4dqm[[#This Row],[vehicle_age]]&lt;=19,"Older",qhkz_4dqm[[#This Row],[vehicle_age]]&gt;=20,"Very Old")</f>
        <v>Mid-age</v>
      </c>
    </row>
    <row r="597" spans="1:10">
      <c r="A597" s="2">
        <v>24088827</v>
      </c>
      <c r="B597" s="2">
        <v>2408882701</v>
      </c>
      <c r="C597" s="2">
        <v>1</v>
      </c>
      <c r="D597" s="2">
        <v>2008</v>
      </c>
      <c r="E597" s="2">
        <v>1</v>
      </c>
      <c r="F597" s="2">
        <v>2029.2</v>
      </c>
      <c r="G597" s="2">
        <v>908.28</v>
      </c>
      <c r="H597" s="2" t="str">
        <f>VLOOKUP(qhkz_4dqm[[#This Row],[fuel_type]],lookup!A:B,2,FALSE)</f>
        <v>Gasoline</v>
      </c>
      <c r="I597" s="2">
        <f ca="1">YEAR(TODAY())-qhkz_4dqm[[#This Row],[year]]</f>
        <v>18</v>
      </c>
      <c r="J597" s="2" t="str" cm="1">
        <f t="array" aca="1" ref="J597" ca="1">_xlfn.IFS(qhkz_4dqm[[#This Row],[vehicle_age]]&lt;=3,"Newer",qhkz_4dqm[[#This Row],[vehicle_age]]&lt;=9,"Mid-age",qhkz_4dqm[[#This Row],[vehicle_age]]&lt;=19,"Older",qhkz_4dqm[[#This Row],[vehicle_age]]&gt;=20,"Very Old")</f>
        <v>Older</v>
      </c>
    </row>
    <row r="598" spans="1:10">
      <c r="A598" s="2">
        <v>24089062</v>
      </c>
      <c r="B598" s="2">
        <v>2408906201</v>
      </c>
      <c r="C598" s="2">
        <v>1</v>
      </c>
      <c r="D598" s="2">
        <v>2015</v>
      </c>
      <c r="E598" s="2">
        <v>1</v>
      </c>
      <c r="F598" s="2">
        <v>0.6</v>
      </c>
      <c r="G598" s="2">
        <v>126.52</v>
      </c>
      <c r="H598" s="2" t="str">
        <f>VLOOKUP(qhkz_4dqm[[#This Row],[fuel_type]],lookup!A:B,2,FALSE)</f>
        <v>Gasoline</v>
      </c>
      <c r="I598" s="2">
        <f ca="1">YEAR(TODAY())-qhkz_4dqm[[#This Row],[year]]</f>
        <v>11</v>
      </c>
      <c r="J598" s="2" t="str" cm="1">
        <f t="array" aca="1" ref="J598" ca="1">_xlfn.IFS(qhkz_4dqm[[#This Row],[vehicle_age]]&lt;=3,"Newer",qhkz_4dqm[[#This Row],[vehicle_age]]&lt;=9,"Mid-age",qhkz_4dqm[[#This Row],[vehicle_age]]&lt;=19,"Older",qhkz_4dqm[[#This Row],[vehicle_age]]&gt;=20,"Very Old")</f>
        <v>Older</v>
      </c>
    </row>
    <row r="599" spans="1:10">
      <c r="A599" s="2">
        <v>24089251</v>
      </c>
      <c r="B599" s="2">
        <v>2408925101</v>
      </c>
      <c r="C599" s="2">
        <v>1</v>
      </c>
      <c r="D599" s="2">
        <v>2023</v>
      </c>
      <c r="E599" s="2">
        <v>1</v>
      </c>
      <c r="F599" s="2">
        <v>4.38</v>
      </c>
      <c r="G599" s="2">
        <v>311.66000000000003</v>
      </c>
      <c r="H599" s="2" t="str">
        <f>VLOOKUP(qhkz_4dqm[[#This Row],[fuel_type]],lookup!A:B,2,FALSE)</f>
        <v>Gasoline</v>
      </c>
      <c r="I599" s="2">
        <f ca="1">YEAR(TODAY())-qhkz_4dqm[[#This Row],[year]]</f>
        <v>3</v>
      </c>
      <c r="J599" s="2" t="str" cm="1">
        <f t="array" aca="1" ref="J599" ca="1">_xlfn.IFS(qhkz_4dqm[[#This Row],[vehicle_age]]&lt;=3,"Newer",qhkz_4dqm[[#This Row],[vehicle_age]]&lt;=9,"Mid-age",qhkz_4dqm[[#This Row],[vehicle_age]]&lt;=19,"Older",qhkz_4dqm[[#This Row],[vehicle_age]]&gt;=20,"Very Old")</f>
        <v>Newer</v>
      </c>
    </row>
    <row r="600" spans="1:10">
      <c r="A600" s="2">
        <v>24089318</v>
      </c>
      <c r="B600" s="2">
        <v>2408931801</v>
      </c>
      <c r="C600" s="2">
        <v>1</v>
      </c>
      <c r="D600" s="2">
        <v>2022</v>
      </c>
      <c r="E600" s="2">
        <v>3</v>
      </c>
      <c r="F600" s="2">
        <v>8.33</v>
      </c>
      <c r="G600" s="2">
        <v>346.82</v>
      </c>
      <c r="H600" s="2" t="str">
        <f>VLOOKUP(qhkz_4dqm[[#This Row],[fuel_type]],lookup!A:B,2,FALSE)</f>
        <v>Hybrid</v>
      </c>
      <c r="I600" s="2">
        <f ca="1">YEAR(TODAY())-qhkz_4dqm[[#This Row],[year]]</f>
        <v>4</v>
      </c>
      <c r="J600" s="2" t="str" cm="1">
        <f t="array" aca="1" ref="J600" ca="1">_xlfn.IFS(qhkz_4dqm[[#This Row],[vehicle_age]]&lt;=3,"Newer",qhkz_4dqm[[#This Row],[vehicle_age]]&lt;=9,"Mid-age",qhkz_4dqm[[#This Row],[vehicle_age]]&lt;=19,"Older",qhkz_4dqm[[#This Row],[vehicle_age]]&gt;=20,"Very Old")</f>
        <v>Mid-age</v>
      </c>
    </row>
    <row r="601" spans="1:10">
      <c r="A601" s="2">
        <v>24089409</v>
      </c>
      <c r="B601" s="2">
        <v>2408940901</v>
      </c>
      <c r="C601" s="2">
        <v>1</v>
      </c>
      <c r="D601" s="2">
        <v>2017</v>
      </c>
      <c r="E601" s="2">
        <v>1</v>
      </c>
      <c r="F601" s="2">
        <v>607.61</v>
      </c>
      <c r="G601" s="2">
        <v>479.69</v>
      </c>
      <c r="H601" s="2" t="str">
        <f>VLOOKUP(qhkz_4dqm[[#This Row],[fuel_type]],lookup!A:B,2,FALSE)</f>
        <v>Gasoline</v>
      </c>
      <c r="I601" s="2">
        <f ca="1">YEAR(TODAY())-qhkz_4dqm[[#This Row],[year]]</f>
        <v>9</v>
      </c>
      <c r="J601" s="2" t="str" cm="1">
        <f t="array" aca="1" ref="J601" ca="1">_xlfn.IFS(qhkz_4dqm[[#This Row],[vehicle_age]]&lt;=3,"Newer",qhkz_4dqm[[#This Row],[vehicle_age]]&lt;=9,"Mid-age",qhkz_4dqm[[#This Row],[vehicle_age]]&lt;=19,"Older",qhkz_4dqm[[#This Row],[vehicle_age]]&gt;=20,"Very Old")</f>
        <v>Mid-age</v>
      </c>
    </row>
    <row r="602" spans="1:10">
      <c r="A602" s="2">
        <v>24089574</v>
      </c>
      <c r="B602" s="2">
        <v>2408957401</v>
      </c>
      <c r="C602" s="2">
        <v>1</v>
      </c>
      <c r="D602" s="2">
        <v>2016</v>
      </c>
      <c r="E602" s="2">
        <v>1</v>
      </c>
      <c r="F602" s="2">
        <v>1.2</v>
      </c>
      <c r="G602" s="2">
        <v>349.93</v>
      </c>
      <c r="H602" s="2" t="str">
        <f>VLOOKUP(qhkz_4dqm[[#This Row],[fuel_type]],lookup!A:B,2,FALSE)</f>
        <v>Gasoline</v>
      </c>
      <c r="I602" s="2">
        <f ca="1">YEAR(TODAY())-qhkz_4dqm[[#This Row],[year]]</f>
        <v>10</v>
      </c>
      <c r="J602" s="2" t="str" cm="1">
        <f t="array" aca="1" ref="J602" ca="1">_xlfn.IFS(qhkz_4dqm[[#This Row],[vehicle_age]]&lt;=3,"Newer",qhkz_4dqm[[#This Row],[vehicle_age]]&lt;=9,"Mid-age",qhkz_4dqm[[#This Row],[vehicle_age]]&lt;=19,"Older",qhkz_4dqm[[#This Row],[vehicle_age]]&gt;=20,"Very Old")</f>
        <v>Older</v>
      </c>
    </row>
    <row r="603" spans="1:10">
      <c r="A603" s="2">
        <v>24089631</v>
      </c>
      <c r="B603" s="2">
        <v>2408963101</v>
      </c>
      <c r="C603" s="2">
        <v>1</v>
      </c>
      <c r="D603" s="2">
        <v>2017</v>
      </c>
      <c r="E603" s="2">
        <v>1</v>
      </c>
      <c r="F603" s="2">
        <v>351.39</v>
      </c>
      <c r="G603" s="2">
        <v>922.91</v>
      </c>
      <c r="H603" s="2" t="str">
        <f>VLOOKUP(qhkz_4dqm[[#This Row],[fuel_type]],lookup!A:B,2,FALSE)</f>
        <v>Gasoline</v>
      </c>
      <c r="I603" s="2">
        <f ca="1">YEAR(TODAY())-qhkz_4dqm[[#This Row],[year]]</f>
        <v>9</v>
      </c>
      <c r="J603" s="2" t="str" cm="1">
        <f t="array" aca="1" ref="J603" ca="1">_xlfn.IFS(qhkz_4dqm[[#This Row],[vehicle_age]]&lt;=3,"Newer",qhkz_4dqm[[#This Row],[vehicle_age]]&lt;=9,"Mid-age",qhkz_4dqm[[#This Row],[vehicle_age]]&lt;=19,"Older",qhkz_4dqm[[#This Row],[vehicle_age]]&gt;=20,"Very Old")</f>
        <v>Mid-age</v>
      </c>
    </row>
    <row r="604" spans="1:10">
      <c r="A604" s="2">
        <v>24089679</v>
      </c>
      <c r="B604" s="2">
        <v>2408967901</v>
      </c>
      <c r="C604" s="2">
        <v>1</v>
      </c>
      <c r="D604" s="2">
        <v>2017</v>
      </c>
      <c r="E604" s="2">
        <v>1</v>
      </c>
      <c r="F604" s="2">
        <v>3046.22</v>
      </c>
      <c r="G604" s="2">
        <v>2509.4</v>
      </c>
      <c r="H604" s="2" t="str">
        <f>VLOOKUP(qhkz_4dqm[[#This Row],[fuel_type]],lookup!A:B,2,FALSE)</f>
        <v>Gasoline</v>
      </c>
      <c r="I604" s="2">
        <f ca="1">YEAR(TODAY())-qhkz_4dqm[[#This Row],[year]]</f>
        <v>9</v>
      </c>
      <c r="J604" s="2" t="str" cm="1">
        <f t="array" aca="1" ref="J604" ca="1">_xlfn.IFS(qhkz_4dqm[[#This Row],[vehicle_age]]&lt;=3,"Newer",qhkz_4dqm[[#This Row],[vehicle_age]]&lt;=9,"Mid-age",qhkz_4dqm[[#This Row],[vehicle_age]]&lt;=19,"Older",qhkz_4dqm[[#This Row],[vehicle_age]]&gt;=20,"Very Old")</f>
        <v>Mid-age</v>
      </c>
    </row>
    <row r="605" spans="1:10">
      <c r="A605" s="2">
        <v>24089893</v>
      </c>
      <c r="B605" s="2">
        <v>2408989301</v>
      </c>
      <c r="C605" s="2">
        <v>1</v>
      </c>
      <c r="D605" s="2">
        <v>2014</v>
      </c>
      <c r="E605" s="2">
        <v>1</v>
      </c>
      <c r="F605" s="2">
        <v>0.6</v>
      </c>
      <c r="G605" s="2">
        <v>203.3</v>
      </c>
      <c r="H605" s="2" t="str">
        <f>VLOOKUP(qhkz_4dqm[[#This Row],[fuel_type]],lookup!A:B,2,FALSE)</f>
        <v>Gasoline</v>
      </c>
      <c r="I605" s="2">
        <f ca="1">YEAR(TODAY())-qhkz_4dqm[[#This Row],[year]]</f>
        <v>12</v>
      </c>
      <c r="J605" s="2" t="str" cm="1">
        <f t="array" aca="1" ref="J605" ca="1">_xlfn.IFS(qhkz_4dqm[[#This Row],[vehicle_age]]&lt;=3,"Newer",qhkz_4dqm[[#This Row],[vehicle_age]]&lt;=9,"Mid-age",qhkz_4dqm[[#This Row],[vehicle_age]]&lt;=19,"Older",qhkz_4dqm[[#This Row],[vehicle_age]]&gt;=20,"Very Old")</f>
        <v>Older</v>
      </c>
    </row>
    <row r="606" spans="1:10">
      <c r="A606" s="2">
        <v>24089938</v>
      </c>
      <c r="B606" s="2">
        <v>2408993801</v>
      </c>
      <c r="C606" s="2">
        <v>1</v>
      </c>
      <c r="D606" s="2">
        <v>2015</v>
      </c>
      <c r="E606" s="2">
        <v>1</v>
      </c>
      <c r="F606" s="2">
        <v>1509.63</v>
      </c>
      <c r="G606" s="2">
        <v>341.39</v>
      </c>
      <c r="H606" s="2" t="str">
        <f>VLOOKUP(qhkz_4dqm[[#This Row],[fuel_type]],lookup!A:B,2,FALSE)</f>
        <v>Gasoline</v>
      </c>
      <c r="I606" s="2">
        <f ca="1">YEAR(TODAY())-qhkz_4dqm[[#This Row],[year]]</f>
        <v>11</v>
      </c>
      <c r="J606" s="2" t="str" cm="1">
        <f t="array" aca="1" ref="J606" ca="1">_xlfn.IFS(qhkz_4dqm[[#This Row],[vehicle_age]]&lt;=3,"Newer",qhkz_4dqm[[#This Row],[vehicle_age]]&lt;=9,"Mid-age",qhkz_4dqm[[#This Row],[vehicle_age]]&lt;=19,"Older",qhkz_4dqm[[#This Row],[vehicle_age]]&gt;=20,"Very Old")</f>
        <v>Older</v>
      </c>
    </row>
    <row r="607" spans="1:10">
      <c r="A607" s="2">
        <v>24090079</v>
      </c>
      <c r="B607" s="2">
        <v>2409007901</v>
      </c>
      <c r="C607" s="2">
        <v>1</v>
      </c>
      <c r="D607" s="2">
        <v>2021</v>
      </c>
      <c r="E607" s="2">
        <v>2</v>
      </c>
      <c r="F607" s="2">
        <v>0.6</v>
      </c>
      <c r="G607" s="2">
        <v>319.77999999999997</v>
      </c>
      <c r="H607" s="2" t="str">
        <f>VLOOKUP(qhkz_4dqm[[#This Row],[fuel_type]],lookup!A:B,2,FALSE)</f>
        <v>Diesel</v>
      </c>
      <c r="I607" s="2">
        <f ca="1">YEAR(TODAY())-qhkz_4dqm[[#This Row],[year]]</f>
        <v>5</v>
      </c>
      <c r="J607" s="2" t="str" cm="1">
        <f t="array" aca="1" ref="J607" ca="1">_xlfn.IFS(qhkz_4dqm[[#This Row],[vehicle_age]]&lt;=3,"Newer",qhkz_4dqm[[#This Row],[vehicle_age]]&lt;=9,"Mid-age",qhkz_4dqm[[#This Row],[vehicle_age]]&lt;=19,"Older",qhkz_4dqm[[#This Row],[vehicle_age]]&gt;=20,"Very Old")</f>
        <v>Mid-age</v>
      </c>
    </row>
    <row r="608" spans="1:10">
      <c r="A608" s="2">
        <v>24090132</v>
      </c>
      <c r="B608" s="2">
        <v>2409013201</v>
      </c>
      <c r="C608" s="2">
        <v>1</v>
      </c>
      <c r="D608" s="2">
        <v>2014</v>
      </c>
      <c r="E608" s="2">
        <v>1</v>
      </c>
      <c r="F608" s="2">
        <v>1.2</v>
      </c>
      <c r="G608" s="2">
        <v>566.42999999999995</v>
      </c>
      <c r="H608" s="2" t="str">
        <f>VLOOKUP(qhkz_4dqm[[#This Row],[fuel_type]],lookup!A:B,2,FALSE)</f>
        <v>Gasoline</v>
      </c>
      <c r="I608" s="2">
        <f ca="1">YEAR(TODAY())-qhkz_4dqm[[#This Row],[year]]</f>
        <v>12</v>
      </c>
      <c r="J608" s="2" t="str" cm="1">
        <f t="array" aca="1" ref="J608" ca="1">_xlfn.IFS(qhkz_4dqm[[#This Row],[vehicle_age]]&lt;=3,"Newer",qhkz_4dqm[[#This Row],[vehicle_age]]&lt;=9,"Mid-age",qhkz_4dqm[[#This Row],[vehicle_age]]&lt;=19,"Older",qhkz_4dqm[[#This Row],[vehicle_age]]&gt;=20,"Very Old")</f>
        <v>Older</v>
      </c>
    </row>
    <row r="609" spans="1:10">
      <c r="A609" s="2">
        <v>24090273</v>
      </c>
      <c r="B609" s="2">
        <v>2409027301</v>
      </c>
      <c r="C609" s="2">
        <v>1</v>
      </c>
      <c r="D609" s="2">
        <v>2020</v>
      </c>
      <c r="E609" s="2">
        <v>1</v>
      </c>
      <c r="F609" s="2">
        <v>8.33</v>
      </c>
      <c r="G609" s="2">
        <v>346.82</v>
      </c>
      <c r="H609" s="2" t="str">
        <f>VLOOKUP(qhkz_4dqm[[#This Row],[fuel_type]],lookup!A:B,2,FALSE)</f>
        <v>Gasoline</v>
      </c>
      <c r="I609" s="2">
        <f ca="1">YEAR(TODAY())-qhkz_4dqm[[#This Row],[year]]</f>
        <v>6</v>
      </c>
      <c r="J609" s="2" t="str" cm="1">
        <f t="array" aca="1" ref="J609" ca="1">_xlfn.IFS(qhkz_4dqm[[#This Row],[vehicle_age]]&lt;=3,"Newer",qhkz_4dqm[[#This Row],[vehicle_age]]&lt;=9,"Mid-age",qhkz_4dqm[[#This Row],[vehicle_age]]&lt;=19,"Older",qhkz_4dqm[[#This Row],[vehicle_age]]&gt;=20,"Very Old")</f>
        <v>Mid-age</v>
      </c>
    </row>
    <row r="610" spans="1:10">
      <c r="A610" s="2">
        <v>24090350</v>
      </c>
      <c r="B610" s="2">
        <v>2409035001</v>
      </c>
      <c r="C610" s="2">
        <v>1</v>
      </c>
      <c r="D610" s="2">
        <v>2018</v>
      </c>
      <c r="E610" s="2">
        <v>1</v>
      </c>
      <c r="F610" s="2">
        <v>0.45</v>
      </c>
      <c r="G610" s="2">
        <v>366.64</v>
      </c>
      <c r="H610" s="2" t="str">
        <f>VLOOKUP(qhkz_4dqm[[#This Row],[fuel_type]],lookup!A:B,2,FALSE)</f>
        <v>Gasoline</v>
      </c>
      <c r="I610" s="2">
        <f ca="1">YEAR(TODAY())-qhkz_4dqm[[#This Row],[year]]</f>
        <v>8</v>
      </c>
      <c r="J610" s="2" t="str" cm="1">
        <f t="array" aca="1" ref="J610" ca="1">_xlfn.IFS(qhkz_4dqm[[#This Row],[vehicle_age]]&lt;=3,"Newer",qhkz_4dqm[[#This Row],[vehicle_age]]&lt;=9,"Mid-age",qhkz_4dqm[[#This Row],[vehicle_age]]&lt;=19,"Older",qhkz_4dqm[[#This Row],[vehicle_age]]&gt;=20,"Very Old")</f>
        <v>Mid-age</v>
      </c>
    </row>
    <row r="611" spans="1:10">
      <c r="A611" s="2">
        <v>24090421</v>
      </c>
      <c r="B611" s="2">
        <v>2409042101</v>
      </c>
      <c r="C611" s="2">
        <v>1</v>
      </c>
      <c r="D611" s="2">
        <v>2019</v>
      </c>
      <c r="E611" s="2">
        <v>1</v>
      </c>
      <c r="F611" s="2">
        <v>0.78</v>
      </c>
      <c r="G611" s="2">
        <v>356.27</v>
      </c>
      <c r="H611" s="2" t="str">
        <f>VLOOKUP(qhkz_4dqm[[#This Row],[fuel_type]],lookup!A:B,2,FALSE)</f>
        <v>Gasoline</v>
      </c>
      <c r="I611" s="2">
        <f ca="1">YEAR(TODAY())-qhkz_4dqm[[#This Row],[year]]</f>
        <v>7</v>
      </c>
      <c r="J611" s="2" t="str" cm="1">
        <f t="array" aca="1" ref="J611" ca="1">_xlfn.IFS(qhkz_4dqm[[#This Row],[vehicle_age]]&lt;=3,"Newer",qhkz_4dqm[[#This Row],[vehicle_age]]&lt;=9,"Mid-age",qhkz_4dqm[[#This Row],[vehicle_age]]&lt;=19,"Older",qhkz_4dqm[[#This Row],[vehicle_age]]&gt;=20,"Very Old")</f>
        <v>Mid-age</v>
      </c>
    </row>
    <row r="612" spans="1:10">
      <c r="A612" s="2">
        <v>24090429</v>
      </c>
      <c r="B612" s="2">
        <v>2409042901</v>
      </c>
      <c r="C612" s="2">
        <v>1</v>
      </c>
      <c r="D612" s="2">
        <v>2011</v>
      </c>
      <c r="E612" s="2">
        <v>1</v>
      </c>
      <c r="F612" s="2">
        <v>2.64</v>
      </c>
      <c r="G612" s="2">
        <v>665.29</v>
      </c>
      <c r="H612" s="2" t="str">
        <f>VLOOKUP(qhkz_4dqm[[#This Row],[fuel_type]],lookup!A:B,2,FALSE)</f>
        <v>Gasoline</v>
      </c>
      <c r="I612" s="2">
        <f ca="1">YEAR(TODAY())-qhkz_4dqm[[#This Row],[year]]</f>
        <v>15</v>
      </c>
      <c r="J612" s="2" t="str" cm="1">
        <f t="array" aca="1" ref="J612" ca="1">_xlfn.IFS(qhkz_4dqm[[#This Row],[vehicle_age]]&lt;=3,"Newer",qhkz_4dqm[[#This Row],[vehicle_age]]&lt;=9,"Mid-age",qhkz_4dqm[[#This Row],[vehicle_age]]&lt;=19,"Older",qhkz_4dqm[[#This Row],[vehicle_age]]&gt;=20,"Very Old")</f>
        <v>Older</v>
      </c>
    </row>
    <row r="613" spans="1:10">
      <c r="A613" s="2">
        <v>24090473</v>
      </c>
      <c r="B613" s="2">
        <v>2409047301</v>
      </c>
      <c r="C613" s="2">
        <v>1</v>
      </c>
      <c r="D613" s="2">
        <v>2018</v>
      </c>
      <c r="E613" s="2">
        <v>1</v>
      </c>
      <c r="F613" s="2">
        <v>0.6</v>
      </c>
      <c r="G613" s="2">
        <v>117.6</v>
      </c>
      <c r="H613" s="2" t="str">
        <f>VLOOKUP(qhkz_4dqm[[#This Row],[fuel_type]],lookup!A:B,2,FALSE)</f>
        <v>Gasoline</v>
      </c>
      <c r="I613" s="2">
        <f ca="1">YEAR(TODAY())-qhkz_4dqm[[#This Row],[year]]</f>
        <v>8</v>
      </c>
      <c r="J613" s="2" t="str" cm="1">
        <f t="array" aca="1" ref="J613" ca="1">_xlfn.IFS(qhkz_4dqm[[#This Row],[vehicle_age]]&lt;=3,"Newer",qhkz_4dqm[[#This Row],[vehicle_age]]&lt;=9,"Mid-age",qhkz_4dqm[[#This Row],[vehicle_age]]&lt;=19,"Older",qhkz_4dqm[[#This Row],[vehicle_age]]&gt;=20,"Very Old")</f>
        <v>Mid-age</v>
      </c>
    </row>
    <row r="614" spans="1:10">
      <c r="A614" s="2">
        <v>24090482</v>
      </c>
      <c r="B614" s="2">
        <v>2409048201</v>
      </c>
      <c r="C614" s="2">
        <v>1</v>
      </c>
      <c r="D614" s="2">
        <v>2018</v>
      </c>
      <c r="E614" s="2">
        <v>1</v>
      </c>
      <c r="F614" s="2">
        <v>0.6</v>
      </c>
      <c r="G614" s="2">
        <v>311.83</v>
      </c>
      <c r="H614" s="2" t="str">
        <f>VLOOKUP(qhkz_4dqm[[#This Row],[fuel_type]],lookup!A:B,2,FALSE)</f>
        <v>Gasoline</v>
      </c>
      <c r="I614" s="2">
        <f ca="1">YEAR(TODAY())-qhkz_4dqm[[#This Row],[year]]</f>
        <v>8</v>
      </c>
      <c r="J614" s="2" t="str" cm="1">
        <f t="array" aca="1" ref="J614" ca="1">_xlfn.IFS(qhkz_4dqm[[#This Row],[vehicle_age]]&lt;=3,"Newer",qhkz_4dqm[[#This Row],[vehicle_age]]&lt;=9,"Mid-age",qhkz_4dqm[[#This Row],[vehicle_age]]&lt;=19,"Older",qhkz_4dqm[[#This Row],[vehicle_age]]&gt;=20,"Very Old")</f>
        <v>Mid-age</v>
      </c>
    </row>
    <row r="615" spans="1:10">
      <c r="A615" s="2">
        <v>24090488</v>
      </c>
      <c r="B615" s="2">
        <v>2409048801</v>
      </c>
      <c r="C615" s="2">
        <v>1</v>
      </c>
      <c r="D615" s="2">
        <v>2013</v>
      </c>
      <c r="E615" s="2">
        <v>1</v>
      </c>
      <c r="F615" s="2">
        <v>0.6</v>
      </c>
      <c r="G615" s="2">
        <v>100.25</v>
      </c>
      <c r="H615" s="2" t="str">
        <f>VLOOKUP(qhkz_4dqm[[#This Row],[fuel_type]],lookup!A:B,2,FALSE)</f>
        <v>Gasoline</v>
      </c>
      <c r="I615" s="2">
        <f ca="1">YEAR(TODAY())-qhkz_4dqm[[#This Row],[year]]</f>
        <v>13</v>
      </c>
      <c r="J615" s="2" t="str" cm="1">
        <f t="array" aca="1" ref="J615" ca="1">_xlfn.IFS(qhkz_4dqm[[#This Row],[vehicle_age]]&lt;=3,"Newer",qhkz_4dqm[[#This Row],[vehicle_age]]&lt;=9,"Mid-age",qhkz_4dqm[[#This Row],[vehicle_age]]&lt;=19,"Older",qhkz_4dqm[[#This Row],[vehicle_age]]&gt;=20,"Very Old")</f>
        <v>Older</v>
      </c>
    </row>
    <row r="616" spans="1:10">
      <c r="A616" s="2">
        <v>24090546</v>
      </c>
      <c r="B616" s="2">
        <v>2409054601</v>
      </c>
      <c r="C616" s="2">
        <v>1</v>
      </c>
      <c r="D616" s="2">
        <v>2015</v>
      </c>
      <c r="E616" s="2">
        <v>1</v>
      </c>
      <c r="F616" s="2">
        <v>0.47</v>
      </c>
      <c r="G616" s="2">
        <v>194.94</v>
      </c>
      <c r="H616" s="2" t="str">
        <f>VLOOKUP(qhkz_4dqm[[#This Row],[fuel_type]],lookup!A:B,2,FALSE)</f>
        <v>Gasoline</v>
      </c>
      <c r="I616" s="2">
        <f ca="1">YEAR(TODAY())-qhkz_4dqm[[#This Row],[year]]</f>
        <v>11</v>
      </c>
      <c r="J616" s="2" t="str" cm="1">
        <f t="array" aca="1" ref="J616" ca="1">_xlfn.IFS(qhkz_4dqm[[#This Row],[vehicle_age]]&lt;=3,"Newer",qhkz_4dqm[[#This Row],[vehicle_age]]&lt;=9,"Mid-age",qhkz_4dqm[[#This Row],[vehicle_age]]&lt;=19,"Older",qhkz_4dqm[[#This Row],[vehicle_age]]&gt;=20,"Very Old")</f>
        <v>Older</v>
      </c>
    </row>
    <row r="617" spans="1:10">
      <c r="A617" s="2">
        <v>24090575</v>
      </c>
      <c r="B617" s="2">
        <v>2409057501</v>
      </c>
      <c r="C617" s="2">
        <v>1</v>
      </c>
      <c r="D617" s="2">
        <v>2007</v>
      </c>
      <c r="E617" s="2">
        <v>1</v>
      </c>
      <c r="F617" s="2">
        <v>1.2</v>
      </c>
      <c r="G617" s="2">
        <v>275</v>
      </c>
      <c r="H617" s="2" t="str">
        <f>VLOOKUP(qhkz_4dqm[[#This Row],[fuel_type]],lookup!A:B,2,FALSE)</f>
        <v>Gasoline</v>
      </c>
      <c r="I617" s="2">
        <f ca="1">YEAR(TODAY())-qhkz_4dqm[[#This Row],[year]]</f>
        <v>19</v>
      </c>
      <c r="J617" s="2" t="str" cm="1">
        <f t="array" aca="1" ref="J617" ca="1">_xlfn.IFS(qhkz_4dqm[[#This Row],[vehicle_age]]&lt;=3,"Newer",qhkz_4dqm[[#This Row],[vehicle_age]]&lt;=9,"Mid-age",qhkz_4dqm[[#This Row],[vehicle_age]]&lt;=19,"Older",qhkz_4dqm[[#This Row],[vehicle_age]]&gt;=20,"Very Old")</f>
        <v>Older</v>
      </c>
    </row>
    <row r="618" spans="1:10">
      <c r="A618" s="2">
        <v>24090587</v>
      </c>
      <c r="B618" s="2">
        <v>2409058701</v>
      </c>
      <c r="C618" s="2">
        <v>1</v>
      </c>
      <c r="D618" s="2">
        <v>2023</v>
      </c>
      <c r="E618" s="2">
        <v>1</v>
      </c>
      <c r="F618" s="2">
        <v>0.6</v>
      </c>
      <c r="G618" s="2">
        <v>640.15</v>
      </c>
      <c r="H618" s="2" t="str">
        <f>VLOOKUP(qhkz_4dqm[[#This Row],[fuel_type]],lookup!A:B,2,FALSE)</f>
        <v>Gasoline</v>
      </c>
      <c r="I618" s="2">
        <f ca="1">YEAR(TODAY())-qhkz_4dqm[[#This Row],[year]]</f>
        <v>3</v>
      </c>
      <c r="J618" s="2" t="str" cm="1">
        <f t="array" aca="1" ref="J618" ca="1">_xlfn.IFS(qhkz_4dqm[[#This Row],[vehicle_age]]&lt;=3,"Newer",qhkz_4dqm[[#This Row],[vehicle_age]]&lt;=9,"Mid-age",qhkz_4dqm[[#This Row],[vehicle_age]]&lt;=19,"Older",qhkz_4dqm[[#This Row],[vehicle_age]]&gt;=20,"Very Old")</f>
        <v>Newer</v>
      </c>
    </row>
    <row r="619" spans="1:10">
      <c r="A619" s="2">
        <v>24090696</v>
      </c>
      <c r="B619" s="2">
        <v>2409069601</v>
      </c>
      <c r="C619" s="2">
        <v>1</v>
      </c>
      <c r="D619" s="2">
        <v>2015</v>
      </c>
      <c r="E619" s="2">
        <v>1</v>
      </c>
      <c r="F619" s="2">
        <v>0.6</v>
      </c>
      <c r="G619" s="2">
        <v>477.94</v>
      </c>
      <c r="H619" s="2" t="str">
        <f>VLOOKUP(qhkz_4dqm[[#This Row],[fuel_type]],lookup!A:B,2,FALSE)</f>
        <v>Gasoline</v>
      </c>
      <c r="I619" s="2">
        <f ca="1">YEAR(TODAY())-qhkz_4dqm[[#This Row],[year]]</f>
        <v>11</v>
      </c>
      <c r="J619" s="2" t="str" cm="1">
        <f t="array" aca="1" ref="J619" ca="1">_xlfn.IFS(qhkz_4dqm[[#This Row],[vehicle_age]]&lt;=3,"Newer",qhkz_4dqm[[#This Row],[vehicle_age]]&lt;=9,"Mid-age",qhkz_4dqm[[#This Row],[vehicle_age]]&lt;=19,"Older",qhkz_4dqm[[#This Row],[vehicle_age]]&gt;=20,"Very Old")</f>
        <v>Older</v>
      </c>
    </row>
    <row r="620" spans="1:10">
      <c r="A620" s="2">
        <v>24090704</v>
      </c>
      <c r="B620" s="2">
        <v>2409070401</v>
      </c>
      <c r="C620" s="2">
        <v>1</v>
      </c>
      <c r="D620" s="2">
        <v>2017</v>
      </c>
      <c r="E620" s="2">
        <v>4</v>
      </c>
      <c r="F620" s="2">
        <v>3046.1</v>
      </c>
      <c r="G620" s="2">
        <v>329.83</v>
      </c>
      <c r="H620" s="2" t="str">
        <f>VLOOKUP(qhkz_4dqm[[#This Row],[fuel_type]],lookup!A:B,2,FALSE)</f>
        <v>Electric</v>
      </c>
      <c r="I620" s="2">
        <f ca="1">YEAR(TODAY())-qhkz_4dqm[[#This Row],[year]]</f>
        <v>9</v>
      </c>
      <c r="J620" s="2" t="str" cm="1">
        <f t="array" aca="1" ref="J620" ca="1">_xlfn.IFS(qhkz_4dqm[[#This Row],[vehicle_age]]&lt;=3,"Newer",qhkz_4dqm[[#This Row],[vehicle_age]]&lt;=9,"Mid-age",qhkz_4dqm[[#This Row],[vehicle_age]]&lt;=19,"Older",qhkz_4dqm[[#This Row],[vehicle_age]]&gt;=20,"Very Old")</f>
        <v>Mid-age</v>
      </c>
    </row>
    <row r="621" spans="1:10">
      <c r="A621" s="2">
        <v>24090952</v>
      </c>
      <c r="B621" s="2">
        <v>2409095201</v>
      </c>
      <c r="C621" s="2">
        <v>1</v>
      </c>
      <c r="D621" s="2">
        <v>2015</v>
      </c>
      <c r="E621" s="2">
        <v>1</v>
      </c>
      <c r="F621" s="2">
        <v>3044.12</v>
      </c>
      <c r="G621" s="2">
        <v>1417.56</v>
      </c>
      <c r="H621" s="2" t="str">
        <f>VLOOKUP(qhkz_4dqm[[#This Row],[fuel_type]],lookup!A:B,2,FALSE)</f>
        <v>Gasoline</v>
      </c>
      <c r="I621" s="2">
        <f ca="1">YEAR(TODAY())-qhkz_4dqm[[#This Row],[year]]</f>
        <v>11</v>
      </c>
      <c r="J621" s="2" t="str" cm="1">
        <f t="array" aca="1" ref="J621" ca="1">_xlfn.IFS(qhkz_4dqm[[#This Row],[vehicle_age]]&lt;=3,"Newer",qhkz_4dqm[[#This Row],[vehicle_age]]&lt;=9,"Mid-age",qhkz_4dqm[[#This Row],[vehicle_age]]&lt;=19,"Older",qhkz_4dqm[[#This Row],[vehicle_age]]&gt;=20,"Very Old")</f>
        <v>Older</v>
      </c>
    </row>
    <row r="622" spans="1:10">
      <c r="A622" s="2">
        <v>24091111</v>
      </c>
      <c r="B622" s="2">
        <v>2409111101</v>
      </c>
      <c r="C622" s="2">
        <v>1</v>
      </c>
      <c r="D622" s="2">
        <v>2020</v>
      </c>
      <c r="E622" s="2">
        <v>1</v>
      </c>
      <c r="F622" s="2">
        <v>4229.26</v>
      </c>
      <c r="G622" s="2">
        <v>2324.4899999999998</v>
      </c>
      <c r="H622" s="2" t="str">
        <f>VLOOKUP(qhkz_4dqm[[#This Row],[fuel_type]],lookup!A:B,2,FALSE)</f>
        <v>Gasoline</v>
      </c>
      <c r="I622" s="2">
        <f ca="1">YEAR(TODAY())-qhkz_4dqm[[#This Row],[year]]</f>
        <v>6</v>
      </c>
      <c r="J622" s="2" t="str" cm="1">
        <f t="array" aca="1" ref="J622" ca="1">_xlfn.IFS(qhkz_4dqm[[#This Row],[vehicle_age]]&lt;=3,"Newer",qhkz_4dqm[[#This Row],[vehicle_age]]&lt;=9,"Mid-age",qhkz_4dqm[[#This Row],[vehicle_age]]&lt;=19,"Older",qhkz_4dqm[[#This Row],[vehicle_age]]&gt;=20,"Very Old")</f>
        <v>Mid-age</v>
      </c>
    </row>
    <row r="623" spans="1:10">
      <c r="A623" s="2">
        <v>24091217</v>
      </c>
      <c r="B623" s="2">
        <v>2409121701</v>
      </c>
      <c r="C623" s="2">
        <v>1</v>
      </c>
      <c r="D623" s="2">
        <v>2015</v>
      </c>
      <c r="E623" s="2">
        <v>1</v>
      </c>
      <c r="F623" s="2">
        <v>726.58</v>
      </c>
      <c r="G623" s="2">
        <v>403.24</v>
      </c>
      <c r="H623" s="2" t="str">
        <f>VLOOKUP(qhkz_4dqm[[#This Row],[fuel_type]],lookup!A:B,2,FALSE)</f>
        <v>Gasoline</v>
      </c>
      <c r="I623" s="2">
        <f ca="1">YEAR(TODAY())-qhkz_4dqm[[#This Row],[year]]</f>
        <v>11</v>
      </c>
      <c r="J623" s="2" t="str" cm="1">
        <f t="array" aca="1" ref="J623" ca="1">_xlfn.IFS(qhkz_4dqm[[#This Row],[vehicle_age]]&lt;=3,"Newer",qhkz_4dqm[[#This Row],[vehicle_age]]&lt;=9,"Mid-age",qhkz_4dqm[[#This Row],[vehicle_age]]&lt;=19,"Older",qhkz_4dqm[[#This Row],[vehicle_age]]&gt;=20,"Very Old")</f>
        <v>Older</v>
      </c>
    </row>
    <row r="624" spans="1:10">
      <c r="A624" s="2">
        <v>24091261</v>
      </c>
      <c r="B624" s="2">
        <v>2409126101</v>
      </c>
      <c r="C624" s="2">
        <v>1</v>
      </c>
      <c r="D624" s="2">
        <v>2010</v>
      </c>
      <c r="E624" s="2">
        <v>1</v>
      </c>
      <c r="F624" s="2">
        <v>94.8</v>
      </c>
      <c r="G624" s="2">
        <v>312.51</v>
      </c>
      <c r="H624" s="2" t="str">
        <f>VLOOKUP(qhkz_4dqm[[#This Row],[fuel_type]],lookup!A:B,2,FALSE)</f>
        <v>Gasoline</v>
      </c>
      <c r="I624" s="2">
        <f ca="1">YEAR(TODAY())-qhkz_4dqm[[#This Row],[year]]</f>
        <v>16</v>
      </c>
      <c r="J624" s="2" t="str" cm="1">
        <f t="array" aca="1" ref="J624" ca="1">_xlfn.IFS(qhkz_4dqm[[#This Row],[vehicle_age]]&lt;=3,"Newer",qhkz_4dqm[[#This Row],[vehicle_age]]&lt;=9,"Mid-age",qhkz_4dqm[[#This Row],[vehicle_age]]&lt;=19,"Older",qhkz_4dqm[[#This Row],[vehicle_age]]&gt;=20,"Very Old")</f>
        <v>Older</v>
      </c>
    </row>
    <row r="625" spans="1:10">
      <c r="A625" s="2">
        <v>24091293</v>
      </c>
      <c r="B625" s="2">
        <v>2409129301</v>
      </c>
      <c r="C625" s="2">
        <v>1</v>
      </c>
      <c r="D625" s="2">
        <v>2022</v>
      </c>
      <c r="E625" s="2">
        <v>1</v>
      </c>
      <c r="F625" s="2">
        <v>0.6</v>
      </c>
      <c r="G625" s="2">
        <v>190.92</v>
      </c>
      <c r="H625" s="2" t="str">
        <f>VLOOKUP(qhkz_4dqm[[#This Row],[fuel_type]],lookup!A:B,2,FALSE)</f>
        <v>Gasoline</v>
      </c>
      <c r="I625" s="2">
        <f ca="1">YEAR(TODAY())-qhkz_4dqm[[#This Row],[year]]</f>
        <v>4</v>
      </c>
      <c r="J625" s="2" t="str" cm="1">
        <f t="array" aca="1" ref="J625" ca="1">_xlfn.IFS(qhkz_4dqm[[#This Row],[vehicle_age]]&lt;=3,"Newer",qhkz_4dqm[[#This Row],[vehicle_age]]&lt;=9,"Mid-age",qhkz_4dqm[[#This Row],[vehicle_age]]&lt;=19,"Older",qhkz_4dqm[[#This Row],[vehicle_age]]&gt;=20,"Very Old")</f>
        <v>Mid-age</v>
      </c>
    </row>
    <row r="626" spans="1:10">
      <c r="A626" s="2">
        <v>24091343</v>
      </c>
      <c r="B626" s="2">
        <v>2409134301</v>
      </c>
      <c r="C626" s="2">
        <v>1</v>
      </c>
      <c r="D626" s="2">
        <v>2010</v>
      </c>
      <c r="E626" s="2">
        <v>1</v>
      </c>
      <c r="F626" s="2">
        <v>0.6</v>
      </c>
      <c r="G626" s="2">
        <v>511.65</v>
      </c>
      <c r="H626" s="2" t="str">
        <f>VLOOKUP(qhkz_4dqm[[#This Row],[fuel_type]],lookup!A:B,2,FALSE)</f>
        <v>Gasoline</v>
      </c>
      <c r="I626" s="2">
        <f ca="1">YEAR(TODAY())-qhkz_4dqm[[#This Row],[year]]</f>
        <v>16</v>
      </c>
      <c r="J626" s="2" t="str" cm="1">
        <f t="array" aca="1" ref="J626" ca="1">_xlfn.IFS(qhkz_4dqm[[#This Row],[vehicle_age]]&lt;=3,"Newer",qhkz_4dqm[[#This Row],[vehicle_age]]&lt;=9,"Mid-age",qhkz_4dqm[[#This Row],[vehicle_age]]&lt;=19,"Older",qhkz_4dqm[[#This Row],[vehicle_age]]&gt;=20,"Very Old")</f>
        <v>Older</v>
      </c>
    </row>
    <row r="627" spans="1:10">
      <c r="A627" s="2">
        <v>24091360</v>
      </c>
      <c r="B627" s="2">
        <v>2409136001</v>
      </c>
      <c r="C627" s="2">
        <v>1</v>
      </c>
      <c r="D627" s="2">
        <v>2013</v>
      </c>
      <c r="E627" s="2">
        <v>1</v>
      </c>
      <c r="F627" s="2">
        <v>534.33000000000004</v>
      </c>
      <c r="G627" s="2">
        <v>805.5</v>
      </c>
      <c r="H627" s="2" t="str">
        <f>VLOOKUP(qhkz_4dqm[[#This Row],[fuel_type]],lookup!A:B,2,FALSE)</f>
        <v>Gasoline</v>
      </c>
      <c r="I627" s="2">
        <f ca="1">YEAR(TODAY())-qhkz_4dqm[[#This Row],[year]]</f>
        <v>13</v>
      </c>
      <c r="J627" s="2" t="str" cm="1">
        <f t="array" aca="1" ref="J627" ca="1">_xlfn.IFS(qhkz_4dqm[[#This Row],[vehicle_age]]&lt;=3,"Newer",qhkz_4dqm[[#This Row],[vehicle_age]]&lt;=9,"Mid-age",qhkz_4dqm[[#This Row],[vehicle_age]]&lt;=19,"Older",qhkz_4dqm[[#This Row],[vehicle_age]]&gt;=20,"Very Old")</f>
        <v>Older</v>
      </c>
    </row>
    <row r="628" spans="1:10">
      <c r="A628" s="2">
        <v>24091740</v>
      </c>
      <c r="B628" s="2">
        <v>2409174001</v>
      </c>
      <c r="C628" s="2">
        <v>1</v>
      </c>
      <c r="D628" s="2">
        <v>2020</v>
      </c>
      <c r="E628" s="2">
        <v>1</v>
      </c>
      <c r="F628" s="2">
        <v>394.91</v>
      </c>
      <c r="G628" s="2">
        <v>359.31</v>
      </c>
      <c r="H628" s="2" t="str">
        <f>VLOOKUP(qhkz_4dqm[[#This Row],[fuel_type]],lookup!A:B,2,FALSE)</f>
        <v>Gasoline</v>
      </c>
      <c r="I628" s="2">
        <f ca="1">YEAR(TODAY())-qhkz_4dqm[[#This Row],[year]]</f>
        <v>6</v>
      </c>
      <c r="J628" s="2" t="str" cm="1">
        <f t="array" aca="1" ref="J628" ca="1">_xlfn.IFS(qhkz_4dqm[[#This Row],[vehicle_age]]&lt;=3,"Newer",qhkz_4dqm[[#This Row],[vehicle_age]]&lt;=9,"Mid-age",qhkz_4dqm[[#This Row],[vehicle_age]]&lt;=19,"Older",qhkz_4dqm[[#This Row],[vehicle_age]]&gt;=20,"Very Old")</f>
        <v>Mid-age</v>
      </c>
    </row>
    <row r="629" spans="1:10">
      <c r="A629" s="2">
        <v>24091919</v>
      </c>
      <c r="B629" s="2">
        <v>2409191901</v>
      </c>
      <c r="C629" s="2">
        <v>1</v>
      </c>
      <c r="D629" s="2">
        <v>2008</v>
      </c>
      <c r="E629" s="2">
        <v>1</v>
      </c>
      <c r="F629" s="2">
        <v>0.6</v>
      </c>
      <c r="G629" s="2">
        <v>179.12</v>
      </c>
      <c r="H629" s="2" t="str">
        <f>VLOOKUP(qhkz_4dqm[[#This Row],[fuel_type]],lookup!A:B,2,FALSE)</f>
        <v>Gasoline</v>
      </c>
      <c r="I629" s="2">
        <f ca="1">YEAR(TODAY())-qhkz_4dqm[[#This Row],[year]]</f>
        <v>18</v>
      </c>
      <c r="J629" s="2" t="str" cm="1">
        <f t="array" aca="1" ref="J629" ca="1">_xlfn.IFS(qhkz_4dqm[[#This Row],[vehicle_age]]&lt;=3,"Newer",qhkz_4dqm[[#This Row],[vehicle_age]]&lt;=9,"Mid-age",qhkz_4dqm[[#This Row],[vehicle_age]]&lt;=19,"Older",qhkz_4dqm[[#This Row],[vehicle_age]]&gt;=20,"Very Old")</f>
        <v>Older</v>
      </c>
    </row>
    <row r="630" spans="1:10">
      <c r="A630" s="2">
        <v>24091948</v>
      </c>
      <c r="B630" s="2">
        <v>2409194801</v>
      </c>
      <c r="C630" s="2">
        <v>1</v>
      </c>
      <c r="D630" s="2">
        <v>2023</v>
      </c>
      <c r="E630" s="2">
        <v>1</v>
      </c>
      <c r="F630" s="2">
        <v>0.6</v>
      </c>
      <c r="G630" s="2">
        <v>109.66</v>
      </c>
      <c r="H630" s="2" t="str">
        <f>VLOOKUP(qhkz_4dqm[[#This Row],[fuel_type]],lookup!A:B,2,FALSE)</f>
        <v>Gasoline</v>
      </c>
      <c r="I630" s="2">
        <f ca="1">YEAR(TODAY())-qhkz_4dqm[[#This Row],[year]]</f>
        <v>3</v>
      </c>
      <c r="J630" s="2" t="str" cm="1">
        <f t="array" aca="1" ref="J630" ca="1">_xlfn.IFS(qhkz_4dqm[[#This Row],[vehicle_age]]&lt;=3,"Newer",qhkz_4dqm[[#This Row],[vehicle_age]]&lt;=9,"Mid-age",qhkz_4dqm[[#This Row],[vehicle_age]]&lt;=19,"Older",qhkz_4dqm[[#This Row],[vehicle_age]]&gt;=20,"Very Old")</f>
        <v>Newer</v>
      </c>
    </row>
    <row r="631" spans="1:10">
      <c r="A631" s="2">
        <v>24091984</v>
      </c>
      <c r="B631" s="2">
        <v>2409198401</v>
      </c>
      <c r="C631" s="2">
        <v>1</v>
      </c>
      <c r="D631" s="2">
        <v>2023</v>
      </c>
      <c r="E631" s="2">
        <v>1</v>
      </c>
      <c r="F631" s="2">
        <v>30.68</v>
      </c>
      <c r="G631" s="2">
        <v>388.42</v>
      </c>
      <c r="H631" s="2" t="str">
        <f>VLOOKUP(qhkz_4dqm[[#This Row],[fuel_type]],lookup!A:B,2,FALSE)</f>
        <v>Gasoline</v>
      </c>
      <c r="I631" s="2">
        <f ca="1">YEAR(TODAY())-qhkz_4dqm[[#This Row],[year]]</f>
        <v>3</v>
      </c>
      <c r="J631" s="2" t="str" cm="1">
        <f t="array" aca="1" ref="J631" ca="1">_xlfn.IFS(qhkz_4dqm[[#This Row],[vehicle_age]]&lt;=3,"Newer",qhkz_4dqm[[#This Row],[vehicle_age]]&lt;=9,"Mid-age",qhkz_4dqm[[#This Row],[vehicle_age]]&lt;=19,"Older",qhkz_4dqm[[#This Row],[vehicle_age]]&gt;=20,"Very Old")</f>
        <v>Newer</v>
      </c>
    </row>
    <row r="632" spans="1:10">
      <c r="A632" s="2">
        <v>24092305</v>
      </c>
      <c r="B632" s="2">
        <v>2409230501</v>
      </c>
      <c r="C632" s="2">
        <v>1</v>
      </c>
      <c r="D632" s="2">
        <v>2018</v>
      </c>
      <c r="E632" s="2">
        <v>1</v>
      </c>
      <c r="F632" s="2">
        <v>0.6</v>
      </c>
      <c r="G632" s="2">
        <v>358.07</v>
      </c>
      <c r="H632" s="2" t="str">
        <f>VLOOKUP(qhkz_4dqm[[#This Row],[fuel_type]],lookup!A:B,2,FALSE)</f>
        <v>Gasoline</v>
      </c>
      <c r="I632" s="2">
        <f ca="1">YEAR(TODAY())-qhkz_4dqm[[#This Row],[year]]</f>
        <v>8</v>
      </c>
      <c r="J632" s="2" t="str" cm="1">
        <f t="array" aca="1" ref="J632" ca="1">_xlfn.IFS(qhkz_4dqm[[#This Row],[vehicle_age]]&lt;=3,"Newer",qhkz_4dqm[[#This Row],[vehicle_age]]&lt;=9,"Mid-age",qhkz_4dqm[[#This Row],[vehicle_age]]&lt;=19,"Older",qhkz_4dqm[[#This Row],[vehicle_age]]&gt;=20,"Very Old")</f>
        <v>Mid-age</v>
      </c>
    </row>
    <row r="633" spans="1:10">
      <c r="A633" s="2">
        <v>24092435</v>
      </c>
      <c r="B633" s="2">
        <v>2409243501</v>
      </c>
      <c r="C633" s="2">
        <v>1</v>
      </c>
      <c r="D633" s="2">
        <v>2006</v>
      </c>
      <c r="E633" s="2">
        <v>1</v>
      </c>
      <c r="F633" s="2">
        <v>8.33</v>
      </c>
      <c r="G633" s="2">
        <v>169.4</v>
      </c>
      <c r="H633" s="2" t="str">
        <f>VLOOKUP(qhkz_4dqm[[#This Row],[fuel_type]],lookup!A:B,2,FALSE)</f>
        <v>Gasoline</v>
      </c>
      <c r="I633" s="2">
        <f ca="1">YEAR(TODAY())-qhkz_4dqm[[#This Row],[year]]</f>
        <v>20</v>
      </c>
      <c r="J633" s="2" t="str" cm="1">
        <f t="array" aca="1" ref="J633" ca="1">_xlfn.IFS(qhkz_4dqm[[#This Row],[vehicle_age]]&lt;=3,"Newer",qhkz_4dqm[[#This Row],[vehicle_age]]&lt;=9,"Mid-age",qhkz_4dqm[[#This Row],[vehicle_age]]&lt;=19,"Older",qhkz_4dqm[[#This Row],[vehicle_age]]&gt;=20,"Very Old")</f>
        <v>Very Old</v>
      </c>
    </row>
    <row r="634" spans="1:10">
      <c r="A634" s="2">
        <v>24092571</v>
      </c>
      <c r="B634" s="2">
        <v>2409257101</v>
      </c>
      <c r="C634" s="2">
        <v>1</v>
      </c>
      <c r="D634" s="2">
        <v>2012</v>
      </c>
      <c r="E634" s="2">
        <v>2</v>
      </c>
      <c r="F634" s="2">
        <v>798.77</v>
      </c>
      <c r="G634" s="2">
        <v>1058.8800000000001</v>
      </c>
      <c r="H634" s="2" t="str">
        <f>VLOOKUP(qhkz_4dqm[[#This Row],[fuel_type]],lookup!A:B,2,FALSE)</f>
        <v>Diesel</v>
      </c>
      <c r="I634" s="2">
        <f ca="1">YEAR(TODAY())-qhkz_4dqm[[#This Row],[year]]</f>
        <v>14</v>
      </c>
      <c r="J634" s="2" t="str" cm="1">
        <f t="array" aca="1" ref="J634" ca="1">_xlfn.IFS(qhkz_4dqm[[#This Row],[vehicle_age]]&lt;=3,"Newer",qhkz_4dqm[[#This Row],[vehicle_age]]&lt;=9,"Mid-age",qhkz_4dqm[[#This Row],[vehicle_age]]&lt;=19,"Older",qhkz_4dqm[[#This Row],[vehicle_age]]&gt;=20,"Very Old")</f>
        <v>Older</v>
      </c>
    </row>
    <row r="635" spans="1:10">
      <c r="A635" s="2">
        <v>24092683</v>
      </c>
      <c r="B635" s="2">
        <v>2409268301</v>
      </c>
      <c r="C635" s="2">
        <v>1</v>
      </c>
      <c r="D635" s="2">
        <v>2019</v>
      </c>
      <c r="E635" s="2">
        <v>1</v>
      </c>
      <c r="F635" s="2">
        <v>1.2</v>
      </c>
      <c r="G635" s="2">
        <v>198.08</v>
      </c>
      <c r="H635" s="2" t="str">
        <f>VLOOKUP(qhkz_4dqm[[#This Row],[fuel_type]],lookup!A:B,2,FALSE)</f>
        <v>Gasoline</v>
      </c>
      <c r="I635" s="2">
        <f ca="1">YEAR(TODAY())-qhkz_4dqm[[#This Row],[year]]</f>
        <v>7</v>
      </c>
      <c r="J635" s="2" t="str" cm="1">
        <f t="array" aca="1" ref="J635" ca="1">_xlfn.IFS(qhkz_4dqm[[#This Row],[vehicle_age]]&lt;=3,"Newer",qhkz_4dqm[[#This Row],[vehicle_age]]&lt;=9,"Mid-age",qhkz_4dqm[[#This Row],[vehicle_age]]&lt;=19,"Older",qhkz_4dqm[[#This Row],[vehicle_age]]&gt;=20,"Very Old")</f>
        <v>Mid-age</v>
      </c>
    </row>
    <row r="636" spans="1:10">
      <c r="A636" s="2">
        <v>24092798</v>
      </c>
      <c r="B636" s="2">
        <v>2409279801</v>
      </c>
      <c r="C636" s="2">
        <v>1</v>
      </c>
      <c r="D636" s="2">
        <v>2016</v>
      </c>
      <c r="E636" s="2">
        <v>1</v>
      </c>
      <c r="F636" s="2">
        <v>0.6</v>
      </c>
      <c r="G636" s="2">
        <v>311.83</v>
      </c>
      <c r="H636" s="2" t="str">
        <f>VLOOKUP(qhkz_4dqm[[#This Row],[fuel_type]],lookup!A:B,2,FALSE)</f>
        <v>Gasoline</v>
      </c>
      <c r="I636" s="2">
        <f ca="1">YEAR(TODAY())-qhkz_4dqm[[#This Row],[year]]</f>
        <v>10</v>
      </c>
      <c r="J636" s="2" t="str" cm="1">
        <f t="array" aca="1" ref="J636" ca="1">_xlfn.IFS(qhkz_4dqm[[#This Row],[vehicle_age]]&lt;=3,"Newer",qhkz_4dqm[[#This Row],[vehicle_age]]&lt;=9,"Mid-age",qhkz_4dqm[[#This Row],[vehicle_age]]&lt;=19,"Older",qhkz_4dqm[[#This Row],[vehicle_age]]&gt;=20,"Very Old")</f>
        <v>Older</v>
      </c>
    </row>
    <row r="637" spans="1:10">
      <c r="A637" s="2">
        <v>24092805</v>
      </c>
      <c r="B637" s="2">
        <v>2409280501</v>
      </c>
      <c r="C637" s="2">
        <v>1</v>
      </c>
      <c r="D637" s="2">
        <v>2023</v>
      </c>
      <c r="E637" s="2">
        <v>4</v>
      </c>
      <c r="F637" s="2">
        <v>25.77</v>
      </c>
      <c r="G637" s="2">
        <v>122.12</v>
      </c>
      <c r="H637" s="2" t="str">
        <f>VLOOKUP(qhkz_4dqm[[#This Row],[fuel_type]],lookup!A:B,2,FALSE)</f>
        <v>Electric</v>
      </c>
      <c r="I637" s="2">
        <f ca="1">YEAR(TODAY())-qhkz_4dqm[[#This Row],[year]]</f>
        <v>3</v>
      </c>
      <c r="J637" s="2" t="str" cm="1">
        <f t="array" aca="1" ref="J637" ca="1">_xlfn.IFS(qhkz_4dqm[[#This Row],[vehicle_age]]&lt;=3,"Newer",qhkz_4dqm[[#This Row],[vehicle_age]]&lt;=9,"Mid-age",qhkz_4dqm[[#This Row],[vehicle_age]]&lt;=19,"Older",qhkz_4dqm[[#This Row],[vehicle_age]]&gt;=20,"Very Old")</f>
        <v>Newer</v>
      </c>
    </row>
    <row r="638" spans="1:10">
      <c r="A638" s="2">
        <v>24092809</v>
      </c>
      <c r="B638" s="2">
        <v>2409280901</v>
      </c>
      <c r="C638" s="2">
        <v>1</v>
      </c>
      <c r="D638" s="2">
        <v>2017</v>
      </c>
      <c r="E638" s="2">
        <v>1</v>
      </c>
      <c r="F638" s="2">
        <v>1079.02</v>
      </c>
      <c r="G638" s="2">
        <v>616.57000000000005</v>
      </c>
      <c r="H638" s="2" t="str">
        <f>VLOOKUP(qhkz_4dqm[[#This Row],[fuel_type]],lookup!A:B,2,FALSE)</f>
        <v>Gasoline</v>
      </c>
      <c r="I638" s="2">
        <f ca="1">YEAR(TODAY())-qhkz_4dqm[[#This Row],[year]]</f>
        <v>9</v>
      </c>
      <c r="J638" s="2" t="str" cm="1">
        <f t="array" aca="1" ref="J638" ca="1">_xlfn.IFS(qhkz_4dqm[[#This Row],[vehicle_age]]&lt;=3,"Newer",qhkz_4dqm[[#This Row],[vehicle_age]]&lt;=9,"Mid-age",qhkz_4dqm[[#This Row],[vehicle_age]]&lt;=19,"Older",qhkz_4dqm[[#This Row],[vehicle_age]]&gt;=20,"Very Old")</f>
        <v>Mid-age</v>
      </c>
    </row>
    <row r="639" spans="1:10">
      <c r="A639" s="2">
        <v>24092847</v>
      </c>
      <c r="B639" s="2">
        <v>2409284701</v>
      </c>
      <c r="C639" s="2">
        <v>1</v>
      </c>
      <c r="D639" s="2">
        <v>2012</v>
      </c>
      <c r="E639" s="2">
        <v>1</v>
      </c>
      <c r="F639" s="2">
        <v>0.6</v>
      </c>
      <c r="G639" s="2">
        <v>86.58</v>
      </c>
      <c r="H639" s="2" t="str">
        <f>VLOOKUP(qhkz_4dqm[[#This Row],[fuel_type]],lookup!A:B,2,FALSE)</f>
        <v>Gasoline</v>
      </c>
      <c r="I639" s="2">
        <f ca="1">YEAR(TODAY())-qhkz_4dqm[[#This Row],[year]]</f>
        <v>14</v>
      </c>
      <c r="J639" s="2" t="str" cm="1">
        <f t="array" aca="1" ref="J639" ca="1">_xlfn.IFS(qhkz_4dqm[[#This Row],[vehicle_age]]&lt;=3,"Newer",qhkz_4dqm[[#This Row],[vehicle_age]]&lt;=9,"Mid-age",qhkz_4dqm[[#This Row],[vehicle_age]]&lt;=19,"Older",qhkz_4dqm[[#This Row],[vehicle_age]]&gt;=20,"Very Old")</f>
        <v>Older</v>
      </c>
    </row>
    <row r="640" spans="1:10">
      <c r="A640" s="2">
        <v>24092882</v>
      </c>
      <c r="B640" s="2">
        <v>2409288201</v>
      </c>
      <c r="C640" s="2">
        <v>1</v>
      </c>
      <c r="D640" s="2">
        <v>2010</v>
      </c>
      <c r="E640" s="2">
        <v>1</v>
      </c>
      <c r="F640" s="2">
        <v>0.4</v>
      </c>
      <c r="G640" s="2">
        <v>118.64</v>
      </c>
      <c r="H640" s="2" t="str">
        <f>VLOOKUP(qhkz_4dqm[[#This Row],[fuel_type]],lookup!A:B,2,FALSE)</f>
        <v>Gasoline</v>
      </c>
      <c r="I640" s="2">
        <f ca="1">YEAR(TODAY())-qhkz_4dqm[[#This Row],[year]]</f>
        <v>16</v>
      </c>
      <c r="J640" s="2" t="str" cm="1">
        <f t="array" aca="1" ref="J640" ca="1">_xlfn.IFS(qhkz_4dqm[[#This Row],[vehicle_age]]&lt;=3,"Newer",qhkz_4dqm[[#This Row],[vehicle_age]]&lt;=9,"Mid-age",qhkz_4dqm[[#This Row],[vehicle_age]]&lt;=19,"Older",qhkz_4dqm[[#This Row],[vehicle_age]]&gt;=20,"Very Old")</f>
        <v>Older</v>
      </c>
    </row>
    <row r="641" spans="1:10">
      <c r="A641" s="2">
        <v>24092926</v>
      </c>
      <c r="B641" s="2">
        <v>2409292601</v>
      </c>
      <c r="C641" s="2">
        <v>1</v>
      </c>
      <c r="D641" s="2">
        <v>2020</v>
      </c>
      <c r="E641" s="2">
        <v>1</v>
      </c>
      <c r="F641" s="2">
        <v>1658.85</v>
      </c>
      <c r="G641" s="2">
        <v>1714.89</v>
      </c>
      <c r="H641" s="2" t="str">
        <f>VLOOKUP(qhkz_4dqm[[#This Row],[fuel_type]],lookup!A:B,2,FALSE)</f>
        <v>Gasoline</v>
      </c>
      <c r="I641" s="2">
        <f ca="1">YEAR(TODAY())-qhkz_4dqm[[#This Row],[year]]</f>
        <v>6</v>
      </c>
      <c r="J641" s="2" t="str" cm="1">
        <f t="array" aca="1" ref="J641" ca="1">_xlfn.IFS(qhkz_4dqm[[#This Row],[vehicle_age]]&lt;=3,"Newer",qhkz_4dqm[[#This Row],[vehicle_age]]&lt;=9,"Mid-age",qhkz_4dqm[[#This Row],[vehicle_age]]&lt;=19,"Older",qhkz_4dqm[[#This Row],[vehicle_age]]&gt;=20,"Very Old")</f>
        <v>Mid-age</v>
      </c>
    </row>
    <row r="642" spans="1:10">
      <c r="A642" s="2">
        <v>24092927</v>
      </c>
      <c r="B642" s="2">
        <v>2409292701</v>
      </c>
      <c r="C642" s="2">
        <v>1</v>
      </c>
      <c r="D642" s="2">
        <v>2009</v>
      </c>
      <c r="E642" s="2">
        <v>1</v>
      </c>
      <c r="F642" s="2">
        <v>78.7</v>
      </c>
      <c r="G642" s="2">
        <v>1206.6199999999999</v>
      </c>
      <c r="H642" s="2" t="str">
        <f>VLOOKUP(qhkz_4dqm[[#This Row],[fuel_type]],lookup!A:B,2,FALSE)</f>
        <v>Gasoline</v>
      </c>
      <c r="I642" s="2">
        <f ca="1">YEAR(TODAY())-qhkz_4dqm[[#This Row],[year]]</f>
        <v>17</v>
      </c>
      <c r="J642" s="2" t="str" cm="1">
        <f t="array" aca="1" ref="J642" ca="1">_xlfn.IFS(qhkz_4dqm[[#This Row],[vehicle_age]]&lt;=3,"Newer",qhkz_4dqm[[#This Row],[vehicle_age]]&lt;=9,"Mid-age",qhkz_4dqm[[#This Row],[vehicle_age]]&lt;=19,"Older",qhkz_4dqm[[#This Row],[vehicle_age]]&gt;=20,"Very Old")</f>
        <v>Older</v>
      </c>
    </row>
    <row r="643" spans="1:10">
      <c r="A643" s="2">
        <v>24093002</v>
      </c>
      <c r="B643" s="2">
        <v>2409300201</v>
      </c>
      <c r="C643" s="2">
        <v>1</v>
      </c>
      <c r="D643" s="2">
        <v>2010</v>
      </c>
      <c r="E643" s="2">
        <v>1</v>
      </c>
      <c r="F643" s="2">
        <v>7.44</v>
      </c>
      <c r="G643" s="2">
        <v>260.64999999999998</v>
      </c>
      <c r="H643" s="2" t="str">
        <f>VLOOKUP(qhkz_4dqm[[#This Row],[fuel_type]],lookup!A:B,2,FALSE)</f>
        <v>Gasoline</v>
      </c>
      <c r="I643" s="2">
        <f ca="1">YEAR(TODAY())-qhkz_4dqm[[#This Row],[year]]</f>
        <v>16</v>
      </c>
      <c r="J643" s="2" t="str" cm="1">
        <f t="array" aca="1" ref="J643" ca="1">_xlfn.IFS(qhkz_4dqm[[#This Row],[vehicle_age]]&lt;=3,"Newer",qhkz_4dqm[[#This Row],[vehicle_age]]&lt;=9,"Mid-age",qhkz_4dqm[[#This Row],[vehicle_age]]&lt;=19,"Older",qhkz_4dqm[[#This Row],[vehicle_age]]&gt;=20,"Very Old")</f>
        <v>Older</v>
      </c>
    </row>
    <row r="644" spans="1:10">
      <c r="A644" s="2">
        <v>24093301</v>
      </c>
      <c r="B644" s="2">
        <v>2409330101</v>
      </c>
      <c r="C644" s="2">
        <v>1</v>
      </c>
      <c r="D644" s="2">
        <v>2020</v>
      </c>
      <c r="E644" s="2">
        <v>1</v>
      </c>
      <c r="F644" s="2">
        <v>5.95</v>
      </c>
      <c r="G644" s="2">
        <v>519.63</v>
      </c>
      <c r="H644" s="2" t="str">
        <f>VLOOKUP(qhkz_4dqm[[#This Row],[fuel_type]],lookup!A:B,2,FALSE)</f>
        <v>Gasoline</v>
      </c>
      <c r="I644" s="2">
        <f ca="1">YEAR(TODAY())-qhkz_4dqm[[#This Row],[year]]</f>
        <v>6</v>
      </c>
      <c r="J644" s="2" t="str" cm="1">
        <f t="array" aca="1" ref="J644" ca="1">_xlfn.IFS(qhkz_4dqm[[#This Row],[vehicle_age]]&lt;=3,"Newer",qhkz_4dqm[[#This Row],[vehicle_age]]&lt;=9,"Mid-age",qhkz_4dqm[[#This Row],[vehicle_age]]&lt;=19,"Older",qhkz_4dqm[[#This Row],[vehicle_age]]&gt;=20,"Very Old")</f>
        <v>Mid-age</v>
      </c>
    </row>
    <row r="645" spans="1:10">
      <c r="A645" s="2">
        <v>24093311</v>
      </c>
      <c r="B645" s="2">
        <v>2409331101</v>
      </c>
      <c r="C645" s="2">
        <v>1</v>
      </c>
      <c r="D645" s="2">
        <v>2007</v>
      </c>
      <c r="E645" s="2">
        <v>1</v>
      </c>
      <c r="F645" s="2">
        <v>1.2</v>
      </c>
      <c r="G645" s="2">
        <v>62.42</v>
      </c>
      <c r="H645" s="2" t="str">
        <f>VLOOKUP(qhkz_4dqm[[#This Row],[fuel_type]],lookup!A:B,2,FALSE)</f>
        <v>Gasoline</v>
      </c>
      <c r="I645" s="2">
        <f ca="1">YEAR(TODAY())-qhkz_4dqm[[#This Row],[year]]</f>
        <v>19</v>
      </c>
      <c r="J645" s="2" t="str" cm="1">
        <f t="array" aca="1" ref="J645" ca="1">_xlfn.IFS(qhkz_4dqm[[#This Row],[vehicle_age]]&lt;=3,"Newer",qhkz_4dqm[[#This Row],[vehicle_age]]&lt;=9,"Mid-age",qhkz_4dqm[[#This Row],[vehicle_age]]&lt;=19,"Older",qhkz_4dqm[[#This Row],[vehicle_age]]&gt;=20,"Very Old")</f>
        <v>Older</v>
      </c>
    </row>
    <row r="646" spans="1:10">
      <c r="A646" s="2">
        <v>24093399</v>
      </c>
      <c r="B646" s="2">
        <v>2409339901</v>
      </c>
      <c r="C646" s="2">
        <v>1</v>
      </c>
      <c r="D646" s="2">
        <v>2020</v>
      </c>
      <c r="E646" s="2">
        <v>1</v>
      </c>
      <c r="F646" s="2">
        <v>2030.13</v>
      </c>
      <c r="G646" s="2">
        <v>1172.32</v>
      </c>
      <c r="H646" s="2" t="str">
        <f>VLOOKUP(qhkz_4dqm[[#This Row],[fuel_type]],lookup!A:B,2,FALSE)</f>
        <v>Gasoline</v>
      </c>
      <c r="I646" s="2">
        <f ca="1">YEAR(TODAY())-qhkz_4dqm[[#This Row],[year]]</f>
        <v>6</v>
      </c>
      <c r="J646" s="2" t="str" cm="1">
        <f t="array" aca="1" ref="J646" ca="1">_xlfn.IFS(qhkz_4dqm[[#This Row],[vehicle_age]]&lt;=3,"Newer",qhkz_4dqm[[#This Row],[vehicle_age]]&lt;=9,"Mid-age",qhkz_4dqm[[#This Row],[vehicle_age]]&lt;=19,"Older",qhkz_4dqm[[#This Row],[vehicle_age]]&gt;=20,"Very Old")</f>
        <v>Mid-age</v>
      </c>
    </row>
    <row r="647" spans="1:10">
      <c r="A647" s="2">
        <v>24093451</v>
      </c>
      <c r="B647" s="2">
        <v>2409345101</v>
      </c>
      <c r="C647" s="2">
        <v>1</v>
      </c>
      <c r="D647" s="2">
        <v>2015</v>
      </c>
      <c r="E647" s="2">
        <v>1</v>
      </c>
      <c r="F647" s="2">
        <v>1.2</v>
      </c>
      <c r="G647" s="2">
        <v>535.44000000000005</v>
      </c>
      <c r="H647" s="2" t="str">
        <f>VLOOKUP(qhkz_4dqm[[#This Row],[fuel_type]],lookup!A:B,2,FALSE)</f>
        <v>Gasoline</v>
      </c>
      <c r="I647" s="2">
        <f ca="1">YEAR(TODAY())-qhkz_4dqm[[#This Row],[year]]</f>
        <v>11</v>
      </c>
      <c r="J647" s="2" t="str" cm="1">
        <f t="array" aca="1" ref="J647" ca="1">_xlfn.IFS(qhkz_4dqm[[#This Row],[vehicle_age]]&lt;=3,"Newer",qhkz_4dqm[[#This Row],[vehicle_age]]&lt;=9,"Mid-age",qhkz_4dqm[[#This Row],[vehicle_age]]&lt;=19,"Older",qhkz_4dqm[[#This Row],[vehicle_age]]&gt;=20,"Very Old")</f>
        <v>Older</v>
      </c>
    </row>
    <row r="648" spans="1:10">
      <c r="A648" s="2">
        <v>24093646</v>
      </c>
      <c r="B648" s="2">
        <v>2409364601</v>
      </c>
      <c r="C648" s="2">
        <v>1</v>
      </c>
      <c r="D648" s="2">
        <v>2009</v>
      </c>
      <c r="E648" s="2">
        <v>1</v>
      </c>
      <c r="F648" s="2">
        <v>513.85</v>
      </c>
      <c r="G648" s="2">
        <v>488.59</v>
      </c>
      <c r="H648" s="2" t="str">
        <f>VLOOKUP(qhkz_4dqm[[#This Row],[fuel_type]],lookup!A:B,2,FALSE)</f>
        <v>Gasoline</v>
      </c>
      <c r="I648" s="2">
        <f ca="1">YEAR(TODAY())-qhkz_4dqm[[#This Row],[year]]</f>
        <v>17</v>
      </c>
      <c r="J648" s="2" t="str" cm="1">
        <f t="array" aca="1" ref="J648" ca="1">_xlfn.IFS(qhkz_4dqm[[#This Row],[vehicle_age]]&lt;=3,"Newer",qhkz_4dqm[[#This Row],[vehicle_age]]&lt;=9,"Mid-age",qhkz_4dqm[[#This Row],[vehicle_age]]&lt;=19,"Older",qhkz_4dqm[[#This Row],[vehicle_age]]&gt;=20,"Very Old")</f>
        <v>Older</v>
      </c>
    </row>
    <row r="649" spans="1:10">
      <c r="A649" s="2">
        <v>24093674</v>
      </c>
      <c r="B649" s="2">
        <v>2409367401</v>
      </c>
      <c r="C649" s="2">
        <v>1</v>
      </c>
      <c r="D649" s="2">
        <v>2019</v>
      </c>
      <c r="E649" s="2">
        <v>1</v>
      </c>
      <c r="F649" s="2">
        <v>0.6</v>
      </c>
      <c r="G649" s="2">
        <v>292.33999999999997</v>
      </c>
      <c r="H649" s="2" t="str">
        <f>VLOOKUP(qhkz_4dqm[[#This Row],[fuel_type]],lookup!A:B,2,FALSE)</f>
        <v>Gasoline</v>
      </c>
      <c r="I649" s="2">
        <f ca="1">YEAR(TODAY())-qhkz_4dqm[[#This Row],[year]]</f>
        <v>7</v>
      </c>
      <c r="J649" s="2" t="str" cm="1">
        <f t="array" aca="1" ref="J649" ca="1">_xlfn.IFS(qhkz_4dqm[[#This Row],[vehicle_age]]&lt;=3,"Newer",qhkz_4dqm[[#This Row],[vehicle_age]]&lt;=9,"Mid-age",qhkz_4dqm[[#This Row],[vehicle_age]]&lt;=19,"Older",qhkz_4dqm[[#This Row],[vehicle_age]]&gt;=20,"Very Old")</f>
        <v>Mid-age</v>
      </c>
    </row>
    <row r="650" spans="1:10">
      <c r="A650" s="2">
        <v>24093682</v>
      </c>
      <c r="B650" s="2">
        <v>2409368201</v>
      </c>
      <c r="C650" s="2">
        <v>1</v>
      </c>
      <c r="D650" s="2">
        <v>2019</v>
      </c>
      <c r="E650" s="2">
        <v>1</v>
      </c>
      <c r="F650" s="2">
        <v>3045.86</v>
      </c>
      <c r="G650" s="2">
        <v>951.29</v>
      </c>
      <c r="H650" s="2" t="str">
        <f>VLOOKUP(qhkz_4dqm[[#This Row],[fuel_type]],lookup!A:B,2,FALSE)</f>
        <v>Gasoline</v>
      </c>
      <c r="I650" s="2">
        <f ca="1">YEAR(TODAY())-qhkz_4dqm[[#This Row],[year]]</f>
        <v>7</v>
      </c>
      <c r="J650" s="2" t="str" cm="1">
        <f t="array" aca="1" ref="J650" ca="1">_xlfn.IFS(qhkz_4dqm[[#This Row],[vehicle_age]]&lt;=3,"Newer",qhkz_4dqm[[#This Row],[vehicle_age]]&lt;=9,"Mid-age",qhkz_4dqm[[#This Row],[vehicle_age]]&lt;=19,"Older",qhkz_4dqm[[#This Row],[vehicle_age]]&gt;=20,"Very Old")</f>
        <v>Mid-age</v>
      </c>
    </row>
    <row r="651" spans="1:10">
      <c r="A651" s="2">
        <v>24093701</v>
      </c>
      <c r="B651" s="2">
        <v>2409370101</v>
      </c>
      <c r="C651" s="2">
        <v>1</v>
      </c>
      <c r="D651" s="2">
        <v>2020</v>
      </c>
      <c r="E651" s="2">
        <v>1</v>
      </c>
      <c r="F651" s="2">
        <v>763.29</v>
      </c>
      <c r="G651" s="2">
        <v>617.54</v>
      </c>
      <c r="H651" s="2" t="str">
        <f>VLOOKUP(qhkz_4dqm[[#This Row],[fuel_type]],lookup!A:B,2,FALSE)</f>
        <v>Gasoline</v>
      </c>
      <c r="I651" s="2">
        <f ca="1">YEAR(TODAY())-qhkz_4dqm[[#This Row],[year]]</f>
        <v>6</v>
      </c>
      <c r="J651" s="2" t="str" cm="1">
        <f t="array" aca="1" ref="J651" ca="1">_xlfn.IFS(qhkz_4dqm[[#This Row],[vehicle_age]]&lt;=3,"Newer",qhkz_4dqm[[#This Row],[vehicle_age]]&lt;=9,"Mid-age",qhkz_4dqm[[#This Row],[vehicle_age]]&lt;=19,"Older",qhkz_4dqm[[#This Row],[vehicle_age]]&gt;=20,"Very Old")</f>
        <v>Mid-age</v>
      </c>
    </row>
    <row r="652" spans="1:10">
      <c r="A652" s="2">
        <v>24093792</v>
      </c>
      <c r="B652" s="2">
        <v>2409379201</v>
      </c>
      <c r="C652" s="2">
        <v>1</v>
      </c>
      <c r="D652" s="2">
        <v>2021</v>
      </c>
      <c r="E652" s="2">
        <v>1</v>
      </c>
      <c r="F652" s="2">
        <v>1522.18</v>
      </c>
      <c r="G652" s="2">
        <v>300.49</v>
      </c>
      <c r="H652" s="2" t="str">
        <f>VLOOKUP(qhkz_4dqm[[#This Row],[fuel_type]],lookup!A:B,2,FALSE)</f>
        <v>Gasoline</v>
      </c>
      <c r="I652" s="2">
        <f ca="1">YEAR(TODAY())-qhkz_4dqm[[#This Row],[year]]</f>
        <v>5</v>
      </c>
      <c r="J652" s="2" t="str" cm="1">
        <f t="array" aca="1" ref="J652" ca="1">_xlfn.IFS(qhkz_4dqm[[#This Row],[vehicle_age]]&lt;=3,"Newer",qhkz_4dqm[[#This Row],[vehicle_age]]&lt;=9,"Mid-age",qhkz_4dqm[[#This Row],[vehicle_age]]&lt;=19,"Older",qhkz_4dqm[[#This Row],[vehicle_age]]&gt;=20,"Very Old")</f>
        <v>Mid-age</v>
      </c>
    </row>
    <row r="653" spans="1:10">
      <c r="A653" s="2">
        <v>24093879</v>
      </c>
      <c r="B653" s="2">
        <v>2409387901</v>
      </c>
      <c r="C653" s="2">
        <v>1</v>
      </c>
      <c r="D653" s="2">
        <v>2011</v>
      </c>
      <c r="E653" s="2">
        <v>1</v>
      </c>
      <c r="F653" s="2">
        <v>0.6</v>
      </c>
      <c r="G653" s="2">
        <v>347.42</v>
      </c>
      <c r="H653" s="2" t="str">
        <f>VLOOKUP(qhkz_4dqm[[#This Row],[fuel_type]],lookup!A:B,2,FALSE)</f>
        <v>Gasoline</v>
      </c>
      <c r="I653" s="2">
        <f ca="1">YEAR(TODAY())-qhkz_4dqm[[#This Row],[year]]</f>
        <v>15</v>
      </c>
      <c r="J653" s="2" t="str" cm="1">
        <f t="array" aca="1" ref="J653" ca="1">_xlfn.IFS(qhkz_4dqm[[#This Row],[vehicle_age]]&lt;=3,"Newer",qhkz_4dqm[[#This Row],[vehicle_age]]&lt;=9,"Mid-age",qhkz_4dqm[[#This Row],[vehicle_age]]&lt;=19,"Older",qhkz_4dqm[[#This Row],[vehicle_age]]&gt;=20,"Very Old")</f>
        <v>Older</v>
      </c>
    </row>
    <row r="654" spans="1:10">
      <c r="A654" s="2">
        <v>24093885</v>
      </c>
      <c r="B654" s="2">
        <v>2409388501</v>
      </c>
      <c r="C654" s="2">
        <v>1</v>
      </c>
      <c r="D654" s="2">
        <v>2007</v>
      </c>
      <c r="E654" s="2">
        <v>1</v>
      </c>
      <c r="F654" s="2">
        <v>200.18</v>
      </c>
      <c r="G654" s="2">
        <v>853.84</v>
      </c>
      <c r="H654" s="2" t="str">
        <f>VLOOKUP(qhkz_4dqm[[#This Row],[fuel_type]],lookup!A:B,2,FALSE)</f>
        <v>Gasoline</v>
      </c>
      <c r="I654" s="2">
        <f ca="1">YEAR(TODAY())-qhkz_4dqm[[#This Row],[year]]</f>
        <v>19</v>
      </c>
      <c r="J654" s="2" t="str" cm="1">
        <f t="array" aca="1" ref="J654" ca="1">_xlfn.IFS(qhkz_4dqm[[#This Row],[vehicle_age]]&lt;=3,"Newer",qhkz_4dqm[[#This Row],[vehicle_age]]&lt;=9,"Mid-age",qhkz_4dqm[[#This Row],[vehicle_age]]&lt;=19,"Older",qhkz_4dqm[[#This Row],[vehicle_age]]&gt;=20,"Very Old")</f>
        <v>Older</v>
      </c>
    </row>
    <row r="655" spans="1:10">
      <c r="A655" s="2">
        <v>24093893</v>
      </c>
      <c r="B655" s="2">
        <v>2409389301</v>
      </c>
      <c r="C655" s="2">
        <v>1</v>
      </c>
      <c r="D655" s="2">
        <v>2019</v>
      </c>
      <c r="E655" s="2">
        <v>1</v>
      </c>
      <c r="F655" s="2">
        <v>563.41</v>
      </c>
      <c r="G655" s="2">
        <v>390.66</v>
      </c>
      <c r="H655" s="2" t="str">
        <f>VLOOKUP(qhkz_4dqm[[#This Row],[fuel_type]],lookup!A:B,2,FALSE)</f>
        <v>Gasoline</v>
      </c>
      <c r="I655" s="2">
        <f ca="1">YEAR(TODAY())-qhkz_4dqm[[#This Row],[year]]</f>
        <v>7</v>
      </c>
      <c r="J655" s="2" t="str" cm="1">
        <f t="array" aca="1" ref="J655" ca="1">_xlfn.IFS(qhkz_4dqm[[#This Row],[vehicle_age]]&lt;=3,"Newer",qhkz_4dqm[[#This Row],[vehicle_age]]&lt;=9,"Mid-age",qhkz_4dqm[[#This Row],[vehicle_age]]&lt;=19,"Older",qhkz_4dqm[[#This Row],[vehicle_age]]&gt;=20,"Very Old")</f>
        <v>Mid-age</v>
      </c>
    </row>
    <row r="656" spans="1:10">
      <c r="A656" s="2">
        <v>24093898</v>
      </c>
      <c r="B656" s="2">
        <v>2409389801</v>
      </c>
      <c r="C656" s="2">
        <v>1</v>
      </c>
      <c r="D656" s="2">
        <v>2019</v>
      </c>
      <c r="E656" s="2">
        <v>1</v>
      </c>
      <c r="F656" s="2">
        <v>1.21</v>
      </c>
      <c r="G656" s="2">
        <v>210.66</v>
      </c>
      <c r="H656" s="2" t="str">
        <f>VLOOKUP(qhkz_4dqm[[#This Row],[fuel_type]],lookup!A:B,2,FALSE)</f>
        <v>Gasoline</v>
      </c>
      <c r="I656" s="2">
        <f ca="1">YEAR(TODAY())-qhkz_4dqm[[#This Row],[year]]</f>
        <v>7</v>
      </c>
      <c r="J656" s="2" t="str" cm="1">
        <f t="array" aca="1" ref="J656" ca="1">_xlfn.IFS(qhkz_4dqm[[#This Row],[vehicle_age]]&lt;=3,"Newer",qhkz_4dqm[[#This Row],[vehicle_age]]&lt;=9,"Mid-age",qhkz_4dqm[[#This Row],[vehicle_age]]&lt;=19,"Older",qhkz_4dqm[[#This Row],[vehicle_age]]&gt;=20,"Very Old")</f>
        <v>Mid-age</v>
      </c>
    </row>
    <row r="657" spans="1:10">
      <c r="A657" s="2">
        <v>24094005</v>
      </c>
      <c r="B657" s="2">
        <v>2409400501</v>
      </c>
      <c r="C657" s="2">
        <v>1</v>
      </c>
      <c r="D657" s="2">
        <v>2023</v>
      </c>
      <c r="E657" s="2">
        <v>1</v>
      </c>
      <c r="F657" s="2">
        <v>2030.79</v>
      </c>
      <c r="G657" s="2">
        <v>1997.85</v>
      </c>
      <c r="H657" s="2" t="str">
        <f>VLOOKUP(qhkz_4dqm[[#This Row],[fuel_type]],lookup!A:B,2,FALSE)</f>
        <v>Gasoline</v>
      </c>
      <c r="I657" s="2">
        <f ca="1">YEAR(TODAY())-qhkz_4dqm[[#This Row],[year]]</f>
        <v>3</v>
      </c>
      <c r="J657" s="2" t="str" cm="1">
        <f t="array" aca="1" ref="J657" ca="1">_xlfn.IFS(qhkz_4dqm[[#This Row],[vehicle_age]]&lt;=3,"Newer",qhkz_4dqm[[#This Row],[vehicle_age]]&lt;=9,"Mid-age",qhkz_4dqm[[#This Row],[vehicle_age]]&lt;=19,"Older",qhkz_4dqm[[#This Row],[vehicle_age]]&gt;=20,"Very Old")</f>
        <v>Newer</v>
      </c>
    </row>
    <row r="658" spans="1:10">
      <c r="A658" s="2">
        <v>24094118</v>
      </c>
      <c r="B658" s="2">
        <v>2409411801</v>
      </c>
      <c r="C658" s="2">
        <v>1</v>
      </c>
      <c r="D658" s="2">
        <v>2005</v>
      </c>
      <c r="E658" s="2">
        <v>1</v>
      </c>
      <c r="F658" s="2">
        <v>0.6</v>
      </c>
      <c r="G658" s="2">
        <v>347.42</v>
      </c>
      <c r="H658" s="2" t="str">
        <f>VLOOKUP(qhkz_4dqm[[#This Row],[fuel_type]],lookup!A:B,2,FALSE)</f>
        <v>Gasoline</v>
      </c>
      <c r="I658" s="2">
        <f ca="1">YEAR(TODAY())-qhkz_4dqm[[#This Row],[year]]</f>
        <v>21</v>
      </c>
      <c r="J658" s="2" t="str" cm="1">
        <f t="array" aca="1" ref="J658" ca="1">_xlfn.IFS(qhkz_4dqm[[#This Row],[vehicle_age]]&lt;=3,"Newer",qhkz_4dqm[[#This Row],[vehicle_age]]&lt;=9,"Mid-age",qhkz_4dqm[[#This Row],[vehicle_age]]&lt;=19,"Older",qhkz_4dqm[[#This Row],[vehicle_age]]&gt;=20,"Very Old")</f>
        <v>Very Old</v>
      </c>
    </row>
    <row r="659" spans="1:10">
      <c r="A659" s="2">
        <v>24094180</v>
      </c>
      <c r="B659" s="2">
        <v>2409418001</v>
      </c>
      <c r="C659" s="2">
        <v>1</v>
      </c>
      <c r="D659" s="2">
        <v>2012</v>
      </c>
      <c r="E659" s="2">
        <v>1</v>
      </c>
      <c r="F659" s="2">
        <v>0.6</v>
      </c>
      <c r="G659" s="2">
        <v>347.42</v>
      </c>
      <c r="H659" s="2" t="str">
        <f>VLOOKUP(qhkz_4dqm[[#This Row],[fuel_type]],lookup!A:B,2,FALSE)</f>
        <v>Gasoline</v>
      </c>
      <c r="I659" s="2">
        <f ca="1">YEAR(TODAY())-qhkz_4dqm[[#This Row],[year]]</f>
        <v>14</v>
      </c>
      <c r="J659" s="2" t="str" cm="1">
        <f t="array" aca="1" ref="J659" ca="1">_xlfn.IFS(qhkz_4dqm[[#This Row],[vehicle_age]]&lt;=3,"Newer",qhkz_4dqm[[#This Row],[vehicle_age]]&lt;=9,"Mid-age",qhkz_4dqm[[#This Row],[vehicle_age]]&lt;=19,"Older",qhkz_4dqm[[#This Row],[vehicle_age]]&gt;=20,"Very Old")</f>
        <v>Older</v>
      </c>
    </row>
    <row r="660" spans="1:10">
      <c r="A660" s="2">
        <v>24094290</v>
      </c>
      <c r="B660" s="2">
        <v>2409429001</v>
      </c>
      <c r="C660" s="2">
        <v>1</v>
      </c>
      <c r="D660" s="2">
        <v>2023</v>
      </c>
      <c r="E660" s="2">
        <v>2</v>
      </c>
      <c r="F660" s="2">
        <v>1.54</v>
      </c>
      <c r="G660" s="2">
        <v>329.42</v>
      </c>
      <c r="H660" s="2" t="str">
        <f>VLOOKUP(qhkz_4dqm[[#This Row],[fuel_type]],lookup!A:B,2,FALSE)</f>
        <v>Diesel</v>
      </c>
      <c r="I660" s="2">
        <f ca="1">YEAR(TODAY())-qhkz_4dqm[[#This Row],[year]]</f>
        <v>3</v>
      </c>
      <c r="J660" s="2" t="str" cm="1">
        <f t="array" aca="1" ref="J660" ca="1">_xlfn.IFS(qhkz_4dqm[[#This Row],[vehicle_age]]&lt;=3,"Newer",qhkz_4dqm[[#This Row],[vehicle_age]]&lt;=9,"Mid-age",qhkz_4dqm[[#This Row],[vehicle_age]]&lt;=19,"Older",qhkz_4dqm[[#This Row],[vehicle_age]]&gt;=20,"Very Old")</f>
        <v>Newer</v>
      </c>
    </row>
    <row r="661" spans="1:10">
      <c r="A661" s="2">
        <v>24094393</v>
      </c>
      <c r="B661" s="2">
        <v>2409439301</v>
      </c>
      <c r="C661" s="2">
        <v>1</v>
      </c>
      <c r="D661" s="2">
        <v>2018</v>
      </c>
      <c r="E661" s="2">
        <v>1</v>
      </c>
      <c r="F661" s="2">
        <v>1.21</v>
      </c>
      <c r="G661" s="2">
        <v>226.87</v>
      </c>
      <c r="H661" s="2" t="str">
        <f>VLOOKUP(qhkz_4dqm[[#This Row],[fuel_type]],lookup!A:B,2,FALSE)</f>
        <v>Gasoline</v>
      </c>
      <c r="I661" s="2">
        <f ca="1">YEAR(TODAY())-qhkz_4dqm[[#This Row],[year]]</f>
        <v>8</v>
      </c>
      <c r="J661" s="2" t="str" cm="1">
        <f t="array" aca="1" ref="J661" ca="1">_xlfn.IFS(qhkz_4dqm[[#This Row],[vehicle_age]]&lt;=3,"Newer",qhkz_4dqm[[#This Row],[vehicle_age]]&lt;=9,"Mid-age",qhkz_4dqm[[#This Row],[vehicle_age]]&lt;=19,"Older",qhkz_4dqm[[#This Row],[vehicle_age]]&gt;=20,"Very Old")</f>
        <v>Mid-age</v>
      </c>
    </row>
    <row r="662" spans="1:10">
      <c r="A662" s="2">
        <v>24094422</v>
      </c>
      <c r="B662" s="2">
        <v>2409442201</v>
      </c>
      <c r="C662" s="2">
        <v>1</v>
      </c>
      <c r="D662" s="2">
        <v>2000</v>
      </c>
      <c r="E662" s="2">
        <v>1</v>
      </c>
      <c r="F662" s="2">
        <v>0.4</v>
      </c>
      <c r="G662" s="2">
        <v>162.02000000000001</v>
      </c>
      <c r="H662" s="2" t="str">
        <f>VLOOKUP(qhkz_4dqm[[#This Row],[fuel_type]],lookup!A:B,2,FALSE)</f>
        <v>Gasoline</v>
      </c>
      <c r="I662" s="2">
        <f ca="1">YEAR(TODAY())-qhkz_4dqm[[#This Row],[year]]</f>
        <v>26</v>
      </c>
      <c r="J662" s="2" t="str" cm="1">
        <f t="array" aca="1" ref="J662" ca="1">_xlfn.IFS(qhkz_4dqm[[#This Row],[vehicle_age]]&lt;=3,"Newer",qhkz_4dqm[[#This Row],[vehicle_age]]&lt;=9,"Mid-age",qhkz_4dqm[[#This Row],[vehicle_age]]&lt;=19,"Older",qhkz_4dqm[[#This Row],[vehicle_age]]&gt;=20,"Very Old")</f>
        <v>Very Old</v>
      </c>
    </row>
    <row r="663" spans="1:10">
      <c r="A663" s="2">
        <v>24094498</v>
      </c>
      <c r="B663" s="2">
        <v>2409449801</v>
      </c>
      <c r="C663" s="2">
        <v>1</v>
      </c>
      <c r="D663" s="2">
        <v>2001</v>
      </c>
      <c r="E663" s="2">
        <v>1</v>
      </c>
      <c r="F663" s="2">
        <v>513.85</v>
      </c>
      <c r="G663" s="2">
        <v>1000.3</v>
      </c>
      <c r="H663" s="2" t="str">
        <f>VLOOKUP(qhkz_4dqm[[#This Row],[fuel_type]],lookup!A:B,2,FALSE)</f>
        <v>Gasoline</v>
      </c>
      <c r="I663" s="2">
        <f ca="1">YEAR(TODAY())-qhkz_4dqm[[#This Row],[year]]</f>
        <v>25</v>
      </c>
      <c r="J663" s="2" t="str" cm="1">
        <f t="array" aca="1" ref="J663" ca="1">_xlfn.IFS(qhkz_4dqm[[#This Row],[vehicle_age]]&lt;=3,"Newer",qhkz_4dqm[[#This Row],[vehicle_age]]&lt;=9,"Mid-age",qhkz_4dqm[[#This Row],[vehicle_age]]&lt;=19,"Older",qhkz_4dqm[[#This Row],[vehicle_age]]&gt;=20,"Very Old")</f>
        <v>Very Old</v>
      </c>
    </row>
    <row r="664" spans="1:10">
      <c r="A664" s="2">
        <v>24094522</v>
      </c>
      <c r="B664" s="2">
        <v>2409452201</v>
      </c>
      <c r="C664" s="2">
        <v>1</v>
      </c>
      <c r="D664" s="2">
        <v>2020</v>
      </c>
      <c r="E664" s="2">
        <v>1</v>
      </c>
      <c r="F664" s="2">
        <v>2449.17</v>
      </c>
      <c r="G664" s="2">
        <v>586.54</v>
      </c>
      <c r="H664" s="2" t="str">
        <f>VLOOKUP(qhkz_4dqm[[#This Row],[fuel_type]],lookup!A:B,2,FALSE)</f>
        <v>Gasoline</v>
      </c>
      <c r="I664" s="2">
        <f ca="1">YEAR(TODAY())-qhkz_4dqm[[#This Row],[year]]</f>
        <v>6</v>
      </c>
      <c r="J664" s="2" t="str" cm="1">
        <f t="array" aca="1" ref="J664" ca="1">_xlfn.IFS(qhkz_4dqm[[#This Row],[vehicle_age]]&lt;=3,"Newer",qhkz_4dqm[[#This Row],[vehicle_age]]&lt;=9,"Mid-age",qhkz_4dqm[[#This Row],[vehicle_age]]&lt;=19,"Older",qhkz_4dqm[[#This Row],[vehicle_age]]&gt;=20,"Very Old")</f>
        <v>Mid-age</v>
      </c>
    </row>
    <row r="665" spans="1:10">
      <c r="A665" s="2">
        <v>24094603</v>
      </c>
      <c r="B665" s="2">
        <v>2409460301</v>
      </c>
      <c r="C665" s="2">
        <v>1</v>
      </c>
      <c r="D665" s="2">
        <v>2021</v>
      </c>
      <c r="E665" s="2">
        <v>1</v>
      </c>
      <c r="F665" s="2">
        <v>1.2</v>
      </c>
      <c r="G665" s="2">
        <v>83.46</v>
      </c>
      <c r="H665" s="2" t="str">
        <f>VLOOKUP(qhkz_4dqm[[#This Row],[fuel_type]],lookup!A:B,2,FALSE)</f>
        <v>Gasoline</v>
      </c>
      <c r="I665" s="2">
        <f ca="1">YEAR(TODAY())-qhkz_4dqm[[#This Row],[year]]</f>
        <v>5</v>
      </c>
      <c r="J665" s="2" t="str" cm="1">
        <f t="array" aca="1" ref="J665" ca="1">_xlfn.IFS(qhkz_4dqm[[#This Row],[vehicle_age]]&lt;=3,"Newer",qhkz_4dqm[[#This Row],[vehicle_age]]&lt;=9,"Mid-age",qhkz_4dqm[[#This Row],[vehicle_age]]&lt;=19,"Older",qhkz_4dqm[[#This Row],[vehicle_age]]&gt;=20,"Very Old")</f>
        <v>Mid-age</v>
      </c>
    </row>
    <row r="666" spans="1:10">
      <c r="A666" s="2">
        <v>24094609</v>
      </c>
      <c r="B666" s="2">
        <v>2409460901</v>
      </c>
      <c r="C666" s="2">
        <v>1</v>
      </c>
      <c r="D666" s="2">
        <v>2015</v>
      </c>
      <c r="E666" s="2">
        <v>1</v>
      </c>
      <c r="F666" s="2">
        <v>0.6</v>
      </c>
      <c r="G666" s="2">
        <v>152.31</v>
      </c>
      <c r="H666" s="2" t="str">
        <f>VLOOKUP(qhkz_4dqm[[#This Row],[fuel_type]],lookup!A:B,2,FALSE)</f>
        <v>Gasoline</v>
      </c>
      <c r="I666" s="2">
        <f ca="1">YEAR(TODAY())-qhkz_4dqm[[#This Row],[year]]</f>
        <v>11</v>
      </c>
      <c r="J666" s="2" t="str" cm="1">
        <f t="array" aca="1" ref="J666" ca="1">_xlfn.IFS(qhkz_4dqm[[#This Row],[vehicle_age]]&lt;=3,"Newer",qhkz_4dqm[[#This Row],[vehicle_age]]&lt;=9,"Mid-age",qhkz_4dqm[[#This Row],[vehicle_age]]&lt;=19,"Older",qhkz_4dqm[[#This Row],[vehicle_age]]&gt;=20,"Very Old")</f>
        <v>Older</v>
      </c>
    </row>
    <row r="667" spans="1:10">
      <c r="A667" s="2">
        <v>24094754</v>
      </c>
      <c r="B667" s="2">
        <v>2409475401</v>
      </c>
      <c r="C667" s="2">
        <v>1</v>
      </c>
      <c r="D667" s="2">
        <v>2012</v>
      </c>
      <c r="E667" s="2">
        <v>1</v>
      </c>
      <c r="F667" s="2">
        <v>1.2</v>
      </c>
      <c r="G667" s="2">
        <v>138.53</v>
      </c>
      <c r="H667" s="2" t="str">
        <f>VLOOKUP(qhkz_4dqm[[#This Row],[fuel_type]],lookup!A:B,2,FALSE)</f>
        <v>Gasoline</v>
      </c>
      <c r="I667" s="2">
        <f ca="1">YEAR(TODAY())-qhkz_4dqm[[#This Row],[year]]</f>
        <v>14</v>
      </c>
      <c r="J667" s="2" t="str" cm="1">
        <f t="array" aca="1" ref="J667" ca="1">_xlfn.IFS(qhkz_4dqm[[#This Row],[vehicle_age]]&lt;=3,"Newer",qhkz_4dqm[[#This Row],[vehicle_age]]&lt;=9,"Mid-age",qhkz_4dqm[[#This Row],[vehicle_age]]&lt;=19,"Older",qhkz_4dqm[[#This Row],[vehicle_age]]&gt;=20,"Very Old")</f>
        <v>Older</v>
      </c>
    </row>
    <row r="668" spans="1:10">
      <c r="A668" s="2">
        <v>24094755</v>
      </c>
      <c r="B668" s="2">
        <v>2409475501</v>
      </c>
      <c r="C668" s="2">
        <v>1</v>
      </c>
      <c r="D668" s="2">
        <v>2023</v>
      </c>
      <c r="E668" s="2">
        <v>1</v>
      </c>
      <c r="F668" s="2">
        <v>2019.31</v>
      </c>
      <c r="G668" s="2">
        <v>789.36</v>
      </c>
      <c r="H668" s="2" t="str">
        <f>VLOOKUP(qhkz_4dqm[[#This Row],[fuel_type]],lookup!A:B,2,FALSE)</f>
        <v>Gasoline</v>
      </c>
      <c r="I668" s="2">
        <f ca="1">YEAR(TODAY())-qhkz_4dqm[[#This Row],[year]]</f>
        <v>3</v>
      </c>
      <c r="J668" s="2" t="str" cm="1">
        <f t="array" aca="1" ref="J668" ca="1">_xlfn.IFS(qhkz_4dqm[[#This Row],[vehicle_age]]&lt;=3,"Newer",qhkz_4dqm[[#This Row],[vehicle_age]]&lt;=9,"Mid-age",qhkz_4dqm[[#This Row],[vehicle_age]]&lt;=19,"Older",qhkz_4dqm[[#This Row],[vehicle_age]]&gt;=20,"Very Old")</f>
        <v>Newer</v>
      </c>
    </row>
    <row r="669" spans="1:10">
      <c r="A669" s="2">
        <v>24094887</v>
      </c>
      <c r="B669" s="2">
        <v>2409488701</v>
      </c>
      <c r="C669" s="2">
        <v>1</v>
      </c>
      <c r="D669" s="2">
        <v>2014</v>
      </c>
      <c r="E669" s="2">
        <v>1</v>
      </c>
      <c r="F669" s="2">
        <v>2029.98</v>
      </c>
      <c r="G669" s="2">
        <v>631.01</v>
      </c>
      <c r="H669" s="2" t="str">
        <f>VLOOKUP(qhkz_4dqm[[#This Row],[fuel_type]],lookup!A:B,2,FALSE)</f>
        <v>Gasoline</v>
      </c>
      <c r="I669" s="2">
        <f ca="1">YEAR(TODAY())-qhkz_4dqm[[#This Row],[year]]</f>
        <v>12</v>
      </c>
      <c r="J669" s="2" t="str" cm="1">
        <f t="array" aca="1" ref="J669" ca="1">_xlfn.IFS(qhkz_4dqm[[#This Row],[vehicle_age]]&lt;=3,"Newer",qhkz_4dqm[[#This Row],[vehicle_age]]&lt;=9,"Mid-age",qhkz_4dqm[[#This Row],[vehicle_age]]&lt;=19,"Older",qhkz_4dqm[[#This Row],[vehicle_age]]&gt;=20,"Very Old")</f>
        <v>Older</v>
      </c>
    </row>
    <row r="670" spans="1:10">
      <c r="A670" s="2">
        <v>24094901</v>
      </c>
      <c r="B670" s="2">
        <v>2409490101</v>
      </c>
      <c r="C670" s="2">
        <v>1</v>
      </c>
      <c r="D670" s="2">
        <v>2023</v>
      </c>
      <c r="E670" s="2">
        <v>1</v>
      </c>
      <c r="F670" s="2">
        <v>0.6</v>
      </c>
      <c r="G670" s="2">
        <v>142.79</v>
      </c>
      <c r="H670" s="2" t="str">
        <f>VLOOKUP(qhkz_4dqm[[#This Row],[fuel_type]],lookup!A:B,2,FALSE)</f>
        <v>Gasoline</v>
      </c>
      <c r="I670" s="2">
        <f ca="1">YEAR(TODAY())-qhkz_4dqm[[#This Row],[year]]</f>
        <v>3</v>
      </c>
      <c r="J670" s="2" t="str" cm="1">
        <f t="array" aca="1" ref="J670" ca="1">_xlfn.IFS(qhkz_4dqm[[#This Row],[vehicle_age]]&lt;=3,"Newer",qhkz_4dqm[[#This Row],[vehicle_age]]&lt;=9,"Mid-age",qhkz_4dqm[[#This Row],[vehicle_age]]&lt;=19,"Older",qhkz_4dqm[[#This Row],[vehicle_age]]&gt;=20,"Very Old")</f>
        <v>Newer</v>
      </c>
    </row>
    <row r="671" spans="1:10">
      <c r="A671" s="2">
        <v>24094909</v>
      </c>
      <c r="B671" s="2">
        <v>2409490901</v>
      </c>
      <c r="C671" s="2">
        <v>1</v>
      </c>
      <c r="D671" s="2">
        <v>2023</v>
      </c>
      <c r="E671" s="2">
        <v>2</v>
      </c>
      <c r="F671" s="2">
        <v>1015.36</v>
      </c>
      <c r="G671" s="2">
        <v>243.56</v>
      </c>
      <c r="H671" s="2" t="str">
        <f>VLOOKUP(qhkz_4dqm[[#This Row],[fuel_type]],lookup!A:B,2,FALSE)</f>
        <v>Diesel</v>
      </c>
      <c r="I671" s="2">
        <f ca="1">YEAR(TODAY())-qhkz_4dqm[[#This Row],[year]]</f>
        <v>3</v>
      </c>
      <c r="J671" s="2" t="str" cm="1">
        <f t="array" aca="1" ref="J671" ca="1">_xlfn.IFS(qhkz_4dqm[[#This Row],[vehicle_age]]&lt;=3,"Newer",qhkz_4dqm[[#This Row],[vehicle_age]]&lt;=9,"Mid-age",qhkz_4dqm[[#This Row],[vehicle_age]]&lt;=19,"Older",qhkz_4dqm[[#This Row],[vehicle_age]]&gt;=20,"Very Old")</f>
        <v>Newer</v>
      </c>
    </row>
    <row r="672" spans="1:10">
      <c r="A672" s="2">
        <v>24094926</v>
      </c>
      <c r="B672" s="2">
        <v>2409492601</v>
      </c>
      <c r="C672" s="2">
        <v>1</v>
      </c>
      <c r="D672" s="2">
        <v>2013</v>
      </c>
      <c r="E672" s="2">
        <v>1</v>
      </c>
      <c r="F672" s="2">
        <v>197.16</v>
      </c>
      <c r="G672" s="2">
        <v>1149.83</v>
      </c>
      <c r="H672" s="2" t="str">
        <f>VLOOKUP(qhkz_4dqm[[#This Row],[fuel_type]],lookup!A:B,2,FALSE)</f>
        <v>Gasoline</v>
      </c>
      <c r="I672" s="2">
        <f ca="1">YEAR(TODAY())-qhkz_4dqm[[#This Row],[year]]</f>
        <v>13</v>
      </c>
      <c r="J672" s="2" t="str" cm="1">
        <f t="array" aca="1" ref="J672" ca="1">_xlfn.IFS(qhkz_4dqm[[#This Row],[vehicle_age]]&lt;=3,"Newer",qhkz_4dqm[[#This Row],[vehicle_age]]&lt;=9,"Mid-age",qhkz_4dqm[[#This Row],[vehicle_age]]&lt;=19,"Older",qhkz_4dqm[[#This Row],[vehicle_age]]&gt;=20,"Very Old")</f>
        <v>Older</v>
      </c>
    </row>
    <row r="673" spans="1:10">
      <c r="A673" s="2">
        <v>24095136</v>
      </c>
      <c r="B673" s="2">
        <v>2409513601</v>
      </c>
      <c r="C673" s="2">
        <v>1</v>
      </c>
      <c r="D673" s="2">
        <v>2017</v>
      </c>
      <c r="E673" s="2">
        <v>1</v>
      </c>
      <c r="F673" s="2">
        <v>0.6</v>
      </c>
      <c r="G673" s="2">
        <v>311.83</v>
      </c>
      <c r="H673" s="2" t="str">
        <f>VLOOKUP(qhkz_4dqm[[#This Row],[fuel_type]],lookup!A:B,2,FALSE)</f>
        <v>Gasoline</v>
      </c>
      <c r="I673" s="2">
        <f ca="1">YEAR(TODAY())-qhkz_4dqm[[#This Row],[year]]</f>
        <v>9</v>
      </c>
      <c r="J673" s="2" t="str" cm="1">
        <f t="array" aca="1" ref="J673" ca="1">_xlfn.IFS(qhkz_4dqm[[#This Row],[vehicle_age]]&lt;=3,"Newer",qhkz_4dqm[[#This Row],[vehicle_age]]&lt;=9,"Mid-age",qhkz_4dqm[[#This Row],[vehicle_age]]&lt;=19,"Older",qhkz_4dqm[[#This Row],[vehicle_age]]&gt;=20,"Very Old")</f>
        <v>Mid-age</v>
      </c>
    </row>
    <row r="674" spans="1:10">
      <c r="A674" s="2">
        <v>24095151</v>
      </c>
      <c r="B674" s="2">
        <v>2409515101</v>
      </c>
      <c r="C674" s="2">
        <v>1</v>
      </c>
      <c r="D674" s="2">
        <v>2016</v>
      </c>
      <c r="E674" s="2">
        <v>1</v>
      </c>
      <c r="F674" s="2">
        <v>1218</v>
      </c>
      <c r="G674" s="2">
        <v>408.37</v>
      </c>
      <c r="H674" s="2" t="str">
        <f>VLOOKUP(qhkz_4dqm[[#This Row],[fuel_type]],lookup!A:B,2,FALSE)</f>
        <v>Gasoline</v>
      </c>
      <c r="I674" s="2">
        <f ca="1">YEAR(TODAY())-qhkz_4dqm[[#This Row],[year]]</f>
        <v>10</v>
      </c>
      <c r="J674" s="2" t="str" cm="1">
        <f t="array" aca="1" ref="J674" ca="1">_xlfn.IFS(qhkz_4dqm[[#This Row],[vehicle_age]]&lt;=3,"Newer",qhkz_4dqm[[#This Row],[vehicle_age]]&lt;=9,"Mid-age",qhkz_4dqm[[#This Row],[vehicle_age]]&lt;=19,"Older",qhkz_4dqm[[#This Row],[vehicle_age]]&gt;=20,"Very Old")</f>
        <v>Older</v>
      </c>
    </row>
    <row r="675" spans="1:10">
      <c r="A675" s="2">
        <v>24095379</v>
      </c>
      <c r="B675" s="2">
        <v>2409537901</v>
      </c>
      <c r="C675" s="2">
        <v>1</v>
      </c>
      <c r="D675" s="2">
        <v>2022</v>
      </c>
      <c r="E675" s="2">
        <v>1</v>
      </c>
      <c r="F675" s="2">
        <v>894.08</v>
      </c>
      <c r="G675" s="2">
        <v>753.79</v>
      </c>
      <c r="H675" s="2" t="str">
        <f>VLOOKUP(qhkz_4dqm[[#This Row],[fuel_type]],lookup!A:B,2,FALSE)</f>
        <v>Gasoline</v>
      </c>
      <c r="I675" s="2">
        <f ca="1">YEAR(TODAY())-qhkz_4dqm[[#This Row],[year]]</f>
        <v>4</v>
      </c>
      <c r="J675" s="2" t="str" cm="1">
        <f t="array" aca="1" ref="J675" ca="1">_xlfn.IFS(qhkz_4dqm[[#This Row],[vehicle_age]]&lt;=3,"Newer",qhkz_4dqm[[#This Row],[vehicle_age]]&lt;=9,"Mid-age",qhkz_4dqm[[#This Row],[vehicle_age]]&lt;=19,"Older",qhkz_4dqm[[#This Row],[vehicle_age]]&gt;=20,"Very Old")</f>
        <v>Mid-age</v>
      </c>
    </row>
    <row r="676" spans="1:10">
      <c r="A676" s="2">
        <v>24095560</v>
      </c>
      <c r="B676" s="2">
        <v>2409556001</v>
      </c>
      <c r="C676" s="2">
        <v>1</v>
      </c>
      <c r="D676" s="2">
        <v>2023</v>
      </c>
      <c r="E676" s="2">
        <v>1</v>
      </c>
      <c r="F676" s="2">
        <v>1.1000000000000001</v>
      </c>
      <c r="G676" s="2">
        <v>349.85</v>
      </c>
      <c r="H676" s="2" t="str">
        <f>VLOOKUP(qhkz_4dqm[[#This Row],[fuel_type]],lookup!A:B,2,FALSE)</f>
        <v>Gasoline</v>
      </c>
      <c r="I676" s="2">
        <f ca="1">YEAR(TODAY())-qhkz_4dqm[[#This Row],[year]]</f>
        <v>3</v>
      </c>
      <c r="J676" s="2" t="str" cm="1">
        <f t="array" aca="1" ref="J676" ca="1">_xlfn.IFS(qhkz_4dqm[[#This Row],[vehicle_age]]&lt;=3,"Newer",qhkz_4dqm[[#This Row],[vehicle_age]]&lt;=9,"Mid-age",qhkz_4dqm[[#This Row],[vehicle_age]]&lt;=19,"Older",qhkz_4dqm[[#This Row],[vehicle_age]]&gt;=20,"Very Old")</f>
        <v>Newer</v>
      </c>
    </row>
    <row r="677" spans="1:10">
      <c r="A677" s="2">
        <v>24095561</v>
      </c>
      <c r="B677" s="2">
        <v>2409556101</v>
      </c>
      <c r="C677" s="2">
        <v>1</v>
      </c>
      <c r="D677" s="2">
        <v>2001</v>
      </c>
      <c r="E677" s="2">
        <v>1</v>
      </c>
      <c r="F677" s="2">
        <v>1.04</v>
      </c>
      <c r="G677" s="2">
        <v>192.53</v>
      </c>
      <c r="H677" s="2" t="str">
        <f>VLOOKUP(qhkz_4dqm[[#This Row],[fuel_type]],lookup!A:B,2,FALSE)</f>
        <v>Gasoline</v>
      </c>
      <c r="I677" s="2">
        <f ca="1">YEAR(TODAY())-qhkz_4dqm[[#This Row],[year]]</f>
        <v>25</v>
      </c>
      <c r="J677" s="2" t="str" cm="1">
        <f t="array" aca="1" ref="J677" ca="1">_xlfn.IFS(qhkz_4dqm[[#This Row],[vehicle_age]]&lt;=3,"Newer",qhkz_4dqm[[#This Row],[vehicle_age]]&lt;=9,"Mid-age",qhkz_4dqm[[#This Row],[vehicle_age]]&lt;=19,"Older",qhkz_4dqm[[#This Row],[vehicle_age]]&gt;=20,"Very Old")</f>
        <v>Very Old</v>
      </c>
    </row>
    <row r="678" spans="1:10">
      <c r="A678" s="2">
        <v>24095595</v>
      </c>
      <c r="B678" s="2">
        <v>2409559501</v>
      </c>
      <c r="C678" s="2">
        <v>1</v>
      </c>
      <c r="D678" s="2">
        <v>2019</v>
      </c>
      <c r="E678" s="2">
        <v>1</v>
      </c>
      <c r="F678" s="2">
        <v>0.52</v>
      </c>
      <c r="G678" s="2">
        <v>114.21</v>
      </c>
      <c r="H678" s="2" t="str">
        <f>VLOOKUP(qhkz_4dqm[[#This Row],[fuel_type]],lookup!A:B,2,FALSE)</f>
        <v>Gasoline</v>
      </c>
      <c r="I678" s="2">
        <f ca="1">YEAR(TODAY())-qhkz_4dqm[[#This Row],[year]]</f>
        <v>7</v>
      </c>
      <c r="J678" s="2" t="str" cm="1">
        <f t="array" aca="1" ref="J678" ca="1">_xlfn.IFS(qhkz_4dqm[[#This Row],[vehicle_age]]&lt;=3,"Newer",qhkz_4dqm[[#This Row],[vehicle_age]]&lt;=9,"Mid-age",qhkz_4dqm[[#This Row],[vehicle_age]]&lt;=19,"Older",qhkz_4dqm[[#This Row],[vehicle_age]]&gt;=20,"Very Old")</f>
        <v>Mid-age</v>
      </c>
    </row>
    <row r="679" spans="1:10">
      <c r="A679" s="2">
        <v>24095666</v>
      </c>
      <c r="B679" s="2">
        <v>2409566601</v>
      </c>
      <c r="C679" s="2">
        <v>1</v>
      </c>
      <c r="D679" s="2">
        <v>2018</v>
      </c>
      <c r="E679" s="2">
        <v>1</v>
      </c>
      <c r="F679" s="2">
        <v>2238.63</v>
      </c>
      <c r="G679" s="2">
        <v>1922.19</v>
      </c>
      <c r="H679" s="2" t="str">
        <f>VLOOKUP(qhkz_4dqm[[#This Row],[fuel_type]],lookup!A:B,2,FALSE)</f>
        <v>Gasoline</v>
      </c>
      <c r="I679" s="2">
        <f ca="1">YEAR(TODAY())-qhkz_4dqm[[#This Row],[year]]</f>
        <v>8</v>
      </c>
      <c r="J679" s="2" t="str" cm="1">
        <f t="array" aca="1" ref="J679" ca="1">_xlfn.IFS(qhkz_4dqm[[#This Row],[vehicle_age]]&lt;=3,"Newer",qhkz_4dqm[[#This Row],[vehicle_age]]&lt;=9,"Mid-age",qhkz_4dqm[[#This Row],[vehicle_age]]&lt;=19,"Older",qhkz_4dqm[[#This Row],[vehicle_age]]&gt;=20,"Very Old")</f>
        <v>Mid-age</v>
      </c>
    </row>
    <row r="680" spans="1:10">
      <c r="A680" s="2">
        <v>24095750</v>
      </c>
      <c r="B680" s="2">
        <v>2409575001</v>
      </c>
      <c r="C680" s="2">
        <v>1</v>
      </c>
      <c r="D680" s="2">
        <v>2020</v>
      </c>
      <c r="E680" s="2">
        <v>1</v>
      </c>
      <c r="F680" s="2">
        <v>1.04</v>
      </c>
      <c r="G680" s="2">
        <v>279.62</v>
      </c>
      <c r="H680" s="2" t="str">
        <f>VLOOKUP(qhkz_4dqm[[#This Row],[fuel_type]],lookup!A:B,2,FALSE)</f>
        <v>Gasoline</v>
      </c>
      <c r="I680" s="2">
        <f ca="1">YEAR(TODAY())-qhkz_4dqm[[#This Row],[year]]</f>
        <v>6</v>
      </c>
      <c r="J680" s="2" t="str" cm="1">
        <f t="array" aca="1" ref="J680" ca="1">_xlfn.IFS(qhkz_4dqm[[#This Row],[vehicle_age]]&lt;=3,"Newer",qhkz_4dqm[[#This Row],[vehicle_age]]&lt;=9,"Mid-age",qhkz_4dqm[[#This Row],[vehicle_age]]&lt;=19,"Older",qhkz_4dqm[[#This Row],[vehicle_age]]&gt;=20,"Very Old")</f>
        <v>Mid-age</v>
      </c>
    </row>
    <row r="681" spans="1:10">
      <c r="A681" s="2">
        <v>24095783</v>
      </c>
      <c r="B681" s="2">
        <v>2409578301</v>
      </c>
      <c r="C681" s="2">
        <v>1</v>
      </c>
      <c r="D681" s="2">
        <v>1999</v>
      </c>
      <c r="E681" s="2">
        <v>1</v>
      </c>
      <c r="F681" s="2">
        <v>179.25</v>
      </c>
      <c r="G681" s="2">
        <v>861.02</v>
      </c>
      <c r="H681" s="2" t="str">
        <f>VLOOKUP(qhkz_4dqm[[#This Row],[fuel_type]],lookup!A:B,2,FALSE)</f>
        <v>Gasoline</v>
      </c>
      <c r="I681" s="2">
        <f ca="1">YEAR(TODAY())-qhkz_4dqm[[#This Row],[year]]</f>
        <v>27</v>
      </c>
      <c r="J681" s="2" t="str" cm="1">
        <f t="array" aca="1" ref="J681" ca="1">_xlfn.IFS(qhkz_4dqm[[#This Row],[vehicle_age]]&lt;=3,"Newer",qhkz_4dqm[[#This Row],[vehicle_age]]&lt;=9,"Mid-age",qhkz_4dqm[[#This Row],[vehicle_age]]&lt;=19,"Older",qhkz_4dqm[[#This Row],[vehicle_age]]&gt;=20,"Very Old")</f>
        <v>Very Old</v>
      </c>
    </row>
    <row r="682" spans="1:10">
      <c r="A682" s="2">
        <v>24095808</v>
      </c>
      <c r="B682" s="2">
        <v>2409580801</v>
      </c>
      <c r="C682" s="2">
        <v>1</v>
      </c>
      <c r="D682" s="2">
        <v>2016</v>
      </c>
      <c r="E682" s="2">
        <v>1</v>
      </c>
      <c r="F682" s="2">
        <v>447.49</v>
      </c>
      <c r="G682" s="2">
        <v>1806.07</v>
      </c>
      <c r="H682" s="2" t="str">
        <f>VLOOKUP(qhkz_4dqm[[#This Row],[fuel_type]],lookup!A:B,2,FALSE)</f>
        <v>Gasoline</v>
      </c>
      <c r="I682" s="2">
        <f ca="1">YEAR(TODAY())-qhkz_4dqm[[#This Row],[year]]</f>
        <v>10</v>
      </c>
      <c r="J682" s="2" t="str" cm="1">
        <f t="array" aca="1" ref="J682" ca="1">_xlfn.IFS(qhkz_4dqm[[#This Row],[vehicle_age]]&lt;=3,"Newer",qhkz_4dqm[[#This Row],[vehicle_age]]&lt;=9,"Mid-age",qhkz_4dqm[[#This Row],[vehicle_age]]&lt;=19,"Older",qhkz_4dqm[[#This Row],[vehicle_age]]&gt;=20,"Very Old")</f>
        <v>Older</v>
      </c>
    </row>
    <row r="683" spans="1:10">
      <c r="A683" s="2">
        <v>24095998</v>
      </c>
      <c r="B683" s="2">
        <v>2409599801</v>
      </c>
      <c r="C683" s="2">
        <v>1</v>
      </c>
      <c r="D683" s="2">
        <v>2022</v>
      </c>
      <c r="E683" s="2">
        <v>2</v>
      </c>
      <c r="F683" s="2">
        <v>0.52</v>
      </c>
      <c r="G683" s="2">
        <v>413.61</v>
      </c>
      <c r="H683" s="2" t="str">
        <f>VLOOKUP(qhkz_4dqm[[#This Row],[fuel_type]],lookup!A:B,2,FALSE)</f>
        <v>Diesel</v>
      </c>
      <c r="I683" s="2">
        <f ca="1">YEAR(TODAY())-qhkz_4dqm[[#This Row],[year]]</f>
        <v>4</v>
      </c>
      <c r="J683" s="2" t="str" cm="1">
        <f t="array" aca="1" ref="J683" ca="1">_xlfn.IFS(qhkz_4dqm[[#This Row],[vehicle_age]]&lt;=3,"Newer",qhkz_4dqm[[#This Row],[vehicle_age]]&lt;=9,"Mid-age",qhkz_4dqm[[#This Row],[vehicle_age]]&lt;=19,"Older",qhkz_4dqm[[#This Row],[vehicle_age]]&gt;=20,"Very Old")</f>
        <v>Mid-age</v>
      </c>
    </row>
    <row r="684" spans="1:10">
      <c r="A684" s="2">
        <v>24096181</v>
      </c>
      <c r="B684" s="2">
        <v>2409618101</v>
      </c>
      <c r="C684" s="2">
        <v>1</v>
      </c>
      <c r="D684" s="2">
        <v>2015</v>
      </c>
      <c r="E684" s="2">
        <v>1</v>
      </c>
      <c r="F684" s="2">
        <v>95.79</v>
      </c>
      <c r="G684" s="2">
        <v>306.99</v>
      </c>
      <c r="H684" s="2" t="str">
        <f>VLOOKUP(qhkz_4dqm[[#This Row],[fuel_type]],lookup!A:B,2,FALSE)</f>
        <v>Gasoline</v>
      </c>
      <c r="I684" s="2">
        <f ca="1">YEAR(TODAY())-qhkz_4dqm[[#This Row],[year]]</f>
        <v>11</v>
      </c>
      <c r="J684" s="2" t="str" cm="1">
        <f t="array" aca="1" ref="J684" ca="1">_xlfn.IFS(qhkz_4dqm[[#This Row],[vehicle_age]]&lt;=3,"Newer",qhkz_4dqm[[#This Row],[vehicle_age]]&lt;=9,"Mid-age",qhkz_4dqm[[#This Row],[vehicle_age]]&lt;=19,"Older",qhkz_4dqm[[#This Row],[vehicle_age]]&gt;=20,"Very Old")</f>
        <v>Older</v>
      </c>
    </row>
    <row r="685" spans="1:10">
      <c r="A685" s="2">
        <v>24096392</v>
      </c>
      <c r="B685" s="2">
        <v>2409639201</v>
      </c>
      <c r="C685" s="2">
        <v>1</v>
      </c>
      <c r="D685" s="2">
        <v>2020</v>
      </c>
      <c r="E685" s="2">
        <v>1</v>
      </c>
      <c r="F685" s="2">
        <v>1.04</v>
      </c>
      <c r="G685" s="2">
        <v>131.31</v>
      </c>
      <c r="H685" s="2" t="str">
        <f>VLOOKUP(qhkz_4dqm[[#This Row],[fuel_type]],lookup!A:B,2,FALSE)</f>
        <v>Gasoline</v>
      </c>
      <c r="I685" s="2">
        <f ca="1">YEAR(TODAY())-qhkz_4dqm[[#This Row],[year]]</f>
        <v>6</v>
      </c>
      <c r="J685" s="2" t="str" cm="1">
        <f t="array" aca="1" ref="J685" ca="1">_xlfn.IFS(qhkz_4dqm[[#This Row],[vehicle_age]]&lt;=3,"Newer",qhkz_4dqm[[#This Row],[vehicle_age]]&lt;=9,"Mid-age",qhkz_4dqm[[#This Row],[vehicle_age]]&lt;=19,"Older",qhkz_4dqm[[#This Row],[vehicle_age]]&gt;=20,"Very Old")</f>
        <v>Mid-age</v>
      </c>
    </row>
    <row r="686" spans="1:10">
      <c r="A686" s="2">
        <v>24096409</v>
      </c>
      <c r="B686" s="2">
        <v>2409640901</v>
      </c>
      <c r="C686" s="2">
        <v>1</v>
      </c>
      <c r="D686" s="2">
        <v>2009</v>
      </c>
      <c r="E686" s="2">
        <v>1</v>
      </c>
      <c r="F686" s="2">
        <v>0.52</v>
      </c>
      <c r="G686" s="2">
        <v>131.58000000000001</v>
      </c>
      <c r="H686" s="2" t="str">
        <f>VLOOKUP(qhkz_4dqm[[#This Row],[fuel_type]],lookup!A:B,2,FALSE)</f>
        <v>Gasoline</v>
      </c>
      <c r="I686" s="2">
        <f ca="1">YEAR(TODAY())-qhkz_4dqm[[#This Row],[year]]</f>
        <v>17</v>
      </c>
      <c r="J686" s="2" t="str" cm="1">
        <f t="array" aca="1" ref="J686" ca="1">_xlfn.IFS(qhkz_4dqm[[#This Row],[vehicle_age]]&lt;=3,"Newer",qhkz_4dqm[[#This Row],[vehicle_age]]&lt;=9,"Mid-age",qhkz_4dqm[[#This Row],[vehicle_age]]&lt;=19,"Older",qhkz_4dqm[[#This Row],[vehicle_age]]&gt;=20,"Very Old")</f>
        <v>Older</v>
      </c>
    </row>
    <row r="687" spans="1:10">
      <c r="A687" s="2">
        <v>24096453</v>
      </c>
      <c r="B687" s="2">
        <v>2409645301</v>
      </c>
      <c r="C687" s="2">
        <v>1</v>
      </c>
      <c r="D687" s="2">
        <v>2007</v>
      </c>
      <c r="E687" s="2">
        <v>1</v>
      </c>
      <c r="F687" s="2">
        <v>1754.22</v>
      </c>
      <c r="G687" s="2">
        <v>765.81</v>
      </c>
      <c r="H687" s="2" t="str">
        <f>VLOOKUP(qhkz_4dqm[[#This Row],[fuel_type]],lookup!A:B,2,FALSE)</f>
        <v>Gasoline</v>
      </c>
      <c r="I687" s="2">
        <f ca="1">YEAR(TODAY())-qhkz_4dqm[[#This Row],[year]]</f>
        <v>19</v>
      </c>
      <c r="J687" s="2" t="str" cm="1">
        <f t="array" aca="1" ref="J687" ca="1">_xlfn.IFS(qhkz_4dqm[[#This Row],[vehicle_age]]&lt;=3,"Newer",qhkz_4dqm[[#This Row],[vehicle_age]]&lt;=9,"Mid-age",qhkz_4dqm[[#This Row],[vehicle_age]]&lt;=19,"Older",qhkz_4dqm[[#This Row],[vehicle_age]]&gt;=20,"Very Old")</f>
        <v>Older</v>
      </c>
    </row>
    <row r="688" spans="1:10">
      <c r="A688" s="2">
        <v>24096557</v>
      </c>
      <c r="B688" s="2">
        <v>2409655701</v>
      </c>
      <c r="C688" s="2">
        <v>1</v>
      </c>
      <c r="D688" s="2">
        <v>2017</v>
      </c>
      <c r="E688" s="2">
        <v>1</v>
      </c>
      <c r="F688" s="2">
        <v>3.78</v>
      </c>
      <c r="G688" s="2">
        <v>269.24</v>
      </c>
      <c r="H688" s="2" t="str">
        <f>VLOOKUP(qhkz_4dqm[[#This Row],[fuel_type]],lookup!A:B,2,FALSE)</f>
        <v>Gasoline</v>
      </c>
      <c r="I688" s="2">
        <f ca="1">YEAR(TODAY())-qhkz_4dqm[[#This Row],[year]]</f>
        <v>9</v>
      </c>
      <c r="J688" s="2" t="str" cm="1">
        <f t="array" aca="1" ref="J688" ca="1">_xlfn.IFS(qhkz_4dqm[[#This Row],[vehicle_age]]&lt;=3,"Newer",qhkz_4dqm[[#This Row],[vehicle_age]]&lt;=9,"Mid-age",qhkz_4dqm[[#This Row],[vehicle_age]]&lt;=19,"Older",qhkz_4dqm[[#This Row],[vehicle_age]]&gt;=20,"Very Old")</f>
        <v>Mid-age</v>
      </c>
    </row>
    <row r="689" spans="1:10">
      <c r="A689" s="2">
        <v>24096641</v>
      </c>
      <c r="B689" s="2">
        <v>2409664101</v>
      </c>
      <c r="C689" s="2">
        <v>1</v>
      </c>
      <c r="D689" s="2">
        <v>2020</v>
      </c>
      <c r="E689" s="2">
        <v>1</v>
      </c>
      <c r="F689" s="2">
        <v>1.04</v>
      </c>
      <c r="G689" s="2">
        <v>320.38</v>
      </c>
      <c r="H689" s="2" t="str">
        <f>VLOOKUP(qhkz_4dqm[[#This Row],[fuel_type]],lookup!A:B,2,FALSE)</f>
        <v>Gasoline</v>
      </c>
      <c r="I689" s="2">
        <f ca="1">YEAR(TODAY())-qhkz_4dqm[[#This Row],[year]]</f>
        <v>6</v>
      </c>
      <c r="J689" s="2" t="str" cm="1">
        <f t="array" aca="1" ref="J689" ca="1">_xlfn.IFS(qhkz_4dqm[[#This Row],[vehicle_age]]&lt;=3,"Newer",qhkz_4dqm[[#This Row],[vehicle_age]]&lt;=9,"Mid-age",qhkz_4dqm[[#This Row],[vehicle_age]]&lt;=19,"Older",qhkz_4dqm[[#This Row],[vehicle_age]]&gt;=20,"Very Old")</f>
        <v>Mid-age</v>
      </c>
    </row>
    <row r="690" spans="1:10">
      <c r="A690" s="2">
        <v>24096805</v>
      </c>
      <c r="B690" s="2">
        <v>2409680501</v>
      </c>
      <c r="C690" s="2">
        <v>1</v>
      </c>
      <c r="D690" s="2">
        <v>2017</v>
      </c>
      <c r="E690" s="2">
        <v>1</v>
      </c>
      <c r="F690" s="2">
        <v>1.04</v>
      </c>
      <c r="G690" s="2">
        <v>171.12</v>
      </c>
      <c r="H690" s="2" t="str">
        <f>VLOOKUP(qhkz_4dqm[[#This Row],[fuel_type]],lookup!A:B,2,FALSE)</f>
        <v>Gasoline</v>
      </c>
      <c r="I690" s="2">
        <f ca="1">YEAR(TODAY())-qhkz_4dqm[[#This Row],[year]]</f>
        <v>9</v>
      </c>
      <c r="J690" s="2" t="str" cm="1">
        <f t="array" aca="1" ref="J690" ca="1">_xlfn.IFS(qhkz_4dqm[[#This Row],[vehicle_age]]&lt;=3,"Newer",qhkz_4dqm[[#This Row],[vehicle_age]]&lt;=9,"Mid-age",qhkz_4dqm[[#This Row],[vehicle_age]]&lt;=19,"Older",qhkz_4dqm[[#This Row],[vehicle_age]]&gt;=20,"Very Old")</f>
        <v>Mid-age</v>
      </c>
    </row>
    <row r="691" spans="1:10">
      <c r="A691" s="2">
        <v>24096817</v>
      </c>
      <c r="B691" s="2">
        <v>2409681701</v>
      </c>
      <c r="C691" s="2">
        <v>1</v>
      </c>
      <c r="D691" s="2">
        <v>2023</v>
      </c>
      <c r="E691" s="2">
        <v>1</v>
      </c>
      <c r="F691" s="2">
        <v>1752.9</v>
      </c>
      <c r="G691" s="2">
        <v>355.47</v>
      </c>
      <c r="H691" s="2" t="str">
        <f>VLOOKUP(qhkz_4dqm[[#This Row],[fuel_type]],lookup!A:B,2,FALSE)</f>
        <v>Gasoline</v>
      </c>
      <c r="I691" s="2">
        <f ca="1">YEAR(TODAY())-qhkz_4dqm[[#This Row],[year]]</f>
        <v>3</v>
      </c>
      <c r="J691" s="2" t="str" cm="1">
        <f t="array" aca="1" ref="J691" ca="1">_xlfn.IFS(qhkz_4dqm[[#This Row],[vehicle_age]]&lt;=3,"Newer",qhkz_4dqm[[#This Row],[vehicle_age]]&lt;=9,"Mid-age",qhkz_4dqm[[#This Row],[vehicle_age]]&lt;=19,"Older",qhkz_4dqm[[#This Row],[vehicle_age]]&gt;=20,"Very Old")</f>
        <v>Newer</v>
      </c>
    </row>
    <row r="692" spans="1:10">
      <c r="A692" s="2">
        <v>24097260</v>
      </c>
      <c r="B692" s="2">
        <v>2409726001</v>
      </c>
      <c r="C692" s="2">
        <v>1</v>
      </c>
      <c r="D692" s="2">
        <v>2023</v>
      </c>
      <c r="E692" s="2">
        <v>2</v>
      </c>
      <c r="F692" s="2">
        <v>1.04</v>
      </c>
      <c r="G692" s="2">
        <v>235.81</v>
      </c>
      <c r="H692" s="2" t="str">
        <f>VLOOKUP(qhkz_4dqm[[#This Row],[fuel_type]],lookup!A:B,2,FALSE)</f>
        <v>Diesel</v>
      </c>
      <c r="I692" s="2">
        <f ca="1">YEAR(TODAY())-qhkz_4dqm[[#This Row],[year]]</f>
        <v>3</v>
      </c>
      <c r="J692" s="2" t="str" cm="1">
        <f t="array" aca="1" ref="J692" ca="1">_xlfn.IFS(qhkz_4dqm[[#This Row],[vehicle_age]]&lt;=3,"Newer",qhkz_4dqm[[#This Row],[vehicle_age]]&lt;=9,"Mid-age",qhkz_4dqm[[#This Row],[vehicle_age]]&lt;=19,"Older",qhkz_4dqm[[#This Row],[vehicle_age]]&gt;=20,"Very Old")</f>
        <v>Newer</v>
      </c>
    </row>
    <row r="693" spans="1:10">
      <c r="A693" s="2">
        <v>24097294</v>
      </c>
      <c r="B693" s="2">
        <v>2409729401</v>
      </c>
      <c r="C693" s="2">
        <v>1</v>
      </c>
      <c r="D693" s="2">
        <v>2017</v>
      </c>
      <c r="E693" s="2">
        <v>1</v>
      </c>
      <c r="F693" s="2">
        <v>1744.92</v>
      </c>
      <c r="G693" s="2">
        <v>210.22</v>
      </c>
      <c r="H693" s="2" t="str">
        <f>VLOOKUP(qhkz_4dqm[[#This Row],[fuel_type]],lookup!A:B,2,FALSE)</f>
        <v>Gasoline</v>
      </c>
      <c r="I693" s="2">
        <f ca="1">YEAR(TODAY())-qhkz_4dqm[[#This Row],[year]]</f>
        <v>9</v>
      </c>
      <c r="J693" s="2" t="str" cm="1">
        <f t="array" aca="1" ref="J693" ca="1">_xlfn.IFS(qhkz_4dqm[[#This Row],[vehicle_age]]&lt;=3,"Newer",qhkz_4dqm[[#This Row],[vehicle_age]]&lt;=9,"Mid-age",qhkz_4dqm[[#This Row],[vehicle_age]]&lt;=19,"Older",qhkz_4dqm[[#This Row],[vehicle_age]]&gt;=20,"Very Old")</f>
        <v>Mid-age</v>
      </c>
    </row>
    <row r="694" spans="1:10">
      <c r="A694" s="2">
        <v>24097380</v>
      </c>
      <c r="B694" s="2">
        <v>2409738001</v>
      </c>
      <c r="C694" s="2">
        <v>1</v>
      </c>
      <c r="D694" s="2">
        <v>2022</v>
      </c>
      <c r="E694" s="2">
        <v>1</v>
      </c>
      <c r="F694" s="2">
        <v>1432.16</v>
      </c>
      <c r="G694" s="2">
        <v>711.09</v>
      </c>
      <c r="H694" s="2" t="str">
        <f>VLOOKUP(qhkz_4dqm[[#This Row],[fuel_type]],lookup!A:B,2,FALSE)</f>
        <v>Gasoline</v>
      </c>
      <c r="I694" s="2">
        <f ca="1">YEAR(TODAY())-qhkz_4dqm[[#This Row],[year]]</f>
        <v>4</v>
      </c>
      <c r="J694" s="2" t="str" cm="1">
        <f t="array" aca="1" ref="J694" ca="1">_xlfn.IFS(qhkz_4dqm[[#This Row],[vehicle_age]]&lt;=3,"Newer",qhkz_4dqm[[#This Row],[vehicle_age]]&lt;=9,"Mid-age",qhkz_4dqm[[#This Row],[vehicle_age]]&lt;=19,"Older",qhkz_4dqm[[#This Row],[vehicle_age]]&gt;=20,"Very Old")</f>
        <v>Mid-age</v>
      </c>
    </row>
    <row r="695" spans="1:10">
      <c r="A695" s="2">
        <v>24097477</v>
      </c>
      <c r="B695" s="2">
        <v>2409747701</v>
      </c>
      <c r="C695" s="2">
        <v>1</v>
      </c>
      <c r="D695" s="2">
        <v>2019</v>
      </c>
      <c r="E695" s="2">
        <v>1</v>
      </c>
      <c r="F695" s="2">
        <v>1.04</v>
      </c>
      <c r="G695" s="2">
        <v>163.02000000000001</v>
      </c>
      <c r="H695" s="2" t="str">
        <f>VLOOKUP(qhkz_4dqm[[#This Row],[fuel_type]],lookup!A:B,2,FALSE)</f>
        <v>Gasoline</v>
      </c>
      <c r="I695" s="2">
        <f ca="1">YEAR(TODAY())-qhkz_4dqm[[#This Row],[year]]</f>
        <v>7</v>
      </c>
      <c r="J695" s="2" t="str" cm="1">
        <f t="array" aca="1" ref="J695" ca="1">_xlfn.IFS(qhkz_4dqm[[#This Row],[vehicle_age]]&lt;=3,"Newer",qhkz_4dqm[[#This Row],[vehicle_age]]&lt;=9,"Mid-age",qhkz_4dqm[[#This Row],[vehicle_age]]&lt;=19,"Older",qhkz_4dqm[[#This Row],[vehicle_age]]&gt;=20,"Very Old")</f>
        <v>Mid-age</v>
      </c>
    </row>
    <row r="696" spans="1:10">
      <c r="A696" s="2">
        <v>24097581</v>
      </c>
      <c r="B696" s="2">
        <v>2409758101</v>
      </c>
      <c r="C696" s="2">
        <v>1</v>
      </c>
      <c r="D696" s="2">
        <v>2007</v>
      </c>
      <c r="E696" s="2">
        <v>1</v>
      </c>
      <c r="F696" s="2">
        <v>0.52</v>
      </c>
      <c r="G696" s="2">
        <v>269.39</v>
      </c>
      <c r="H696" s="2" t="str">
        <f>VLOOKUP(qhkz_4dqm[[#This Row],[fuel_type]],lookup!A:B,2,FALSE)</f>
        <v>Gasoline</v>
      </c>
      <c r="I696" s="2">
        <f ca="1">YEAR(TODAY())-qhkz_4dqm[[#This Row],[year]]</f>
        <v>19</v>
      </c>
      <c r="J696" s="2" t="str" cm="1">
        <f t="array" aca="1" ref="J696" ca="1">_xlfn.IFS(qhkz_4dqm[[#This Row],[vehicle_age]]&lt;=3,"Newer",qhkz_4dqm[[#This Row],[vehicle_age]]&lt;=9,"Mid-age",qhkz_4dqm[[#This Row],[vehicle_age]]&lt;=19,"Older",qhkz_4dqm[[#This Row],[vehicle_age]]&gt;=20,"Very Old")</f>
        <v>Older</v>
      </c>
    </row>
    <row r="697" spans="1:10">
      <c r="A697" s="2">
        <v>24097693</v>
      </c>
      <c r="B697" s="2">
        <v>2409769301</v>
      </c>
      <c r="C697" s="2">
        <v>1</v>
      </c>
      <c r="D697" s="2">
        <v>2020</v>
      </c>
      <c r="E697" s="2">
        <v>1</v>
      </c>
      <c r="F697" s="2">
        <v>721.85</v>
      </c>
      <c r="G697" s="2">
        <v>1725.69</v>
      </c>
      <c r="H697" s="2" t="str">
        <f>VLOOKUP(qhkz_4dqm[[#This Row],[fuel_type]],lookup!A:B,2,FALSE)</f>
        <v>Gasoline</v>
      </c>
      <c r="I697" s="2">
        <f ca="1">YEAR(TODAY())-qhkz_4dqm[[#This Row],[year]]</f>
        <v>6</v>
      </c>
      <c r="J697" s="2" t="str" cm="1">
        <f t="array" aca="1" ref="J697" ca="1">_xlfn.IFS(qhkz_4dqm[[#This Row],[vehicle_age]]&lt;=3,"Newer",qhkz_4dqm[[#This Row],[vehicle_age]]&lt;=9,"Mid-age",qhkz_4dqm[[#This Row],[vehicle_age]]&lt;=19,"Older",qhkz_4dqm[[#This Row],[vehicle_age]]&gt;=20,"Very Old")</f>
        <v>Mid-age</v>
      </c>
    </row>
    <row r="698" spans="1:10">
      <c r="A698" s="2">
        <v>24097770</v>
      </c>
      <c r="B698" s="2">
        <v>2409777001</v>
      </c>
      <c r="C698" s="2">
        <v>1</v>
      </c>
      <c r="D698" s="2">
        <v>2014</v>
      </c>
      <c r="E698" s="2">
        <v>1</v>
      </c>
      <c r="F698" s="2">
        <v>623.52</v>
      </c>
      <c r="G698" s="2">
        <v>822.79</v>
      </c>
      <c r="H698" s="2" t="str">
        <f>VLOOKUP(qhkz_4dqm[[#This Row],[fuel_type]],lookup!A:B,2,FALSE)</f>
        <v>Gasoline</v>
      </c>
      <c r="I698" s="2">
        <f ca="1">YEAR(TODAY())-qhkz_4dqm[[#This Row],[year]]</f>
        <v>12</v>
      </c>
      <c r="J698" s="2" t="str" cm="1">
        <f t="array" aca="1" ref="J698" ca="1">_xlfn.IFS(qhkz_4dqm[[#This Row],[vehicle_age]]&lt;=3,"Newer",qhkz_4dqm[[#This Row],[vehicle_age]]&lt;=9,"Mid-age",qhkz_4dqm[[#This Row],[vehicle_age]]&lt;=19,"Older",qhkz_4dqm[[#This Row],[vehicle_age]]&gt;=20,"Very Old")</f>
        <v>Older</v>
      </c>
    </row>
    <row r="699" spans="1:10">
      <c r="A699" s="2">
        <v>24097902</v>
      </c>
      <c r="B699" s="2">
        <v>2409790201</v>
      </c>
      <c r="C699" s="2">
        <v>1</v>
      </c>
      <c r="D699" s="2">
        <v>2019</v>
      </c>
      <c r="E699" s="2">
        <v>1</v>
      </c>
      <c r="F699" s="2">
        <v>4987.3999999999996</v>
      </c>
      <c r="G699" s="2">
        <v>4996.43</v>
      </c>
      <c r="H699" s="2" t="str">
        <f>VLOOKUP(qhkz_4dqm[[#This Row],[fuel_type]],lookup!A:B,2,FALSE)</f>
        <v>Gasoline</v>
      </c>
      <c r="I699" s="2">
        <f ca="1">YEAR(TODAY())-qhkz_4dqm[[#This Row],[year]]</f>
        <v>7</v>
      </c>
      <c r="J699" s="2" t="str" cm="1">
        <f t="array" aca="1" ref="J699" ca="1">_xlfn.IFS(qhkz_4dqm[[#This Row],[vehicle_age]]&lt;=3,"Newer",qhkz_4dqm[[#This Row],[vehicle_age]]&lt;=9,"Mid-age",qhkz_4dqm[[#This Row],[vehicle_age]]&lt;=19,"Older",qhkz_4dqm[[#This Row],[vehicle_age]]&gt;=20,"Very Old")</f>
        <v>Mid-age</v>
      </c>
    </row>
    <row r="700" spans="1:10">
      <c r="A700" s="2">
        <v>24097951</v>
      </c>
      <c r="B700" s="2">
        <v>2409795101</v>
      </c>
      <c r="C700" s="2">
        <v>1</v>
      </c>
      <c r="D700" s="2">
        <v>2017</v>
      </c>
      <c r="E700" s="2">
        <v>1</v>
      </c>
      <c r="F700" s="2">
        <v>260.58</v>
      </c>
      <c r="G700" s="2">
        <v>470.33</v>
      </c>
      <c r="H700" s="2" t="str">
        <f>VLOOKUP(qhkz_4dqm[[#This Row],[fuel_type]],lookup!A:B,2,FALSE)</f>
        <v>Gasoline</v>
      </c>
      <c r="I700" s="2">
        <f ca="1">YEAR(TODAY())-qhkz_4dqm[[#This Row],[year]]</f>
        <v>9</v>
      </c>
      <c r="J700" s="2" t="str" cm="1">
        <f t="array" aca="1" ref="J700" ca="1">_xlfn.IFS(qhkz_4dqm[[#This Row],[vehicle_age]]&lt;=3,"Newer",qhkz_4dqm[[#This Row],[vehicle_age]]&lt;=9,"Mid-age",qhkz_4dqm[[#This Row],[vehicle_age]]&lt;=19,"Older",qhkz_4dqm[[#This Row],[vehicle_age]]&gt;=20,"Very Old")</f>
        <v>Mid-age</v>
      </c>
    </row>
    <row r="701" spans="1:10">
      <c r="A701" s="2">
        <v>24098171</v>
      </c>
      <c r="B701" s="2">
        <v>2409817101</v>
      </c>
      <c r="C701" s="2">
        <v>1</v>
      </c>
      <c r="D701" s="2">
        <v>2002</v>
      </c>
      <c r="E701" s="2">
        <v>1</v>
      </c>
      <c r="F701" s="2">
        <v>504.36</v>
      </c>
      <c r="G701" s="2">
        <v>847.67</v>
      </c>
      <c r="H701" s="2" t="str">
        <f>VLOOKUP(qhkz_4dqm[[#This Row],[fuel_type]],lookup!A:B,2,FALSE)</f>
        <v>Gasoline</v>
      </c>
      <c r="I701" s="2">
        <f ca="1">YEAR(TODAY())-qhkz_4dqm[[#This Row],[year]]</f>
        <v>24</v>
      </c>
      <c r="J701" s="2" t="str" cm="1">
        <f t="array" aca="1" ref="J701" ca="1">_xlfn.IFS(qhkz_4dqm[[#This Row],[vehicle_age]]&lt;=3,"Newer",qhkz_4dqm[[#This Row],[vehicle_age]]&lt;=9,"Mid-age",qhkz_4dqm[[#This Row],[vehicle_age]]&lt;=19,"Older",qhkz_4dqm[[#This Row],[vehicle_age]]&gt;=20,"Very Old")</f>
        <v>Very Old</v>
      </c>
    </row>
    <row r="702" spans="1:10">
      <c r="A702" s="2">
        <v>24098393</v>
      </c>
      <c r="B702" s="2">
        <v>2409839301</v>
      </c>
      <c r="C702" s="2">
        <v>1</v>
      </c>
      <c r="D702" s="2">
        <v>2015</v>
      </c>
      <c r="E702" s="2">
        <v>1</v>
      </c>
      <c r="F702" s="2">
        <v>593.22</v>
      </c>
      <c r="G702" s="2">
        <v>1746.64</v>
      </c>
      <c r="H702" s="2" t="str">
        <f>VLOOKUP(qhkz_4dqm[[#This Row],[fuel_type]],lookup!A:B,2,FALSE)</f>
        <v>Gasoline</v>
      </c>
      <c r="I702" s="2">
        <f ca="1">YEAR(TODAY())-qhkz_4dqm[[#This Row],[year]]</f>
        <v>11</v>
      </c>
      <c r="J702" s="2" t="str" cm="1">
        <f t="array" aca="1" ref="J702" ca="1">_xlfn.IFS(qhkz_4dqm[[#This Row],[vehicle_age]]&lt;=3,"Newer",qhkz_4dqm[[#This Row],[vehicle_age]]&lt;=9,"Mid-age",qhkz_4dqm[[#This Row],[vehicle_age]]&lt;=19,"Older",qhkz_4dqm[[#This Row],[vehicle_age]]&gt;=20,"Very Old")</f>
        <v>Older</v>
      </c>
    </row>
    <row r="703" spans="1:10">
      <c r="A703" s="2">
        <v>24098695</v>
      </c>
      <c r="B703" s="2">
        <v>2409869501</v>
      </c>
      <c r="C703" s="2">
        <v>1</v>
      </c>
      <c r="D703" s="2">
        <v>2023</v>
      </c>
      <c r="E703" s="2">
        <v>4</v>
      </c>
      <c r="F703" s="2">
        <v>154.19</v>
      </c>
      <c r="G703" s="2">
        <v>469.52</v>
      </c>
      <c r="H703" s="2" t="str">
        <f>VLOOKUP(qhkz_4dqm[[#This Row],[fuel_type]],lookup!A:B,2,FALSE)</f>
        <v>Electric</v>
      </c>
      <c r="I703" s="2">
        <f ca="1">YEAR(TODAY())-qhkz_4dqm[[#This Row],[year]]</f>
        <v>3</v>
      </c>
      <c r="J703" s="2" t="str" cm="1">
        <f t="array" aca="1" ref="J703" ca="1">_xlfn.IFS(qhkz_4dqm[[#This Row],[vehicle_age]]&lt;=3,"Newer",qhkz_4dqm[[#This Row],[vehicle_age]]&lt;=9,"Mid-age",qhkz_4dqm[[#This Row],[vehicle_age]]&lt;=19,"Older",qhkz_4dqm[[#This Row],[vehicle_age]]&gt;=20,"Very Old")</f>
        <v>Newer</v>
      </c>
    </row>
    <row r="704" spans="1:10">
      <c r="A704" s="2">
        <v>24098738</v>
      </c>
      <c r="B704" s="2">
        <v>2409873801</v>
      </c>
      <c r="C704" s="2">
        <v>1</v>
      </c>
      <c r="D704" s="2">
        <v>2004</v>
      </c>
      <c r="E704" s="2">
        <v>1</v>
      </c>
      <c r="F704" s="2">
        <v>605.64</v>
      </c>
      <c r="G704" s="2">
        <v>1400.78</v>
      </c>
      <c r="H704" s="2" t="str">
        <f>VLOOKUP(qhkz_4dqm[[#This Row],[fuel_type]],lookup!A:B,2,FALSE)</f>
        <v>Gasoline</v>
      </c>
      <c r="I704" s="2">
        <f ca="1">YEAR(TODAY())-qhkz_4dqm[[#This Row],[year]]</f>
        <v>22</v>
      </c>
      <c r="J704" s="2" t="str" cm="1">
        <f t="array" aca="1" ref="J704" ca="1">_xlfn.IFS(qhkz_4dqm[[#This Row],[vehicle_age]]&lt;=3,"Newer",qhkz_4dqm[[#This Row],[vehicle_age]]&lt;=9,"Mid-age",qhkz_4dqm[[#This Row],[vehicle_age]]&lt;=19,"Older",qhkz_4dqm[[#This Row],[vehicle_age]]&gt;=20,"Very Old")</f>
        <v>Very Old</v>
      </c>
    </row>
    <row r="705" spans="1:10">
      <c r="A705" s="2">
        <v>24098742</v>
      </c>
      <c r="B705" s="2">
        <v>2409874201</v>
      </c>
      <c r="C705" s="2">
        <v>1</v>
      </c>
      <c r="D705" s="2">
        <v>2021</v>
      </c>
      <c r="E705" s="2">
        <v>1</v>
      </c>
      <c r="F705" s="2">
        <v>74.260000000000005</v>
      </c>
      <c r="G705" s="2">
        <v>434.76</v>
      </c>
      <c r="H705" s="2" t="str">
        <f>VLOOKUP(qhkz_4dqm[[#This Row],[fuel_type]],lookup!A:B,2,FALSE)</f>
        <v>Gasoline</v>
      </c>
      <c r="I705" s="2">
        <f ca="1">YEAR(TODAY())-qhkz_4dqm[[#This Row],[year]]</f>
        <v>5</v>
      </c>
      <c r="J705" s="2" t="str" cm="1">
        <f t="array" aca="1" ref="J705" ca="1">_xlfn.IFS(qhkz_4dqm[[#This Row],[vehicle_age]]&lt;=3,"Newer",qhkz_4dqm[[#This Row],[vehicle_age]]&lt;=9,"Mid-age",qhkz_4dqm[[#This Row],[vehicle_age]]&lt;=19,"Older",qhkz_4dqm[[#This Row],[vehicle_age]]&gt;=20,"Very Old")</f>
        <v>Mid-age</v>
      </c>
    </row>
    <row r="706" spans="1:10">
      <c r="A706" s="2">
        <v>24098747</v>
      </c>
      <c r="B706" s="2">
        <v>2409874701</v>
      </c>
      <c r="C706" s="2">
        <v>1</v>
      </c>
      <c r="D706" s="2">
        <v>1996</v>
      </c>
      <c r="E706" s="2">
        <v>1</v>
      </c>
      <c r="F706" s="2">
        <v>511.92</v>
      </c>
      <c r="G706" s="2">
        <v>423.16</v>
      </c>
      <c r="H706" s="2" t="str">
        <f>VLOOKUP(qhkz_4dqm[[#This Row],[fuel_type]],lookup!A:B,2,FALSE)</f>
        <v>Gasoline</v>
      </c>
      <c r="I706" s="2">
        <f ca="1">YEAR(TODAY())-qhkz_4dqm[[#This Row],[year]]</f>
        <v>30</v>
      </c>
      <c r="J706" s="2" t="str" cm="1">
        <f t="array" aca="1" ref="J706" ca="1">_xlfn.IFS(qhkz_4dqm[[#This Row],[vehicle_age]]&lt;=3,"Newer",qhkz_4dqm[[#This Row],[vehicle_age]]&lt;=9,"Mid-age",qhkz_4dqm[[#This Row],[vehicle_age]]&lt;=19,"Older",qhkz_4dqm[[#This Row],[vehicle_age]]&gt;=20,"Very Old")</f>
        <v>Very Old</v>
      </c>
    </row>
    <row r="707" spans="1:10">
      <c r="A707" s="2">
        <v>24098756</v>
      </c>
      <c r="B707" s="2">
        <v>2409875601</v>
      </c>
      <c r="C707" s="2">
        <v>1</v>
      </c>
      <c r="D707" s="2">
        <v>2017</v>
      </c>
      <c r="E707" s="2">
        <v>1</v>
      </c>
      <c r="F707" s="2">
        <v>87.18</v>
      </c>
      <c r="G707" s="2">
        <v>239.64</v>
      </c>
      <c r="H707" s="2" t="str">
        <f>VLOOKUP(qhkz_4dqm[[#This Row],[fuel_type]],lookup!A:B,2,FALSE)</f>
        <v>Gasoline</v>
      </c>
      <c r="I707" s="2">
        <f ca="1">YEAR(TODAY())-qhkz_4dqm[[#This Row],[year]]</f>
        <v>9</v>
      </c>
      <c r="J707" s="2" t="str" cm="1">
        <f t="array" aca="1" ref="J707" ca="1">_xlfn.IFS(qhkz_4dqm[[#This Row],[vehicle_age]]&lt;=3,"Newer",qhkz_4dqm[[#This Row],[vehicle_age]]&lt;=9,"Mid-age",qhkz_4dqm[[#This Row],[vehicle_age]]&lt;=19,"Older",qhkz_4dqm[[#This Row],[vehicle_age]]&gt;=20,"Very Old")</f>
        <v>Mid-age</v>
      </c>
    </row>
    <row r="708" spans="1:10">
      <c r="A708" s="2">
        <v>24098787</v>
      </c>
      <c r="B708" s="2">
        <v>2409878701</v>
      </c>
      <c r="C708" s="2">
        <v>1</v>
      </c>
      <c r="D708" s="2">
        <v>2020</v>
      </c>
      <c r="E708" s="2">
        <v>1</v>
      </c>
      <c r="F708" s="2">
        <v>605.64</v>
      </c>
      <c r="G708" s="2">
        <v>1400.78</v>
      </c>
      <c r="H708" s="2" t="str">
        <f>VLOOKUP(qhkz_4dqm[[#This Row],[fuel_type]],lookup!A:B,2,FALSE)</f>
        <v>Gasoline</v>
      </c>
      <c r="I708" s="2">
        <f ca="1">YEAR(TODAY())-qhkz_4dqm[[#This Row],[year]]</f>
        <v>6</v>
      </c>
      <c r="J708" s="2" t="str" cm="1">
        <f t="array" aca="1" ref="J708" ca="1">_xlfn.IFS(qhkz_4dqm[[#This Row],[vehicle_age]]&lt;=3,"Newer",qhkz_4dqm[[#This Row],[vehicle_age]]&lt;=9,"Mid-age",qhkz_4dqm[[#This Row],[vehicle_age]]&lt;=19,"Older",qhkz_4dqm[[#This Row],[vehicle_age]]&gt;=20,"Very Old")</f>
        <v>Mid-age</v>
      </c>
    </row>
    <row r="709" spans="1:10">
      <c r="A709" s="2">
        <v>24098819</v>
      </c>
      <c r="B709" s="2">
        <v>2409881901</v>
      </c>
      <c r="C709" s="2">
        <v>1</v>
      </c>
      <c r="D709" s="2">
        <v>2011</v>
      </c>
      <c r="E709" s="2">
        <v>1</v>
      </c>
      <c r="F709" s="2">
        <v>97.01</v>
      </c>
      <c r="G709" s="2">
        <v>457.45</v>
      </c>
      <c r="H709" s="2" t="str">
        <f>VLOOKUP(qhkz_4dqm[[#This Row],[fuel_type]],lookup!A:B,2,FALSE)</f>
        <v>Gasoline</v>
      </c>
      <c r="I709" s="2">
        <f ca="1">YEAR(TODAY())-qhkz_4dqm[[#This Row],[year]]</f>
        <v>15</v>
      </c>
      <c r="J709" s="2" t="str" cm="1">
        <f t="array" aca="1" ref="J709" ca="1">_xlfn.IFS(qhkz_4dqm[[#This Row],[vehicle_age]]&lt;=3,"Newer",qhkz_4dqm[[#This Row],[vehicle_age]]&lt;=9,"Mid-age",qhkz_4dqm[[#This Row],[vehicle_age]]&lt;=19,"Older",qhkz_4dqm[[#This Row],[vehicle_age]]&gt;=20,"Very Old")</f>
        <v>Older</v>
      </c>
    </row>
    <row r="710" spans="1:10">
      <c r="A710" s="2">
        <v>24098994</v>
      </c>
      <c r="B710" s="2">
        <v>2409899401</v>
      </c>
      <c r="C710" s="2">
        <v>1</v>
      </c>
      <c r="D710" s="2">
        <v>2016</v>
      </c>
      <c r="E710" s="2">
        <v>1</v>
      </c>
      <c r="F710" s="2">
        <v>124.91</v>
      </c>
      <c r="G710" s="2">
        <v>410.59</v>
      </c>
      <c r="H710" s="2" t="str">
        <f>VLOOKUP(qhkz_4dqm[[#This Row],[fuel_type]],lookup!A:B,2,FALSE)</f>
        <v>Gasoline</v>
      </c>
      <c r="I710" s="2">
        <f ca="1">YEAR(TODAY())-qhkz_4dqm[[#This Row],[year]]</f>
        <v>10</v>
      </c>
      <c r="J710" s="2" t="str" cm="1">
        <f t="array" aca="1" ref="J710" ca="1">_xlfn.IFS(qhkz_4dqm[[#This Row],[vehicle_age]]&lt;=3,"Newer",qhkz_4dqm[[#This Row],[vehicle_age]]&lt;=9,"Mid-age",qhkz_4dqm[[#This Row],[vehicle_age]]&lt;=19,"Older",qhkz_4dqm[[#This Row],[vehicle_age]]&gt;=20,"Very Old")</f>
        <v>Older</v>
      </c>
    </row>
    <row r="711" spans="1:10">
      <c r="A711" s="2">
        <v>24099033</v>
      </c>
      <c r="B711" s="2">
        <v>2409903301</v>
      </c>
      <c r="C711" s="2">
        <v>1</v>
      </c>
      <c r="D711" s="2">
        <v>2016</v>
      </c>
      <c r="E711" s="2">
        <v>1</v>
      </c>
      <c r="F711" s="2">
        <v>860.43</v>
      </c>
      <c r="G711" s="2">
        <v>1793.46</v>
      </c>
      <c r="H711" s="2" t="str">
        <f>VLOOKUP(qhkz_4dqm[[#This Row],[fuel_type]],lookup!A:B,2,FALSE)</f>
        <v>Gasoline</v>
      </c>
      <c r="I711" s="2">
        <f ca="1">YEAR(TODAY())-qhkz_4dqm[[#This Row],[year]]</f>
        <v>10</v>
      </c>
      <c r="J711" s="2" t="str" cm="1">
        <f t="array" aca="1" ref="J711" ca="1">_xlfn.IFS(qhkz_4dqm[[#This Row],[vehicle_age]]&lt;=3,"Newer",qhkz_4dqm[[#This Row],[vehicle_age]]&lt;=9,"Mid-age",qhkz_4dqm[[#This Row],[vehicle_age]]&lt;=19,"Older",qhkz_4dqm[[#This Row],[vehicle_age]]&gt;=20,"Very Old")</f>
        <v>Older</v>
      </c>
    </row>
    <row r="712" spans="1:10">
      <c r="A712" s="2">
        <v>24099080</v>
      </c>
      <c r="B712" s="2">
        <v>2409908001</v>
      </c>
      <c r="C712" s="2">
        <v>1</v>
      </c>
      <c r="D712" s="2">
        <v>2023</v>
      </c>
      <c r="E712" s="2">
        <v>1</v>
      </c>
      <c r="F712" s="2">
        <v>58.7</v>
      </c>
      <c r="G712" s="2">
        <v>165.13</v>
      </c>
      <c r="H712" s="2" t="str">
        <f>VLOOKUP(qhkz_4dqm[[#This Row],[fuel_type]],lookup!A:B,2,FALSE)</f>
        <v>Gasoline</v>
      </c>
      <c r="I712" s="2">
        <f ca="1">YEAR(TODAY())-qhkz_4dqm[[#This Row],[year]]</f>
        <v>3</v>
      </c>
      <c r="J712" s="2" t="str" cm="1">
        <f t="array" aca="1" ref="J712" ca="1">_xlfn.IFS(qhkz_4dqm[[#This Row],[vehicle_age]]&lt;=3,"Newer",qhkz_4dqm[[#This Row],[vehicle_age]]&lt;=9,"Mid-age",qhkz_4dqm[[#This Row],[vehicle_age]]&lt;=19,"Older",qhkz_4dqm[[#This Row],[vehicle_age]]&gt;=20,"Very Old")</f>
        <v>Newer</v>
      </c>
    </row>
    <row r="713" spans="1:10">
      <c r="A713" s="2">
        <v>24099252</v>
      </c>
      <c r="B713" s="2">
        <v>2409925201</v>
      </c>
      <c r="C713" s="2">
        <v>1</v>
      </c>
      <c r="D713" s="2">
        <v>2023</v>
      </c>
      <c r="E713" s="2">
        <v>2</v>
      </c>
      <c r="F713" s="2">
        <v>140.88</v>
      </c>
      <c r="G713" s="2">
        <v>391.9</v>
      </c>
      <c r="H713" s="2" t="str">
        <f>VLOOKUP(qhkz_4dqm[[#This Row],[fuel_type]],lookup!A:B,2,FALSE)</f>
        <v>Diesel</v>
      </c>
      <c r="I713" s="2">
        <f ca="1">YEAR(TODAY())-qhkz_4dqm[[#This Row],[year]]</f>
        <v>3</v>
      </c>
      <c r="J713" s="2" t="str" cm="1">
        <f t="array" aca="1" ref="J713" ca="1">_xlfn.IFS(qhkz_4dqm[[#This Row],[vehicle_age]]&lt;=3,"Newer",qhkz_4dqm[[#This Row],[vehicle_age]]&lt;=9,"Mid-age",qhkz_4dqm[[#This Row],[vehicle_age]]&lt;=19,"Older",qhkz_4dqm[[#This Row],[vehicle_age]]&gt;=20,"Very Old")</f>
        <v>Newer</v>
      </c>
    </row>
    <row r="714" spans="1:10">
      <c r="A714" s="2">
        <v>24099288</v>
      </c>
      <c r="B714" s="2">
        <v>2409928801</v>
      </c>
      <c r="C714" s="2">
        <v>1</v>
      </c>
      <c r="D714" s="2">
        <v>2010</v>
      </c>
      <c r="E714" s="2">
        <v>1</v>
      </c>
      <c r="F714" s="2">
        <v>1565.59</v>
      </c>
      <c r="G714" s="2">
        <v>1280.08</v>
      </c>
      <c r="H714" s="2" t="str">
        <f>VLOOKUP(qhkz_4dqm[[#This Row],[fuel_type]],lookup!A:B,2,FALSE)</f>
        <v>Gasoline</v>
      </c>
      <c r="I714" s="2">
        <f ca="1">YEAR(TODAY())-qhkz_4dqm[[#This Row],[year]]</f>
        <v>16</v>
      </c>
      <c r="J714" s="2" t="str" cm="1">
        <f t="array" aca="1" ref="J714" ca="1">_xlfn.IFS(qhkz_4dqm[[#This Row],[vehicle_age]]&lt;=3,"Newer",qhkz_4dqm[[#This Row],[vehicle_age]]&lt;=9,"Mid-age",qhkz_4dqm[[#This Row],[vehicle_age]]&lt;=19,"Older",qhkz_4dqm[[#This Row],[vehicle_age]]&gt;=20,"Very Old")</f>
        <v>Older</v>
      </c>
    </row>
    <row r="715" spans="1:10">
      <c r="A715" s="2">
        <v>24099342</v>
      </c>
      <c r="B715" s="2">
        <v>2409934201</v>
      </c>
      <c r="C715" s="2">
        <v>1</v>
      </c>
      <c r="D715" s="2">
        <v>2020</v>
      </c>
      <c r="E715" s="2">
        <v>4</v>
      </c>
      <c r="F715" s="2">
        <v>277.47000000000003</v>
      </c>
      <c r="G715" s="2">
        <v>929.98</v>
      </c>
      <c r="H715" s="2" t="str">
        <f>VLOOKUP(qhkz_4dqm[[#This Row],[fuel_type]],lookup!A:B,2,FALSE)</f>
        <v>Electric</v>
      </c>
      <c r="I715" s="2">
        <f ca="1">YEAR(TODAY())-qhkz_4dqm[[#This Row],[year]]</f>
        <v>6</v>
      </c>
      <c r="J715" s="2" t="str" cm="1">
        <f t="array" aca="1" ref="J715" ca="1">_xlfn.IFS(qhkz_4dqm[[#This Row],[vehicle_age]]&lt;=3,"Newer",qhkz_4dqm[[#This Row],[vehicle_age]]&lt;=9,"Mid-age",qhkz_4dqm[[#This Row],[vehicle_age]]&lt;=19,"Older",qhkz_4dqm[[#This Row],[vehicle_age]]&gt;=20,"Very Old")</f>
        <v>Mid-age</v>
      </c>
    </row>
    <row r="716" spans="1:10">
      <c r="A716" s="2">
        <v>24099423</v>
      </c>
      <c r="B716" s="2">
        <v>2409942301</v>
      </c>
      <c r="C716" s="2">
        <v>1</v>
      </c>
      <c r="D716" s="2">
        <v>2017</v>
      </c>
      <c r="E716" s="2">
        <v>1</v>
      </c>
      <c r="F716" s="2">
        <v>75.069999999999993</v>
      </c>
      <c r="G716" s="2">
        <v>278.56</v>
      </c>
      <c r="H716" s="2" t="str">
        <f>VLOOKUP(qhkz_4dqm[[#This Row],[fuel_type]],lookup!A:B,2,FALSE)</f>
        <v>Gasoline</v>
      </c>
      <c r="I716" s="2">
        <f ca="1">YEAR(TODAY())-qhkz_4dqm[[#This Row],[year]]</f>
        <v>9</v>
      </c>
      <c r="J716" s="2" t="str" cm="1">
        <f t="array" aca="1" ref="J716" ca="1">_xlfn.IFS(qhkz_4dqm[[#This Row],[vehicle_age]]&lt;=3,"Newer",qhkz_4dqm[[#This Row],[vehicle_age]]&lt;=9,"Mid-age",qhkz_4dqm[[#This Row],[vehicle_age]]&lt;=19,"Older",qhkz_4dqm[[#This Row],[vehicle_age]]&gt;=20,"Very Old")</f>
        <v>Mid-age</v>
      </c>
    </row>
    <row r="717" spans="1:10">
      <c r="A717" s="2">
        <v>24099462</v>
      </c>
      <c r="B717" s="2">
        <v>2409946201</v>
      </c>
      <c r="C717" s="2">
        <v>1</v>
      </c>
      <c r="D717" s="2">
        <v>2010</v>
      </c>
      <c r="E717" s="2">
        <v>1</v>
      </c>
      <c r="F717" s="2">
        <v>71.95</v>
      </c>
      <c r="G717" s="2">
        <v>205.61</v>
      </c>
      <c r="H717" s="2" t="str">
        <f>VLOOKUP(qhkz_4dqm[[#This Row],[fuel_type]],lookup!A:B,2,FALSE)</f>
        <v>Gasoline</v>
      </c>
      <c r="I717" s="2">
        <f ca="1">YEAR(TODAY())-qhkz_4dqm[[#This Row],[year]]</f>
        <v>16</v>
      </c>
      <c r="J717" s="2" t="str" cm="1">
        <f t="array" aca="1" ref="J717" ca="1">_xlfn.IFS(qhkz_4dqm[[#This Row],[vehicle_age]]&lt;=3,"Newer",qhkz_4dqm[[#This Row],[vehicle_age]]&lt;=9,"Mid-age",qhkz_4dqm[[#This Row],[vehicle_age]]&lt;=19,"Older",qhkz_4dqm[[#This Row],[vehicle_age]]&gt;=20,"Very Old")</f>
        <v>Older</v>
      </c>
    </row>
    <row r="718" spans="1:10">
      <c r="A718" s="2">
        <v>24099496</v>
      </c>
      <c r="B718" s="2">
        <v>2409949601</v>
      </c>
      <c r="C718" s="2">
        <v>1</v>
      </c>
      <c r="D718" s="2">
        <v>2018</v>
      </c>
      <c r="E718" s="2">
        <v>1</v>
      </c>
      <c r="F718" s="2">
        <v>93.87</v>
      </c>
      <c r="G718" s="2">
        <v>481.79</v>
      </c>
      <c r="H718" s="2" t="str">
        <f>VLOOKUP(qhkz_4dqm[[#This Row],[fuel_type]],lookup!A:B,2,FALSE)</f>
        <v>Gasoline</v>
      </c>
      <c r="I718" s="2">
        <f ca="1">YEAR(TODAY())-qhkz_4dqm[[#This Row],[year]]</f>
        <v>8</v>
      </c>
      <c r="J718" s="2" t="str" cm="1">
        <f t="array" aca="1" ref="J718" ca="1">_xlfn.IFS(qhkz_4dqm[[#This Row],[vehicle_age]]&lt;=3,"Newer",qhkz_4dqm[[#This Row],[vehicle_age]]&lt;=9,"Mid-age",qhkz_4dqm[[#This Row],[vehicle_age]]&lt;=19,"Older",qhkz_4dqm[[#This Row],[vehicle_age]]&gt;=20,"Very Old")</f>
        <v>Mid-age</v>
      </c>
    </row>
    <row r="719" spans="1:10">
      <c r="A719" s="2">
        <v>24099507</v>
      </c>
      <c r="B719" s="2">
        <v>2409950701</v>
      </c>
      <c r="C719" s="2">
        <v>1</v>
      </c>
      <c r="D719" s="2">
        <v>2022</v>
      </c>
      <c r="E719" s="2">
        <v>4</v>
      </c>
      <c r="F719" s="2">
        <v>261.69</v>
      </c>
      <c r="G719" s="2">
        <v>599.04999999999995</v>
      </c>
      <c r="H719" s="2" t="str">
        <f>VLOOKUP(qhkz_4dqm[[#This Row],[fuel_type]],lookup!A:B,2,FALSE)</f>
        <v>Electric</v>
      </c>
      <c r="I719" s="2">
        <f ca="1">YEAR(TODAY())-qhkz_4dqm[[#This Row],[year]]</f>
        <v>4</v>
      </c>
      <c r="J719" s="2" t="str" cm="1">
        <f t="array" aca="1" ref="J719" ca="1">_xlfn.IFS(qhkz_4dqm[[#This Row],[vehicle_age]]&lt;=3,"Newer",qhkz_4dqm[[#This Row],[vehicle_age]]&lt;=9,"Mid-age",qhkz_4dqm[[#This Row],[vehicle_age]]&lt;=19,"Older",qhkz_4dqm[[#This Row],[vehicle_age]]&gt;=20,"Very Old")</f>
        <v>Mid-age</v>
      </c>
    </row>
    <row r="720" spans="1:10">
      <c r="A720" s="2">
        <v>24099608</v>
      </c>
      <c r="B720" s="2">
        <v>2409960801</v>
      </c>
      <c r="C720" s="2">
        <v>1</v>
      </c>
      <c r="D720" s="2">
        <v>2005</v>
      </c>
      <c r="E720" s="2">
        <v>1</v>
      </c>
      <c r="F720" s="2">
        <v>129.47</v>
      </c>
      <c r="G720" s="2">
        <v>423.74</v>
      </c>
      <c r="H720" s="2" t="str">
        <f>VLOOKUP(qhkz_4dqm[[#This Row],[fuel_type]],lookup!A:B,2,FALSE)</f>
        <v>Gasoline</v>
      </c>
      <c r="I720" s="2">
        <f ca="1">YEAR(TODAY())-qhkz_4dqm[[#This Row],[year]]</f>
        <v>21</v>
      </c>
      <c r="J720" s="2" t="str" cm="1">
        <f t="array" aca="1" ref="J720" ca="1">_xlfn.IFS(qhkz_4dqm[[#This Row],[vehicle_age]]&lt;=3,"Newer",qhkz_4dqm[[#This Row],[vehicle_age]]&lt;=9,"Mid-age",qhkz_4dqm[[#This Row],[vehicle_age]]&lt;=19,"Older",qhkz_4dqm[[#This Row],[vehicle_age]]&gt;=20,"Very Old")</f>
        <v>Very Old</v>
      </c>
    </row>
    <row r="721" spans="1:10">
      <c r="A721" s="2">
        <v>24099745</v>
      </c>
      <c r="B721" s="2">
        <v>2409974501</v>
      </c>
      <c r="C721" s="2">
        <v>1</v>
      </c>
      <c r="D721" s="2">
        <v>2023</v>
      </c>
      <c r="E721" s="2">
        <v>1</v>
      </c>
      <c r="F721" s="2">
        <v>3395.23</v>
      </c>
      <c r="G721" s="2">
        <v>2526.2600000000002</v>
      </c>
      <c r="H721" s="2" t="str">
        <f>VLOOKUP(qhkz_4dqm[[#This Row],[fuel_type]],lookup!A:B,2,FALSE)</f>
        <v>Gasoline</v>
      </c>
      <c r="I721" s="2">
        <f ca="1">YEAR(TODAY())-qhkz_4dqm[[#This Row],[year]]</f>
        <v>3</v>
      </c>
      <c r="J721" s="2" t="str" cm="1">
        <f t="array" aca="1" ref="J721" ca="1">_xlfn.IFS(qhkz_4dqm[[#This Row],[vehicle_age]]&lt;=3,"Newer",qhkz_4dqm[[#This Row],[vehicle_age]]&lt;=9,"Mid-age",qhkz_4dqm[[#This Row],[vehicle_age]]&lt;=19,"Older",qhkz_4dqm[[#This Row],[vehicle_age]]&gt;=20,"Very Old")</f>
        <v>Newer</v>
      </c>
    </row>
    <row r="722" spans="1:10">
      <c r="A722" s="2">
        <v>24099897</v>
      </c>
      <c r="B722" s="2">
        <v>2409989701</v>
      </c>
      <c r="C722" s="2">
        <v>1</v>
      </c>
      <c r="D722" s="2">
        <v>2014</v>
      </c>
      <c r="E722" s="2">
        <v>1</v>
      </c>
      <c r="F722" s="2">
        <v>978.52</v>
      </c>
      <c r="G722" s="2">
        <v>1133.8599999999999</v>
      </c>
      <c r="H722" s="2" t="str">
        <f>VLOOKUP(qhkz_4dqm[[#This Row],[fuel_type]],lookup!A:B,2,FALSE)</f>
        <v>Gasoline</v>
      </c>
      <c r="I722" s="2">
        <f ca="1">YEAR(TODAY())-qhkz_4dqm[[#This Row],[year]]</f>
        <v>12</v>
      </c>
      <c r="J722" s="2" t="str" cm="1">
        <f t="array" aca="1" ref="J722" ca="1">_xlfn.IFS(qhkz_4dqm[[#This Row],[vehicle_age]]&lt;=3,"Newer",qhkz_4dqm[[#This Row],[vehicle_age]]&lt;=9,"Mid-age",qhkz_4dqm[[#This Row],[vehicle_age]]&lt;=19,"Older",qhkz_4dqm[[#This Row],[vehicle_age]]&gt;=20,"Very Old")</f>
        <v>Older</v>
      </c>
    </row>
    <row r="723" spans="1:10">
      <c r="A723" s="2">
        <v>24099957</v>
      </c>
      <c r="B723" s="2">
        <v>2409995701</v>
      </c>
      <c r="C723" s="2">
        <v>1</v>
      </c>
      <c r="D723" s="2">
        <v>2018</v>
      </c>
      <c r="E723" s="2">
        <v>4</v>
      </c>
      <c r="F723" s="2">
        <v>4341.84</v>
      </c>
      <c r="G723" s="2">
        <v>3327.39</v>
      </c>
      <c r="H723" s="2" t="str">
        <f>VLOOKUP(qhkz_4dqm[[#This Row],[fuel_type]],lookup!A:B,2,FALSE)</f>
        <v>Electric</v>
      </c>
      <c r="I723" s="2">
        <f ca="1">YEAR(TODAY())-qhkz_4dqm[[#This Row],[year]]</f>
        <v>8</v>
      </c>
      <c r="J723" s="2" t="str" cm="1">
        <f t="array" aca="1" ref="J723" ca="1">_xlfn.IFS(qhkz_4dqm[[#This Row],[vehicle_age]]&lt;=3,"Newer",qhkz_4dqm[[#This Row],[vehicle_age]]&lt;=9,"Mid-age",qhkz_4dqm[[#This Row],[vehicle_age]]&lt;=19,"Older",qhkz_4dqm[[#This Row],[vehicle_age]]&gt;=20,"Very Old")</f>
        <v>Mid-age</v>
      </c>
    </row>
    <row r="724" spans="1:10">
      <c r="A724" s="2">
        <v>24100002</v>
      </c>
      <c r="B724" s="2">
        <v>2410000201</v>
      </c>
      <c r="C724" s="2">
        <v>1</v>
      </c>
      <c r="D724" s="2">
        <v>2021</v>
      </c>
      <c r="E724" s="2">
        <v>1</v>
      </c>
      <c r="F724" s="2">
        <v>201.26</v>
      </c>
      <c r="G724" s="2">
        <v>801.91</v>
      </c>
      <c r="H724" s="2" t="str">
        <f>VLOOKUP(qhkz_4dqm[[#This Row],[fuel_type]],lookup!A:B,2,FALSE)</f>
        <v>Gasoline</v>
      </c>
      <c r="I724" s="2">
        <f ca="1">YEAR(TODAY())-qhkz_4dqm[[#This Row],[year]]</f>
        <v>5</v>
      </c>
      <c r="J724" s="2" t="str" cm="1">
        <f t="array" aca="1" ref="J724" ca="1">_xlfn.IFS(qhkz_4dqm[[#This Row],[vehicle_age]]&lt;=3,"Newer",qhkz_4dqm[[#This Row],[vehicle_age]]&lt;=9,"Mid-age",qhkz_4dqm[[#This Row],[vehicle_age]]&lt;=19,"Older",qhkz_4dqm[[#This Row],[vehicle_age]]&gt;=20,"Very Old")</f>
        <v>Mid-age</v>
      </c>
    </row>
    <row r="725" spans="1:10">
      <c r="A725" s="2">
        <v>24100127</v>
      </c>
      <c r="B725" s="2">
        <v>2410012701</v>
      </c>
      <c r="C725" s="2">
        <v>1</v>
      </c>
      <c r="D725" s="2">
        <v>2024</v>
      </c>
      <c r="E725" s="2">
        <v>1</v>
      </c>
      <c r="F725" s="2">
        <v>724.01</v>
      </c>
      <c r="G725" s="2">
        <v>380.08</v>
      </c>
      <c r="H725" s="2" t="str">
        <f>VLOOKUP(qhkz_4dqm[[#This Row],[fuel_type]],lookup!A:B,2,FALSE)</f>
        <v>Gasoline</v>
      </c>
      <c r="I725" s="2">
        <f ca="1">YEAR(TODAY())-qhkz_4dqm[[#This Row],[year]]</f>
        <v>2</v>
      </c>
      <c r="J725" s="2" t="str" cm="1">
        <f t="array" aca="1" ref="J725" ca="1">_xlfn.IFS(qhkz_4dqm[[#This Row],[vehicle_age]]&lt;=3,"Newer",qhkz_4dqm[[#This Row],[vehicle_age]]&lt;=9,"Mid-age",qhkz_4dqm[[#This Row],[vehicle_age]]&lt;=19,"Older",qhkz_4dqm[[#This Row],[vehicle_age]]&gt;=20,"Very Old")</f>
        <v>Newer</v>
      </c>
    </row>
    <row r="726" spans="1:10">
      <c r="A726" s="2">
        <v>24100271</v>
      </c>
      <c r="B726" s="2">
        <v>2410027101</v>
      </c>
      <c r="C726" s="2">
        <v>1</v>
      </c>
      <c r="D726" s="2">
        <v>2020</v>
      </c>
      <c r="E726" s="2">
        <v>1</v>
      </c>
      <c r="F726" s="2">
        <v>667.96</v>
      </c>
      <c r="G726" s="2">
        <v>1072.81</v>
      </c>
      <c r="H726" s="2" t="str">
        <f>VLOOKUP(qhkz_4dqm[[#This Row],[fuel_type]],lookup!A:B,2,FALSE)</f>
        <v>Gasoline</v>
      </c>
      <c r="I726" s="2">
        <f ca="1">YEAR(TODAY())-qhkz_4dqm[[#This Row],[year]]</f>
        <v>6</v>
      </c>
      <c r="J726" s="2" t="str" cm="1">
        <f t="array" aca="1" ref="J726" ca="1">_xlfn.IFS(qhkz_4dqm[[#This Row],[vehicle_age]]&lt;=3,"Newer",qhkz_4dqm[[#This Row],[vehicle_age]]&lt;=9,"Mid-age",qhkz_4dqm[[#This Row],[vehicle_age]]&lt;=19,"Older",qhkz_4dqm[[#This Row],[vehicle_age]]&gt;=20,"Very Old")</f>
        <v>Mid-age</v>
      </c>
    </row>
    <row r="727" spans="1:10">
      <c r="A727" s="2">
        <v>24100286</v>
      </c>
      <c r="B727" s="2">
        <v>2410028601</v>
      </c>
      <c r="C727" s="2">
        <v>1</v>
      </c>
      <c r="D727" s="2">
        <v>2020</v>
      </c>
      <c r="E727" s="2">
        <v>1</v>
      </c>
      <c r="F727" s="2">
        <v>140.88</v>
      </c>
      <c r="G727" s="2">
        <v>391.9</v>
      </c>
      <c r="H727" s="2" t="str">
        <f>VLOOKUP(qhkz_4dqm[[#This Row],[fuel_type]],lookup!A:B,2,FALSE)</f>
        <v>Gasoline</v>
      </c>
      <c r="I727" s="2">
        <f ca="1">YEAR(TODAY())-qhkz_4dqm[[#This Row],[year]]</f>
        <v>6</v>
      </c>
      <c r="J727" s="2" t="str" cm="1">
        <f t="array" aca="1" ref="J727" ca="1">_xlfn.IFS(qhkz_4dqm[[#This Row],[vehicle_age]]&lt;=3,"Newer",qhkz_4dqm[[#This Row],[vehicle_age]]&lt;=9,"Mid-age",qhkz_4dqm[[#This Row],[vehicle_age]]&lt;=19,"Older",qhkz_4dqm[[#This Row],[vehicle_age]]&gt;=20,"Very Old")</f>
        <v>Mid-age</v>
      </c>
    </row>
    <row r="728" spans="1:10">
      <c r="A728" s="2">
        <v>24100349</v>
      </c>
      <c r="B728" s="2">
        <v>2410034901</v>
      </c>
      <c r="C728" s="2">
        <v>1</v>
      </c>
      <c r="D728" s="2">
        <v>2021</v>
      </c>
      <c r="E728" s="2">
        <v>1</v>
      </c>
      <c r="F728" s="2">
        <v>786.53</v>
      </c>
      <c r="G728" s="2">
        <v>1128.3699999999999</v>
      </c>
      <c r="H728" s="2" t="str">
        <f>VLOOKUP(qhkz_4dqm[[#This Row],[fuel_type]],lookup!A:B,2,FALSE)</f>
        <v>Gasoline</v>
      </c>
      <c r="I728" s="2">
        <f ca="1">YEAR(TODAY())-qhkz_4dqm[[#This Row],[year]]</f>
        <v>5</v>
      </c>
      <c r="J728" s="2" t="str" cm="1">
        <f t="array" aca="1" ref="J728" ca="1">_xlfn.IFS(qhkz_4dqm[[#This Row],[vehicle_age]]&lt;=3,"Newer",qhkz_4dqm[[#This Row],[vehicle_age]]&lt;=9,"Mid-age",qhkz_4dqm[[#This Row],[vehicle_age]]&lt;=19,"Older",qhkz_4dqm[[#This Row],[vehicle_age]]&gt;=20,"Very Old")</f>
        <v>Mid-age</v>
      </c>
    </row>
    <row r="729" spans="1:10">
      <c r="A729" s="2">
        <v>24100434</v>
      </c>
      <c r="B729" s="2">
        <v>2410043401</v>
      </c>
      <c r="C729" s="2">
        <v>1</v>
      </c>
      <c r="D729" s="2">
        <v>2008</v>
      </c>
      <c r="E729" s="2">
        <v>1</v>
      </c>
      <c r="F729" s="2">
        <v>1866.8</v>
      </c>
      <c r="G729" s="2">
        <v>2937.21</v>
      </c>
      <c r="H729" s="2" t="str">
        <f>VLOOKUP(qhkz_4dqm[[#This Row],[fuel_type]],lookup!A:B,2,FALSE)</f>
        <v>Gasoline</v>
      </c>
      <c r="I729" s="2">
        <f ca="1">YEAR(TODAY())-qhkz_4dqm[[#This Row],[year]]</f>
        <v>18</v>
      </c>
      <c r="J729" s="2" t="str" cm="1">
        <f t="array" aca="1" ref="J729" ca="1">_xlfn.IFS(qhkz_4dqm[[#This Row],[vehicle_age]]&lt;=3,"Newer",qhkz_4dqm[[#This Row],[vehicle_age]]&lt;=9,"Mid-age",qhkz_4dqm[[#This Row],[vehicle_age]]&lt;=19,"Older",qhkz_4dqm[[#This Row],[vehicle_age]]&gt;=20,"Very Old")</f>
        <v>Older</v>
      </c>
    </row>
    <row r="730" spans="1:10">
      <c r="A730" s="2">
        <v>24100501</v>
      </c>
      <c r="B730" s="2">
        <v>2410050101</v>
      </c>
      <c r="C730" s="2">
        <v>1</v>
      </c>
      <c r="D730" s="2">
        <v>2019</v>
      </c>
      <c r="E730" s="2">
        <v>1</v>
      </c>
      <c r="F730" s="2">
        <v>1185.7</v>
      </c>
      <c r="G730" s="2">
        <v>2138.0500000000002</v>
      </c>
      <c r="H730" s="2" t="str">
        <f>VLOOKUP(qhkz_4dqm[[#This Row],[fuel_type]],lookup!A:B,2,FALSE)</f>
        <v>Gasoline</v>
      </c>
      <c r="I730" s="2">
        <f ca="1">YEAR(TODAY())-qhkz_4dqm[[#This Row],[year]]</f>
        <v>7</v>
      </c>
      <c r="J730" s="2" t="str" cm="1">
        <f t="array" aca="1" ref="J730" ca="1">_xlfn.IFS(qhkz_4dqm[[#This Row],[vehicle_age]]&lt;=3,"Newer",qhkz_4dqm[[#This Row],[vehicle_age]]&lt;=9,"Mid-age",qhkz_4dqm[[#This Row],[vehicle_age]]&lt;=19,"Older",qhkz_4dqm[[#This Row],[vehicle_age]]&gt;=20,"Very Old")</f>
        <v>Mid-age</v>
      </c>
    </row>
    <row r="731" spans="1:10">
      <c r="A731" s="2">
        <v>24100529</v>
      </c>
      <c r="B731" s="2">
        <v>2410052901</v>
      </c>
      <c r="C731" s="2">
        <v>1</v>
      </c>
      <c r="D731" s="2">
        <v>2022</v>
      </c>
      <c r="E731" s="2">
        <v>1</v>
      </c>
      <c r="F731" s="2">
        <v>673.82</v>
      </c>
      <c r="G731" s="2">
        <v>1323.52</v>
      </c>
      <c r="H731" s="2" t="str">
        <f>VLOOKUP(qhkz_4dqm[[#This Row],[fuel_type]],lookup!A:B,2,FALSE)</f>
        <v>Gasoline</v>
      </c>
      <c r="I731" s="2">
        <f ca="1">YEAR(TODAY())-qhkz_4dqm[[#This Row],[year]]</f>
        <v>4</v>
      </c>
      <c r="J731" s="2" t="str" cm="1">
        <f t="array" aca="1" ref="J731" ca="1">_xlfn.IFS(qhkz_4dqm[[#This Row],[vehicle_age]]&lt;=3,"Newer",qhkz_4dqm[[#This Row],[vehicle_age]]&lt;=9,"Mid-age",qhkz_4dqm[[#This Row],[vehicle_age]]&lt;=19,"Older",qhkz_4dqm[[#This Row],[vehicle_age]]&gt;=20,"Very Old")</f>
        <v>Mid-age</v>
      </c>
    </row>
    <row r="732" spans="1:10">
      <c r="A732" s="2">
        <v>24100631</v>
      </c>
      <c r="B732" s="2">
        <v>2410063101</v>
      </c>
      <c r="C732" s="2">
        <v>1</v>
      </c>
      <c r="D732" s="2">
        <v>2018</v>
      </c>
      <c r="E732" s="2">
        <v>1</v>
      </c>
      <c r="F732" s="2">
        <v>629.66</v>
      </c>
      <c r="G732" s="2">
        <v>801.11</v>
      </c>
      <c r="H732" s="2" t="str">
        <f>VLOOKUP(qhkz_4dqm[[#This Row],[fuel_type]],lookup!A:B,2,FALSE)</f>
        <v>Gasoline</v>
      </c>
      <c r="I732" s="2">
        <f ca="1">YEAR(TODAY())-qhkz_4dqm[[#This Row],[year]]</f>
        <v>8</v>
      </c>
      <c r="J732" s="2" t="str" cm="1">
        <f t="array" aca="1" ref="J732" ca="1">_xlfn.IFS(qhkz_4dqm[[#This Row],[vehicle_age]]&lt;=3,"Newer",qhkz_4dqm[[#This Row],[vehicle_age]]&lt;=9,"Mid-age",qhkz_4dqm[[#This Row],[vehicle_age]]&lt;=19,"Older",qhkz_4dqm[[#This Row],[vehicle_age]]&gt;=20,"Very Old")</f>
        <v>Mid-age</v>
      </c>
    </row>
    <row r="733" spans="1:10">
      <c r="A733" s="2">
        <v>24100643</v>
      </c>
      <c r="B733" s="2">
        <v>2410064301</v>
      </c>
      <c r="C733" s="2">
        <v>1</v>
      </c>
      <c r="D733" s="2">
        <v>2012</v>
      </c>
      <c r="E733" s="2">
        <v>1</v>
      </c>
      <c r="F733" s="2">
        <v>4992.79</v>
      </c>
      <c r="G733" s="2">
        <v>3322.93</v>
      </c>
      <c r="H733" s="2" t="str">
        <f>VLOOKUP(qhkz_4dqm[[#This Row],[fuel_type]],lookup!A:B,2,FALSE)</f>
        <v>Gasoline</v>
      </c>
      <c r="I733" s="2">
        <f ca="1">YEAR(TODAY())-qhkz_4dqm[[#This Row],[year]]</f>
        <v>14</v>
      </c>
      <c r="J733" s="2" t="str" cm="1">
        <f t="array" aca="1" ref="J733" ca="1">_xlfn.IFS(qhkz_4dqm[[#This Row],[vehicle_age]]&lt;=3,"Newer",qhkz_4dqm[[#This Row],[vehicle_age]]&lt;=9,"Mid-age",qhkz_4dqm[[#This Row],[vehicle_age]]&lt;=19,"Older",qhkz_4dqm[[#This Row],[vehicle_age]]&gt;=20,"Very Old")</f>
        <v>Older</v>
      </c>
    </row>
    <row r="734" spans="1:10">
      <c r="A734" s="2">
        <v>24100654</v>
      </c>
      <c r="B734" s="2">
        <v>2410065401</v>
      </c>
      <c r="C734" s="2">
        <v>1</v>
      </c>
      <c r="D734" s="2">
        <v>2016</v>
      </c>
      <c r="E734" s="2">
        <v>1</v>
      </c>
      <c r="F734" s="2">
        <v>786.53</v>
      </c>
      <c r="G734" s="2">
        <v>1128.3699999999999</v>
      </c>
      <c r="H734" s="2" t="str">
        <f>VLOOKUP(qhkz_4dqm[[#This Row],[fuel_type]],lookup!A:B,2,FALSE)</f>
        <v>Gasoline</v>
      </c>
      <c r="I734" s="2">
        <f ca="1">YEAR(TODAY())-qhkz_4dqm[[#This Row],[year]]</f>
        <v>10</v>
      </c>
      <c r="J734" s="2" t="str" cm="1">
        <f t="array" aca="1" ref="J734" ca="1">_xlfn.IFS(qhkz_4dqm[[#This Row],[vehicle_age]]&lt;=3,"Newer",qhkz_4dqm[[#This Row],[vehicle_age]]&lt;=9,"Mid-age",qhkz_4dqm[[#This Row],[vehicle_age]]&lt;=19,"Older",qhkz_4dqm[[#This Row],[vehicle_age]]&gt;=20,"Very Old")</f>
        <v>Older</v>
      </c>
    </row>
    <row r="735" spans="1:10">
      <c r="A735" s="2">
        <v>24100696</v>
      </c>
      <c r="B735" s="2">
        <v>2410069601</v>
      </c>
      <c r="C735" s="2">
        <v>1</v>
      </c>
      <c r="D735" s="2">
        <v>2018</v>
      </c>
      <c r="E735" s="2">
        <v>1</v>
      </c>
      <c r="F735" s="2">
        <v>644.98</v>
      </c>
      <c r="G735" s="2">
        <v>1305.8</v>
      </c>
      <c r="H735" s="2" t="str">
        <f>VLOOKUP(qhkz_4dqm[[#This Row],[fuel_type]],lookup!A:B,2,FALSE)</f>
        <v>Gasoline</v>
      </c>
      <c r="I735" s="2">
        <f ca="1">YEAR(TODAY())-qhkz_4dqm[[#This Row],[year]]</f>
        <v>8</v>
      </c>
      <c r="J735" s="2" t="str" cm="1">
        <f t="array" aca="1" ref="J735" ca="1">_xlfn.IFS(qhkz_4dqm[[#This Row],[vehicle_age]]&lt;=3,"Newer",qhkz_4dqm[[#This Row],[vehicle_age]]&lt;=9,"Mid-age",qhkz_4dqm[[#This Row],[vehicle_age]]&lt;=19,"Older",qhkz_4dqm[[#This Row],[vehicle_age]]&gt;=20,"Very Old")</f>
        <v>Mid-age</v>
      </c>
    </row>
    <row r="736" spans="1:10">
      <c r="A736" s="2">
        <v>24100723</v>
      </c>
      <c r="B736" s="2">
        <v>2410072301</v>
      </c>
      <c r="C736" s="2">
        <v>1</v>
      </c>
      <c r="D736" s="2">
        <v>2015</v>
      </c>
      <c r="E736" s="2">
        <v>1</v>
      </c>
      <c r="F736" s="2">
        <v>1761.01</v>
      </c>
      <c r="G736" s="2">
        <v>1871.47</v>
      </c>
      <c r="H736" s="2" t="str">
        <f>VLOOKUP(qhkz_4dqm[[#This Row],[fuel_type]],lookup!A:B,2,FALSE)</f>
        <v>Gasoline</v>
      </c>
      <c r="I736" s="2">
        <f ca="1">YEAR(TODAY())-qhkz_4dqm[[#This Row],[year]]</f>
        <v>11</v>
      </c>
      <c r="J736" s="2" t="str" cm="1">
        <f t="array" aca="1" ref="J736" ca="1">_xlfn.IFS(qhkz_4dqm[[#This Row],[vehicle_age]]&lt;=3,"Newer",qhkz_4dqm[[#This Row],[vehicle_age]]&lt;=9,"Mid-age",qhkz_4dqm[[#This Row],[vehicle_age]]&lt;=19,"Older",qhkz_4dqm[[#This Row],[vehicle_age]]&gt;=20,"Very Old")</f>
        <v>Older</v>
      </c>
    </row>
    <row r="737" spans="1:10">
      <c r="A737" s="2">
        <v>24100870</v>
      </c>
      <c r="B737" s="2">
        <v>2410087001</v>
      </c>
      <c r="C737" s="2">
        <v>1</v>
      </c>
      <c r="D737" s="2">
        <v>2023</v>
      </c>
      <c r="E737" s="2">
        <v>4</v>
      </c>
      <c r="F737" s="2">
        <v>690.98</v>
      </c>
      <c r="G737" s="2">
        <v>1267.69</v>
      </c>
      <c r="H737" s="2" t="str">
        <f>VLOOKUP(qhkz_4dqm[[#This Row],[fuel_type]],lookup!A:B,2,FALSE)</f>
        <v>Electric</v>
      </c>
      <c r="I737" s="2">
        <f ca="1">YEAR(TODAY())-qhkz_4dqm[[#This Row],[year]]</f>
        <v>3</v>
      </c>
      <c r="J737" s="2" t="str" cm="1">
        <f t="array" aca="1" ref="J737" ca="1">_xlfn.IFS(qhkz_4dqm[[#This Row],[vehicle_age]]&lt;=3,"Newer",qhkz_4dqm[[#This Row],[vehicle_age]]&lt;=9,"Mid-age",qhkz_4dqm[[#This Row],[vehicle_age]]&lt;=19,"Older",qhkz_4dqm[[#This Row],[vehicle_age]]&gt;=20,"Very Old")</f>
        <v>Newer</v>
      </c>
    </row>
    <row r="738" spans="1:10">
      <c r="A738" s="2">
        <v>24100914</v>
      </c>
      <c r="B738" s="2">
        <v>2410091401</v>
      </c>
      <c r="C738" s="2">
        <v>1</v>
      </c>
      <c r="D738" s="2">
        <v>2022</v>
      </c>
      <c r="E738" s="2">
        <v>1</v>
      </c>
      <c r="F738" s="2">
        <v>1711.31</v>
      </c>
      <c r="G738" s="2">
        <v>1017.07</v>
      </c>
      <c r="H738" s="2" t="str">
        <f>VLOOKUP(qhkz_4dqm[[#This Row],[fuel_type]],lookup!A:B,2,FALSE)</f>
        <v>Gasoline</v>
      </c>
      <c r="I738" s="2">
        <f ca="1">YEAR(TODAY())-qhkz_4dqm[[#This Row],[year]]</f>
        <v>4</v>
      </c>
      <c r="J738" s="2" t="str" cm="1">
        <f t="array" aca="1" ref="J738" ca="1">_xlfn.IFS(qhkz_4dqm[[#This Row],[vehicle_age]]&lt;=3,"Newer",qhkz_4dqm[[#This Row],[vehicle_age]]&lt;=9,"Mid-age",qhkz_4dqm[[#This Row],[vehicle_age]]&lt;=19,"Older",qhkz_4dqm[[#This Row],[vehicle_age]]&gt;=20,"Very Old")</f>
        <v>Mid-age</v>
      </c>
    </row>
    <row r="739" spans="1:10">
      <c r="A739" s="2">
        <v>24100949</v>
      </c>
      <c r="B739" s="2">
        <v>2410094901</v>
      </c>
      <c r="C739" s="2">
        <v>1</v>
      </c>
      <c r="D739" s="2">
        <v>2022</v>
      </c>
      <c r="E739" s="2">
        <v>1</v>
      </c>
      <c r="F739" s="2">
        <v>513.54</v>
      </c>
      <c r="G739" s="2">
        <v>1118.76</v>
      </c>
      <c r="H739" s="2" t="str">
        <f>VLOOKUP(qhkz_4dqm[[#This Row],[fuel_type]],lookup!A:B,2,FALSE)</f>
        <v>Gasoline</v>
      </c>
      <c r="I739" s="2">
        <f ca="1">YEAR(TODAY())-qhkz_4dqm[[#This Row],[year]]</f>
        <v>4</v>
      </c>
      <c r="J739" s="2" t="str" cm="1">
        <f t="array" aca="1" ref="J739" ca="1">_xlfn.IFS(qhkz_4dqm[[#This Row],[vehicle_age]]&lt;=3,"Newer",qhkz_4dqm[[#This Row],[vehicle_age]]&lt;=9,"Mid-age",qhkz_4dqm[[#This Row],[vehicle_age]]&lt;=19,"Older",qhkz_4dqm[[#This Row],[vehicle_age]]&gt;=20,"Very Old")</f>
        <v>Mid-age</v>
      </c>
    </row>
    <row r="740" spans="1:10">
      <c r="A740" s="2">
        <v>24100977</v>
      </c>
      <c r="B740" s="2">
        <v>2410097701</v>
      </c>
      <c r="C740" s="2">
        <v>1</v>
      </c>
      <c r="D740" s="2">
        <v>2022</v>
      </c>
      <c r="E740" s="2">
        <v>1</v>
      </c>
      <c r="F740" s="2">
        <v>1188.3900000000001</v>
      </c>
      <c r="G740" s="2">
        <v>642.03</v>
      </c>
      <c r="H740" s="2" t="str">
        <f>VLOOKUP(qhkz_4dqm[[#This Row],[fuel_type]],lookup!A:B,2,FALSE)</f>
        <v>Gasoline</v>
      </c>
      <c r="I740" s="2">
        <f ca="1">YEAR(TODAY())-qhkz_4dqm[[#This Row],[year]]</f>
        <v>4</v>
      </c>
      <c r="J740" s="2" t="str" cm="1">
        <f t="array" aca="1" ref="J740" ca="1">_xlfn.IFS(qhkz_4dqm[[#This Row],[vehicle_age]]&lt;=3,"Newer",qhkz_4dqm[[#This Row],[vehicle_age]]&lt;=9,"Mid-age",qhkz_4dqm[[#This Row],[vehicle_age]]&lt;=19,"Older",qhkz_4dqm[[#This Row],[vehicle_age]]&gt;=20,"Very Old")</f>
        <v>Mid-age</v>
      </c>
    </row>
    <row r="741" spans="1:10">
      <c r="A741" s="2">
        <v>24101064</v>
      </c>
      <c r="B741" s="2">
        <v>2410106401</v>
      </c>
      <c r="C741" s="2">
        <v>1</v>
      </c>
      <c r="D741" s="2">
        <v>2018</v>
      </c>
      <c r="E741" s="2">
        <v>1</v>
      </c>
      <c r="F741" s="2">
        <v>75.53</v>
      </c>
      <c r="G741" s="2">
        <v>57.11</v>
      </c>
      <c r="H741" s="2" t="str">
        <f>VLOOKUP(qhkz_4dqm[[#This Row],[fuel_type]],lookup!A:B,2,FALSE)</f>
        <v>Gasoline</v>
      </c>
      <c r="I741" s="2">
        <f ca="1">YEAR(TODAY())-qhkz_4dqm[[#This Row],[year]]</f>
        <v>8</v>
      </c>
      <c r="J741" s="2" t="str" cm="1">
        <f t="array" aca="1" ref="J741" ca="1">_xlfn.IFS(qhkz_4dqm[[#This Row],[vehicle_age]]&lt;=3,"Newer",qhkz_4dqm[[#This Row],[vehicle_age]]&lt;=9,"Mid-age",qhkz_4dqm[[#This Row],[vehicle_age]]&lt;=19,"Older",qhkz_4dqm[[#This Row],[vehicle_age]]&gt;=20,"Very Old")</f>
        <v>Mid-age</v>
      </c>
    </row>
    <row r="742" spans="1:10">
      <c r="A742" s="2">
        <v>24101127</v>
      </c>
      <c r="B742" s="2">
        <v>2410112701</v>
      </c>
      <c r="C742" s="2">
        <v>1</v>
      </c>
      <c r="D742" s="2">
        <v>2020</v>
      </c>
      <c r="E742" s="2">
        <v>1</v>
      </c>
      <c r="F742" s="2">
        <v>41.27</v>
      </c>
      <c r="G742" s="2">
        <v>120.25</v>
      </c>
      <c r="H742" s="2" t="str">
        <f>VLOOKUP(qhkz_4dqm[[#This Row],[fuel_type]],lookup!A:B,2,FALSE)</f>
        <v>Gasoline</v>
      </c>
      <c r="I742" s="2">
        <f ca="1">YEAR(TODAY())-qhkz_4dqm[[#This Row],[year]]</f>
        <v>6</v>
      </c>
      <c r="J742" s="2" t="str" cm="1">
        <f t="array" aca="1" ref="J742" ca="1">_xlfn.IFS(qhkz_4dqm[[#This Row],[vehicle_age]]&lt;=3,"Newer",qhkz_4dqm[[#This Row],[vehicle_age]]&lt;=9,"Mid-age",qhkz_4dqm[[#This Row],[vehicle_age]]&lt;=19,"Older",qhkz_4dqm[[#This Row],[vehicle_age]]&gt;=20,"Very Old")</f>
        <v>Mid-age</v>
      </c>
    </row>
    <row r="743" spans="1:10">
      <c r="A743" s="2">
        <v>24101209</v>
      </c>
      <c r="B743" s="2">
        <v>2410120901</v>
      </c>
      <c r="C743" s="2">
        <v>1</v>
      </c>
      <c r="D743" s="2">
        <v>2017</v>
      </c>
      <c r="E743" s="2">
        <v>1</v>
      </c>
      <c r="F743" s="2">
        <v>902.18</v>
      </c>
      <c r="G743" s="2">
        <v>1970.8</v>
      </c>
      <c r="H743" s="2" t="str">
        <f>VLOOKUP(qhkz_4dqm[[#This Row],[fuel_type]],lookup!A:B,2,FALSE)</f>
        <v>Gasoline</v>
      </c>
      <c r="I743" s="2">
        <f ca="1">YEAR(TODAY())-qhkz_4dqm[[#This Row],[year]]</f>
        <v>9</v>
      </c>
      <c r="J743" s="2" t="str" cm="1">
        <f t="array" aca="1" ref="J743" ca="1">_xlfn.IFS(qhkz_4dqm[[#This Row],[vehicle_age]]&lt;=3,"Newer",qhkz_4dqm[[#This Row],[vehicle_age]]&lt;=9,"Mid-age",qhkz_4dqm[[#This Row],[vehicle_age]]&lt;=19,"Older",qhkz_4dqm[[#This Row],[vehicle_age]]&gt;=20,"Very Old")</f>
        <v>Mid-age</v>
      </c>
    </row>
    <row r="744" spans="1:10">
      <c r="A744" s="2">
        <v>24101211</v>
      </c>
      <c r="B744" s="2">
        <v>2410121101</v>
      </c>
      <c r="C744" s="2">
        <v>1</v>
      </c>
      <c r="D744" s="2">
        <v>2022</v>
      </c>
      <c r="E744" s="2">
        <v>1</v>
      </c>
      <c r="F744" s="2">
        <v>420.37</v>
      </c>
      <c r="G744" s="2">
        <v>1139.3800000000001</v>
      </c>
      <c r="H744" s="2" t="str">
        <f>VLOOKUP(qhkz_4dqm[[#This Row],[fuel_type]],lookup!A:B,2,FALSE)</f>
        <v>Gasoline</v>
      </c>
      <c r="I744" s="2">
        <f ca="1">YEAR(TODAY())-qhkz_4dqm[[#This Row],[year]]</f>
        <v>4</v>
      </c>
      <c r="J744" s="2" t="str" cm="1">
        <f t="array" aca="1" ref="J744" ca="1">_xlfn.IFS(qhkz_4dqm[[#This Row],[vehicle_age]]&lt;=3,"Newer",qhkz_4dqm[[#This Row],[vehicle_age]]&lt;=9,"Mid-age",qhkz_4dqm[[#This Row],[vehicle_age]]&lt;=19,"Older",qhkz_4dqm[[#This Row],[vehicle_age]]&gt;=20,"Very Old")</f>
        <v>Mid-age</v>
      </c>
    </row>
    <row r="745" spans="1:10">
      <c r="A745" s="2">
        <v>24101256</v>
      </c>
      <c r="B745" s="2">
        <v>2410125601</v>
      </c>
      <c r="C745" s="2">
        <v>1</v>
      </c>
      <c r="D745" s="2">
        <v>2023</v>
      </c>
      <c r="E745" s="2">
        <v>1</v>
      </c>
      <c r="F745" s="2">
        <v>58.19</v>
      </c>
      <c r="G745" s="2">
        <v>242.82</v>
      </c>
      <c r="H745" s="2" t="str">
        <f>VLOOKUP(qhkz_4dqm[[#This Row],[fuel_type]],lookup!A:B,2,FALSE)</f>
        <v>Gasoline</v>
      </c>
      <c r="I745" s="2">
        <f ca="1">YEAR(TODAY())-qhkz_4dqm[[#This Row],[year]]</f>
        <v>3</v>
      </c>
      <c r="J745" s="2" t="str" cm="1">
        <f t="array" aca="1" ref="J745" ca="1">_xlfn.IFS(qhkz_4dqm[[#This Row],[vehicle_age]]&lt;=3,"Newer",qhkz_4dqm[[#This Row],[vehicle_age]]&lt;=9,"Mid-age",qhkz_4dqm[[#This Row],[vehicle_age]]&lt;=19,"Older",qhkz_4dqm[[#This Row],[vehicle_age]]&gt;=20,"Very Old")</f>
        <v>Newer</v>
      </c>
    </row>
    <row r="746" spans="1:10">
      <c r="A746" s="2">
        <v>24101287</v>
      </c>
      <c r="B746" s="2">
        <v>2410128701</v>
      </c>
      <c r="C746" s="2">
        <v>1</v>
      </c>
      <c r="D746" s="2">
        <v>2013</v>
      </c>
      <c r="E746" s="2">
        <v>1</v>
      </c>
      <c r="F746" s="2">
        <v>4989.74</v>
      </c>
      <c r="G746" s="2">
        <v>2652.62</v>
      </c>
      <c r="H746" s="2" t="str">
        <f>VLOOKUP(qhkz_4dqm[[#This Row],[fuel_type]],lookup!A:B,2,FALSE)</f>
        <v>Gasoline</v>
      </c>
      <c r="I746" s="2">
        <f ca="1">YEAR(TODAY())-qhkz_4dqm[[#This Row],[year]]</f>
        <v>13</v>
      </c>
      <c r="J746" s="2" t="str" cm="1">
        <f t="array" aca="1" ref="J746" ca="1">_xlfn.IFS(qhkz_4dqm[[#This Row],[vehicle_age]]&lt;=3,"Newer",qhkz_4dqm[[#This Row],[vehicle_age]]&lt;=9,"Mid-age",qhkz_4dqm[[#This Row],[vehicle_age]]&lt;=19,"Older",qhkz_4dqm[[#This Row],[vehicle_age]]&gt;=20,"Very Old")</f>
        <v>Older</v>
      </c>
    </row>
    <row r="747" spans="1:10">
      <c r="A747" s="2">
        <v>24101327</v>
      </c>
      <c r="B747" s="2">
        <v>2410132701</v>
      </c>
      <c r="C747" s="2">
        <v>1</v>
      </c>
      <c r="D747" s="2">
        <v>2011</v>
      </c>
      <c r="E747" s="2">
        <v>1</v>
      </c>
      <c r="F747" s="2">
        <v>2580.34</v>
      </c>
      <c r="G747" s="2">
        <v>2341.23</v>
      </c>
      <c r="H747" s="2" t="str">
        <f>VLOOKUP(qhkz_4dqm[[#This Row],[fuel_type]],lookup!A:B,2,FALSE)</f>
        <v>Gasoline</v>
      </c>
      <c r="I747" s="2">
        <f ca="1">YEAR(TODAY())-qhkz_4dqm[[#This Row],[year]]</f>
        <v>15</v>
      </c>
      <c r="J747" s="2" t="str" cm="1">
        <f t="array" aca="1" ref="J747" ca="1">_xlfn.IFS(qhkz_4dqm[[#This Row],[vehicle_age]]&lt;=3,"Newer",qhkz_4dqm[[#This Row],[vehicle_age]]&lt;=9,"Mid-age",qhkz_4dqm[[#This Row],[vehicle_age]]&lt;=19,"Older",qhkz_4dqm[[#This Row],[vehicle_age]]&gt;=20,"Very Old")</f>
        <v>Older</v>
      </c>
    </row>
    <row r="748" spans="1:10">
      <c r="A748" s="2">
        <v>24101558</v>
      </c>
      <c r="B748" s="2">
        <v>2410155801</v>
      </c>
      <c r="C748" s="2">
        <v>1</v>
      </c>
      <c r="D748" s="2">
        <v>2006</v>
      </c>
      <c r="E748" s="2">
        <v>1</v>
      </c>
      <c r="F748" s="2">
        <v>1.21</v>
      </c>
      <c r="G748" s="2">
        <v>177.79</v>
      </c>
      <c r="H748" s="2" t="str">
        <f>VLOOKUP(qhkz_4dqm[[#This Row],[fuel_type]],lookup!A:B,2,FALSE)</f>
        <v>Gasoline</v>
      </c>
      <c r="I748" s="2">
        <f ca="1">YEAR(TODAY())-qhkz_4dqm[[#This Row],[year]]</f>
        <v>20</v>
      </c>
      <c r="J748" s="2" t="str" cm="1">
        <f t="array" aca="1" ref="J748" ca="1">_xlfn.IFS(qhkz_4dqm[[#This Row],[vehicle_age]]&lt;=3,"Newer",qhkz_4dqm[[#This Row],[vehicle_age]]&lt;=9,"Mid-age",qhkz_4dqm[[#This Row],[vehicle_age]]&lt;=19,"Older",qhkz_4dqm[[#This Row],[vehicle_age]]&gt;=20,"Very Old")</f>
        <v>Very Old</v>
      </c>
    </row>
    <row r="749" spans="1:10">
      <c r="A749" s="2">
        <v>24101600</v>
      </c>
      <c r="B749" s="2">
        <v>2410160001</v>
      </c>
      <c r="C749" s="2">
        <v>1</v>
      </c>
      <c r="D749" s="2">
        <v>2009</v>
      </c>
      <c r="E749" s="2">
        <v>1</v>
      </c>
      <c r="F749" s="2">
        <v>117.6</v>
      </c>
      <c r="G749" s="2">
        <v>266.69</v>
      </c>
      <c r="H749" s="2" t="str">
        <f>VLOOKUP(qhkz_4dqm[[#This Row],[fuel_type]],lookup!A:B,2,FALSE)</f>
        <v>Gasoline</v>
      </c>
      <c r="I749" s="2">
        <f ca="1">YEAR(TODAY())-qhkz_4dqm[[#This Row],[year]]</f>
        <v>17</v>
      </c>
      <c r="J749" s="2" t="str" cm="1">
        <f t="array" aca="1" ref="J749" ca="1">_xlfn.IFS(qhkz_4dqm[[#This Row],[vehicle_age]]&lt;=3,"Newer",qhkz_4dqm[[#This Row],[vehicle_age]]&lt;=9,"Mid-age",qhkz_4dqm[[#This Row],[vehicle_age]]&lt;=19,"Older",qhkz_4dqm[[#This Row],[vehicle_age]]&gt;=20,"Very Old")</f>
        <v>Older</v>
      </c>
    </row>
    <row r="750" spans="1:10">
      <c r="A750" s="2">
        <v>24101678</v>
      </c>
      <c r="B750" s="2">
        <v>2410167801</v>
      </c>
      <c r="C750" s="2">
        <v>1</v>
      </c>
      <c r="D750" s="2">
        <v>2021</v>
      </c>
      <c r="E750" s="2">
        <v>2</v>
      </c>
      <c r="F750" s="2">
        <v>7398.6</v>
      </c>
      <c r="G750" s="2">
        <v>4930.46</v>
      </c>
      <c r="H750" s="2" t="str">
        <f>VLOOKUP(qhkz_4dqm[[#This Row],[fuel_type]],lookup!A:B,2,FALSE)</f>
        <v>Diesel</v>
      </c>
      <c r="I750" s="2">
        <f ca="1">YEAR(TODAY())-qhkz_4dqm[[#This Row],[year]]</f>
        <v>5</v>
      </c>
      <c r="J750" s="2" t="str" cm="1">
        <f t="array" aca="1" ref="J750" ca="1">_xlfn.IFS(qhkz_4dqm[[#This Row],[vehicle_age]]&lt;=3,"Newer",qhkz_4dqm[[#This Row],[vehicle_age]]&lt;=9,"Mid-age",qhkz_4dqm[[#This Row],[vehicle_age]]&lt;=19,"Older",qhkz_4dqm[[#This Row],[vehicle_age]]&gt;=20,"Very Old")</f>
        <v>Mid-age</v>
      </c>
    </row>
    <row r="751" spans="1:10">
      <c r="A751" s="2">
        <v>24101680</v>
      </c>
      <c r="B751" s="2">
        <v>2410168001</v>
      </c>
      <c r="C751" s="2">
        <v>1</v>
      </c>
      <c r="D751" s="2">
        <v>2018</v>
      </c>
      <c r="E751" s="2">
        <v>1</v>
      </c>
      <c r="F751" s="2">
        <v>5141.3100000000004</v>
      </c>
      <c r="G751" s="2">
        <v>3922.67</v>
      </c>
      <c r="H751" s="2" t="str">
        <f>VLOOKUP(qhkz_4dqm[[#This Row],[fuel_type]],lookup!A:B,2,FALSE)</f>
        <v>Gasoline</v>
      </c>
      <c r="I751" s="2">
        <f ca="1">YEAR(TODAY())-qhkz_4dqm[[#This Row],[year]]</f>
        <v>8</v>
      </c>
      <c r="J751" s="2" t="str" cm="1">
        <f t="array" aca="1" ref="J751" ca="1">_xlfn.IFS(qhkz_4dqm[[#This Row],[vehicle_age]]&lt;=3,"Newer",qhkz_4dqm[[#This Row],[vehicle_age]]&lt;=9,"Mid-age",qhkz_4dqm[[#This Row],[vehicle_age]]&lt;=19,"Older",qhkz_4dqm[[#This Row],[vehicle_age]]&gt;=20,"Very Old")</f>
        <v>Mid-age</v>
      </c>
    </row>
    <row r="752" spans="1:10">
      <c r="A752" s="2">
        <v>24101711</v>
      </c>
      <c r="B752" s="2">
        <v>2410171101</v>
      </c>
      <c r="C752" s="2">
        <v>1</v>
      </c>
      <c r="D752" s="2">
        <v>2016</v>
      </c>
      <c r="E752" s="2">
        <v>1</v>
      </c>
      <c r="F752" s="2">
        <v>1479.21</v>
      </c>
      <c r="G752" s="2">
        <v>4910.55</v>
      </c>
      <c r="H752" s="2" t="str">
        <f>VLOOKUP(qhkz_4dqm[[#This Row],[fuel_type]],lookup!A:B,2,FALSE)</f>
        <v>Gasoline</v>
      </c>
      <c r="I752" s="2">
        <f ca="1">YEAR(TODAY())-qhkz_4dqm[[#This Row],[year]]</f>
        <v>10</v>
      </c>
      <c r="J752" s="2" t="str" cm="1">
        <f t="array" aca="1" ref="J752" ca="1">_xlfn.IFS(qhkz_4dqm[[#This Row],[vehicle_age]]&lt;=3,"Newer",qhkz_4dqm[[#This Row],[vehicle_age]]&lt;=9,"Mid-age",qhkz_4dqm[[#This Row],[vehicle_age]]&lt;=19,"Older",qhkz_4dqm[[#This Row],[vehicle_age]]&gt;=20,"Very Old")</f>
        <v>Older</v>
      </c>
    </row>
    <row r="753" spans="1:10">
      <c r="A753" s="2">
        <v>24101848</v>
      </c>
      <c r="B753" s="2">
        <v>2410184801</v>
      </c>
      <c r="C753" s="2">
        <v>1</v>
      </c>
      <c r="D753" s="2">
        <v>2024</v>
      </c>
      <c r="E753" s="2">
        <v>1</v>
      </c>
      <c r="F753" s="2">
        <v>1554.92</v>
      </c>
      <c r="G753" s="2">
        <v>2196.96</v>
      </c>
      <c r="H753" s="2" t="str">
        <f>VLOOKUP(qhkz_4dqm[[#This Row],[fuel_type]],lookup!A:B,2,FALSE)</f>
        <v>Gasoline</v>
      </c>
      <c r="I753" s="2">
        <f ca="1">YEAR(TODAY())-qhkz_4dqm[[#This Row],[year]]</f>
        <v>2</v>
      </c>
      <c r="J753" s="2" t="str" cm="1">
        <f t="array" aca="1" ref="J753" ca="1">_xlfn.IFS(qhkz_4dqm[[#This Row],[vehicle_age]]&lt;=3,"Newer",qhkz_4dqm[[#This Row],[vehicle_age]]&lt;=9,"Mid-age",qhkz_4dqm[[#This Row],[vehicle_age]]&lt;=19,"Older",qhkz_4dqm[[#This Row],[vehicle_age]]&gt;=20,"Very Old")</f>
        <v>Newer</v>
      </c>
    </row>
    <row r="754" spans="1:10">
      <c r="A754" s="2">
        <v>24101881</v>
      </c>
      <c r="B754" s="2">
        <v>2410188101</v>
      </c>
      <c r="C754" s="2">
        <v>1</v>
      </c>
      <c r="D754" s="2">
        <v>2019</v>
      </c>
      <c r="E754" s="2">
        <v>4</v>
      </c>
      <c r="F754" s="2">
        <v>83.94</v>
      </c>
      <c r="G754" s="2">
        <v>227.95</v>
      </c>
      <c r="H754" s="2" t="str">
        <f>VLOOKUP(qhkz_4dqm[[#This Row],[fuel_type]],lookup!A:B,2,FALSE)</f>
        <v>Electric</v>
      </c>
      <c r="I754" s="2">
        <f ca="1">YEAR(TODAY())-qhkz_4dqm[[#This Row],[year]]</f>
        <v>7</v>
      </c>
      <c r="J754" s="2" t="str" cm="1">
        <f t="array" aca="1" ref="J754" ca="1">_xlfn.IFS(qhkz_4dqm[[#This Row],[vehicle_age]]&lt;=3,"Newer",qhkz_4dqm[[#This Row],[vehicle_age]]&lt;=9,"Mid-age",qhkz_4dqm[[#This Row],[vehicle_age]]&lt;=19,"Older",qhkz_4dqm[[#This Row],[vehicle_age]]&gt;=20,"Very Old")</f>
        <v>Mid-age</v>
      </c>
    </row>
    <row r="755" spans="1:10">
      <c r="A755" s="2">
        <v>24101924</v>
      </c>
      <c r="B755" s="2">
        <v>2410192401</v>
      </c>
      <c r="C755" s="2">
        <v>1</v>
      </c>
      <c r="D755" s="2">
        <v>2015</v>
      </c>
      <c r="E755" s="2">
        <v>1</v>
      </c>
      <c r="F755" s="2">
        <v>1504.05</v>
      </c>
      <c r="G755" s="2">
        <v>2491.09</v>
      </c>
      <c r="H755" s="2" t="str">
        <f>VLOOKUP(qhkz_4dqm[[#This Row],[fuel_type]],lookup!A:B,2,FALSE)</f>
        <v>Gasoline</v>
      </c>
      <c r="I755" s="2">
        <f ca="1">YEAR(TODAY())-qhkz_4dqm[[#This Row],[year]]</f>
        <v>11</v>
      </c>
      <c r="J755" s="2" t="str" cm="1">
        <f t="array" aca="1" ref="J755" ca="1">_xlfn.IFS(qhkz_4dqm[[#This Row],[vehicle_age]]&lt;=3,"Newer",qhkz_4dqm[[#This Row],[vehicle_age]]&lt;=9,"Mid-age",qhkz_4dqm[[#This Row],[vehicle_age]]&lt;=19,"Older",qhkz_4dqm[[#This Row],[vehicle_age]]&gt;=20,"Very Old")</f>
        <v>Older</v>
      </c>
    </row>
    <row r="756" spans="1:10">
      <c r="A756" s="2">
        <v>24101965</v>
      </c>
      <c r="B756" s="2">
        <v>2410196501</v>
      </c>
      <c r="C756" s="2">
        <v>1</v>
      </c>
      <c r="D756" s="2">
        <v>2003</v>
      </c>
      <c r="E756" s="2">
        <v>1</v>
      </c>
      <c r="F756" s="2">
        <v>667.96</v>
      </c>
      <c r="G756" s="2">
        <v>1072.81</v>
      </c>
      <c r="H756" s="2" t="str">
        <f>VLOOKUP(qhkz_4dqm[[#This Row],[fuel_type]],lookup!A:B,2,FALSE)</f>
        <v>Gasoline</v>
      </c>
      <c r="I756" s="2">
        <f ca="1">YEAR(TODAY())-qhkz_4dqm[[#This Row],[year]]</f>
        <v>23</v>
      </c>
      <c r="J756" s="2" t="str" cm="1">
        <f t="array" aca="1" ref="J756" ca="1">_xlfn.IFS(qhkz_4dqm[[#This Row],[vehicle_age]]&lt;=3,"Newer",qhkz_4dqm[[#This Row],[vehicle_age]]&lt;=9,"Mid-age",qhkz_4dqm[[#This Row],[vehicle_age]]&lt;=19,"Older",qhkz_4dqm[[#This Row],[vehicle_age]]&gt;=20,"Very Old")</f>
        <v>Very Old</v>
      </c>
    </row>
    <row r="757" spans="1:10">
      <c r="A757" s="2">
        <v>24102280</v>
      </c>
      <c r="B757" s="2">
        <v>2410228001</v>
      </c>
      <c r="C757" s="2">
        <v>1</v>
      </c>
      <c r="D757" s="2">
        <v>2019</v>
      </c>
      <c r="E757" s="2">
        <v>1</v>
      </c>
      <c r="F757" s="2">
        <v>2002.08</v>
      </c>
      <c r="G757" s="2">
        <v>1971.9</v>
      </c>
      <c r="H757" s="2" t="str">
        <f>VLOOKUP(qhkz_4dqm[[#This Row],[fuel_type]],lookup!A:B,2,FALSE)</f>
        <v>Gasoline</v>
      </c>
      <c r="I757" s="2">
        <f ca="1">YEAR(TODAY())-qhkz_4dqm[[#This Row],[year]]</f>
        <v>7</v>
      </c>
      <c r="J757" s="2" t="str" cm="1">
        <f t="array" aca="1" ref="J757" ca="1">_xlfn.IFS(qhkz_4dqm[[#This Row],[vehicle_age]]&lt;=3,"Newer",qhkz_4dqm[[#This Row],[vehicle_age]]&lt;=9,"Mid-age",qhkz_4dqm[[#This Row],[vehicle_age]]&lt;=19,"Older",qhkz_4dqm[[#This Row],[vehicle_age]]&gt;=20,"Very Old")</f>
        <v>Mid-age</v>
      </c>
    </row>
    <row r="758" spans="1:10">
      <c r="A758" s="2">
        <v>24102296</v>
      </c>
      <c r="B758" s="2">
        <v>2410229601</v>
      </c>
      <c r="C758" s="2">
        <v>1</v>
      </c>
      <c r="D758" s="2">
        <v>2022</v>
      </c>
      <c r="E758" s="2">
        <v>1</v>
      </c>
      <c r="F758" s="2">
        <v>1572.97</v>
      </c>
      <c r="G758" s="2">
        <v>2177.25</v>
      </c>
      <c r="H758" s="2" t="str">
        <f>VLOOKUP(qhkz_4dqm[[#This Row],[fuel_type]],lookup!A:B,2,FALSE)</f>
        <v>Gasoline</v>
      </c>
      <c r="I758" s="2">
        <f ca="1">YEAR(TODAY())-qhkz_4dqm[[#This Row],[year]]</f>
        <v>4</v>
      </c>
      <c r="J758" s="2" t="str" cm="1">
        <f t="array" aca="1" ref="J758" ca="1">_xlfn.IFS(qhkz_4dqm[[#This Row],[vehicle_age]]&lt;=3,"Newer",qhkz_4dqm[[#This Row],[vehicle_age]]&lt;=9,"Mid-age",qhkz_4dqm[[#This Row],[vehicle_age]]&lt;=19,"Older",qhkz_4dqm[[#This Row],[vehicle_age]]&gt;=20,"Very Old")</f>
        <v>Mid-age</v>
      </c>
    </row>
    <row r="759" spans="1:10">
      <c r="A759" s="2">
        <v>24102348</v>
      </c>
      <c r="B759" s="2">
        <v>2410234801</v>
      </c>
      <c r="C759" s="2">
        <v>1</v>
      </c>
      <c r="D759" s="2">
        <v>2022</v>
      </c>
      <c r="E759" s="2">
        <v>1</v>
      </c>
      <c r="F759" s="2">
        <v>60.98</v>
      </c>
      <c r="G759" s="2">
        <v>391.68</v>
      </c>
      <c r="H759" s="2" t="str">
        <f>VLOOKUP(qhkz_4dqm[[#This Row],[fuel_type]],lookup!A:B,2,FALSE)</f>
        <v>Gasoline</v>
      </c>
      <c r="I759" s="2">
        <f ca="1">YEAR(TODAY())-qhkz_4dqm[[#This Row],[year]]</f>
        <v>4</v>
      </c>
      <c r="J759" s="2" t="str" cm="1">
        <f t="array" aca="1" ref="J759" ca="1">_xlfn.IFS(qhkz_4dqm[[#This Row],[vehicle_age]]&lt;=3,"Newer",qhkz_4dqm[[#This Row],[vehicle_age]]&lt;=9,"Mid-age",qhkz_4dqm[[#This Row],[vehicle_age]]&lt;=19,"Older",qhkz_4dqm[[#This Row],[vehicle_age]]&gt;=20,"Very Old")</f>
        <v>Mid-age</v>
      </c>
    </row>
    <row r="760" spans="1:10">
      <c r="A760" s="2">
        <v>24102372</v>
      </c>
      <c r="B760" s="2">
        <v>2410237201</v>
      </c>
      <c r="C760" s="2">
        <v>1</v>
      </c>
      <c r="D760" s="2">
        <v>2021</v>
      </c>
      <c r="E760" s="2">
        <v>1</v>
      </c>
      <c r="F760" s="2">
        <v>3835.73</v>
      </c>
      <c r="G760" s="2">
        <v>6506.17</v>
      </c>
      <c r="H760" s="2" t="str">
        <f>VLOOKUP(qhkz_4dqm[[#This Row],[fuel_type]],lookup!A:B,2,FALSE)</f>
        <v>Gasoline</v>
      </c>
      <c r="I760" s="2">
        <f ca="1">YEAR(TODAY())-qhkz_4dqm[[#This Row],[year]]</f>
        <v>5</v>
      </c>
      <c r="J760" s="2" t="str" cm="1">
        <f t="array" aca="1" ref="J760" ca="1">_xlfn.IFS(qhkz_4dqm[[#This Row],[vehicle_age]]&lt;=3,"Newer",qhkz_4dqm[[#This Row],[vehicle_age]]&lt;=9,"Mid-age",qhkz_4dqm[[#This Row],[vehicle_age]]&lt;=19,"Older",qhkz_4dqm[[#This Row],[vehicle_age]]&gt;=20,"Very Old")</f>
        <v>Mid-age</v>
      </c>
    </row>
    <row r="761" spans="1:10">
      <c r="A761" s="2">
        <v>24102377</v>
      </c>
      <c r="B761" s="2">
        <v>2410237701</v>
      </c>
      <c r="C761" s="2">
        <v>1</v>
      </c>
      <c r="D761" s="2">
        <v>2022</v>
      </c>
      <c r="E761" s="2">
        <v>1</v>
      </c>
      <c r="F761" s="2">
        <v>7242.35</v>
      </c>
      <c r="G761" s="2">
        <v>4958.99</v>
      </c>
      <c r="H761" s="2" t="str">
        <f>VLOOKUP(qhkz_4dqm[[#This Row],[fuel_type]],lookup!A:B,2,FALSE)</f>
        <v>Gasoline</v>
      </c>
      <c r="I761" s="2">
        <f ca="1">YEAR(TODAY())-qhkz_4dqm[[#This Row],[year]]</f>
        <v>4</v>
      </c>
      <c r="J761" s="2" t="str" cm="1">
        <f t="array" aca="1" ref="J761" ca="1">_xlfn.IFS(qhkz_4dqm[[#This Row],[vehicle_age]]&lt;=3,"Newer",qhkz_4dqm[[#This Row],[vehicle_age]]&lt;=9,"Mid-age",qhkz_4dqm[[#This Row],[vehicle_age]]&lt;=19,"Older",qhkz_4dqm[[#This Row],[vehicle_age]]&gt;=20,"Very Old")</f>
        <v>Mid-age</v>
      </c>
    </row>
    <row r="762" spans="1:10">
      <c r="A762" s="2">
        <v>24102508</v>
      </c>
      <c r="B762" s="2">
        <v>2410250801</v>
      </c>
      <c r="C762" s="2">
        <v>1</v>
      </c>
      <c r="D762" s="2">
        <v>2019</v>
      </c>
      <c r="E762" s="2">
        <v>1</v>
      </c>
      <c r="F762" s="2">
        <v>4342.28</v>
      </c>
      <c r="G762" s="2">
        <v>4018.88</v>
      </c>
      <c r="H762" s="2" t="str">
        <f>VLOOKUP(qhkz_4dqm[[#This Row],[fuel_type]],lookup!A:B,2,FALSE)</f>
        <v>Gasoline</v>
      </c>
      <c r="I762" s="2">
        <f ca="1">YEAR(TODAY())-qhkz_4dqm[[#This Row],[year]]</f>
        <v>7</v>
      </c>
      <c r="J762" s="2" t="str" cm="1">
        <f t="array" aca="1" ref="J762" ca="1">_xlfn.IFS(qhkz_4dqm[[#This Row],[vehicle_age]]&lt;=3,"Newer",qhkz_4dqm[[#This Row],[vehicle_age]]&lt;=9,"Mid-age",qhkz_4dqm[[#This Row],[vehicle_age]]&lt;=19,"Older",qhkz_4dqm[[#This Row],[vehicle_age]]&gt;=20,"Very Old")</f>
        <v>Mid-age</v>
      </c>
    </row>
    <row r="763" spans="1:10">
      <c r="A763" s="2">
        <v>24102665</v>
      </c>
      <c r="B763" s="2">
        <v>2410266501</v>
      </c>
      <c r="C763" s="2">
        <v>1</v>
      </c>
      <c r="D763" s="2">
        <v>2017</v>
      </c>
      <c r="E763" s="2">
        <v>1</v>
      </c>
      <c r="F763" s="2">
        <v>3999.15</v>
      </c>
      <c r="G763" s="2">
        <v>3330.91</v>
      </c>
      <c r="H763" s="2" t="str">
        <f>VLOOKUP(qhkz_4dqm[[#This Row],[fuel_type]],lookup!A:B,2,FALSE)</f>
        <v>Gasoline</v>
      </c>
      <c r="I763" s="2">
        <f ca="1">YEAR(TODAY())-qhkz_4dqm[[#This Row],[year]]</f>
        <v>9</v>
      </c>
      <c r="J763" s="2" t="str" cm="1">
        <f t="array" aca="1" ref="J763" ca="1">_xlfn.IFS(qhkz_4dqm[[#This Row],[vehicle_age]]&lt;=3,"Newer",qhkz_4dqm[[#This Row],[vehicle_age]]&lt;=9,"Mid-age",qhkz_4dqm[[#This Row],[vehicle_age]]&lt;=19,"Older",qhkz_4dqm[[#This Row],[vehicle_age]]&gt;=20,"Very Old")</f>
        <v>Mid-age</v>
      </c>
    </row>
    <row r="764" spans="1:10">
      <c r="A764" s="2">
        <v>24102680</v>
      </c>
      <c r="B764" s="2">
        <v>2410268001</v>
      </c>
      <c r="C764" s="2">
        <v>1</v>
      </c>
      <c r="D764" s="2">
        <v>2022</v>
      </c>
      <c r="E764" s="2">
        <v>3</v>
      </c>
      <c r="F764" s="2">
        <v>221.1</v>
      </c>
      <c r="G764" s="2">
        <v>540.05999999999995</v>
      </c>
      <c r="H764" s="2" t="str">
        <f>VLOOKUP(qhkz_4dqm[[#This Row],[fuel_type]],lookup!A:B,2,FALSE)</f>
        <v>Hybrid</v>
      </c>
      <c r="I764" s="2">
        <f ca="1">YEAR(TODAY())-qhkz_4dqm[[#This Row],[year]]</f>
        <v>4</v>
      </c>
      <c r="J764" s="2" t="str" cm="1">
        <f t="array" aca="1" ref="J764" ca="1">_xlfn.IFS(qhkz_4dqm[[#This Row],[vehicle_age]]&lt;=3,"Newer",qhkz_4dqm[[#This Row],[vehicle_age]]&lt;=9,"Mid-age",qhkz_4dqm[[#This Row],[vehicle_age]]&lt;=19,"Older",qhkz_4dqm[[#This Row],[vehicle_age]]&gt;=20,"Very Old")</f>
        <v>Mid-age</v>
      </c>
    </row>
    <row r="765" spans="1:10">
      <c r="A765" s="2">
        <v>24102747</v>
      </c>
      <c r="B765" s="2">
        <v>2410274701</v>
      </c>
      <c r="C765" s="2">
        <v>1</v>
      </c>
      <c r="D765" s="2">
        <v>2010</v>
      </c>
      <c r="E765" s="2">
        <v>1</v>
      </c>
      <c r="F765" s="2">
        <v>139.36000000000001</v>
      </c>
      <c r="G765" s="2">
        <v>611.66</v>
      </c>
      <c r="H765" s="2" t="str">
        <f>VLOOKUP(qhkz_4dqm[[#This Row],[fuel_type]],lookup!A:B,2,FALSE)</f>
        <v>Gasoline</v>
      </c>
      <c r="I765" s="2">
        <f ca="1">YEAR(TODAY())-qhkz_4dqm[[#This Row],[year]]</f>
        <v>16</v>
      </c>
      <c r="J765" s="2" t="str" cm="1">
        <f t="array" aca="1" ref="J765" ca="1">_xlfn.IFS(qhkz_4dqm[[#This Row],[vehicle_age]]&lt;=3,"Newer",qhkz_4dqm[[#This Row],[vehicle_age]]&lt;=9,"Mid-age",qhkz_4dqm[[#This Row],[vehicle_age]]&lt;=19,"Older",qhkz_4dqm[[#This Row],[vehicle_age]]&gt;=20,"Very Old")</f>
        <v>Older</v>
      </c>
    </row>
    <row r="766" spans="1:10">
      <c r="A766" s="2">
        <v>24102903</v>
      </c>
      <c r="B766" s="2">
        <v>2410290301</v>
      </c>
      <c r="C766" s="2">
        <v>1</v>
      </c>
      <c r="D766" s="2">
        <v>2024</v>
      </c>
      <c r="E766" s="2">
        <v>4</v>
      </c>
      <c r="F766" s="2">
        <v>2984.94</v>
      </c>
      <c r="G766" s="2">
        <v>1997.94</v>
      </c>
      <c r="H766" s="2" t="str">
        <f>VLOOKUP(qhkz_4dqm[[#This Row],[fuel_type]],lookup!A:B,2,FALSE)</f>
        <v>Electric</v>
      </c>
      <c r="I766" s="2">
        <f ca="1">YEAR(TODAY())-qhkz_4dqm[[#This Row],[year]]</f>
        <v>2</v>
      </c>
      <c r="J766" s="2" t="str" cm="1">
        <f t="array" aca="1" ref="J766" ca="1">_xlfn.IFS(qhkz_4dqm[[#This Row],[vehicle_age]]&lt;=3,"Newer",qhkz_4dqm[[#This Row],[vehicle_age]]&lt;=9,"Mid-age",qhkz_4dqm[[#This Row],[vehicle_age]]&lt;=19,"Older",qhkz_4dqm[[#This Row],[vehicle_age]]&gt;=20,"Very Old")</f>
        <v>Newer</v>
      </c>
    </row>
    <row r="767" spans="1:10">
      <c r="A767" s="2">
        <v>24102947</v>
      </c>
      <c r="B767" s="2">
        <v>2410294701</v>
      </c>
      <c r="C767" s="2">
        <v>1</v>
      </c>
      <c r="D767" s="2">
        <v>2024</v>
      </c>
      <c r="E767" s="2">
        <v>4</v>
      </c>
      <c r="F767" s="2">
        <v>459.96</v>
      </c>
      <c r="G767" s="2">
        <v>1252.26</v>
      </c>
      <c r="H767" s="2" t="str">
        <f>VLOOKUP(qhkz_4dqm[[#This Row],[fuel_type]],lookup!A:B,2,FALSE)</f>
        <v>Electric</v>
      </c>
      <c r="I767" s="2">
        <f ca="1">YEAR(TODAY())-qhkz_4dqm[[#This Row],[year]]</f>
        <v>2</v>
      </c>
      <c r="J767" s="2" t="str" cm="1">
        <f t="array" aca="1" ref="J767" ca="1">_xlfn.IFS(qhkz_4dqm[[#This Row],[vehicle_age]]&lt;=3,"Newer",qhkz_4dqm[[#This Row],[vehicle_age]]&lt;=9,"Mid-age",qhkz_4dqm[[#This Row],[vehicle_age]]&lt;=19,"Older",qhkz_4dqm[[#This Row],[vehicle_age]]&gt;=20,"Very Old")</f>
        <v>Newer</v>
      </c>
    </row>
    <row r="768" spans="1:10">
      <c r="A768" s="2">
        <v>24102965</v>
      </c>
      <c r="B768" s="2">
        <v>2410296501</v>
      </c>
      <c r="C768" s="2">
        <v>1</v>
      </c>
      <c r="D768" s="2">
        <v>2012</v>
      </c>
      <c r="E768" s="2">
        <v>1</v>
      </c>
      <c r="F768" s="2">
        <v>446.83</v>
      </c>
      <c r="G768" s="2">
        <v>740.5</v>
      </c>
      <c r="H768" s="2" t="str">
        <f>VLOOKUP(qhkz_4dqm[[#This Row],[fuel_type]],lookup!A:B,2,FALSE)</f>
        <v>Gasoline</v>
      </c>
      <c r="I768" s="2">
        <f ca="1">YEAR(TODAY())-qhkz_4dqm[[#This Row],[year]]</f>
        <v>14</v>
      </c>
      <c r="J768" s="2" t="str" cm="1">
        <f t="array" aca="1" ref="J768" ca="1">_xlfn.IFS(qhkz_4dqm[[#This Row],[vehicle_age]]&lt;=3,"Newer",qhkz_4dqm[[#This Row],[vehicle_age]]&lt;=9,"Mid-age",qhkz_4dqm[[#This Row],[vehicle_age]]&lt;=19,"Older",qhkz_4dqm[[#This Row],[vehicle_age]]&gt;=20,"Very Old")</f>
        <v>Older</v>
      </c>
    </row>
    <row r="769" spans="1:10">
      <c r="A769" s="2">
        <v>24103044</v>
      </c>
      <c r="B769" s="2">
        <v>2410304401</v>
      </c>
      <c r="C769" s="2">
        <v>1</v>
      </c>
      <c r="D769" s="2">
        <v>2022</v>
      </c>
      <c r="E769" s="2">
        <v>1</v>
      </c>
      <c r="F769" s="2">
        <v>112.79</v>
      </c>
      <c r="G769" s="2">
        <v>470.07</v>
      </c>
      <c r="H769" s="2" t="str">
        <f>VLOOKUP(qhkz_4dqm[[#This Row],[fuel_type]],lookup!A:B,2,FALSE)</f>
        <v>Gasoline</v>
      </c>
      <c r="I769" s="2">
        <f ca="1">YEAR(TODAY())-qhkz_4dqm[[#This Row],[year]]</f>
        <v>4</v>
      </c>
      <c r="J769" s="2" t="str" cm="1">
        <f t="array" aca="1" ref="J769" ca="1">_xlfn.IFS(qhkz_4dqm[[#This Row],[vehicle_age]]&lt;=3,"Newer",qhkz_4dqm[[#This Row],[vehicle_age]]&lt;=9,"Mid-age",qhkz_4dqm[[#This Row],[vehicle_age]]&lt;=19,"Older",qhkz_4dqm[[#This Row],[vehicle_age]]&gt;=20,"Very Old")</f>
        <v>Mid-age</v>
      </c>
    </row>
    <row r="770" spans="1:10">
      <c r="A770" s="2">
        <v>24103323</v>
      </c>
      <c r="B770" s="2">
        <v>2410332301</v>
      </c>
      <c r="C770" s="2">
        <v>1</v>
      </c>
      <c r="D770" s="2">
        <v>2017</v>
      </c>
      <c r="E770" s="2">
        <v>1</v>
      </c>
      <c r="F770" s="2">
        <v>60.3</v>
      </c>
      <c r="G770" s="2">
        <v>329.19</v>
      </c>
      <c r="H770" s="2" t="str">
        <f>VLOOKUP(qhkz_4dqm[[#This Row],[fuel_type]],lookup!A:B,2,FALSE)</f>
        <v>Gasoline</v>
      </c>
      <c r="I770" s="2">
        <f ca="1">YEAR(TODAY())-qhkz_4dqm[[#This Row],[year]]</f>
        <v>9</v>
      </c>
      <c r="J770" s="2" t="str" cm="1">
        <f t="array" aca="1" ref="J770" ca="1">_xlfn.IFS(qhkz_4dqm[[#This Row],[vehicle_age]]&lt;=3,"Newer",qhkz_4dqm[[#This Row],[vehicle_age]]&lt;=9,"Mid-age",qhkz_4dqm[[#This Row],[vehicle_age]]&lt;=19,"Older",qhkz_4dqm[[#This Row],[vehicle_age]]&gt;=20,"Very Old")</f>
        <v>Mid-age</v>
      </c>
    </row>
    <row r="771" spans="1:10">
      <c r="A771" s="2">
        <v>24103390</v>
      </c>
      <c r="B771" s="2">
        <v>2410339001</v>
      </c>
      <c r="C771" s="2">
        <v>1</v>
      </c>
      <c r="D771" s="2">
        <v>2024</v>
      </c>
      <c r="E771" s="2">
        <v>1</v>
      </c>
      <c r="F771" s="2">
        <v>2112.37</v>
      </c>
      <c r="G771" s="2">
        <v>4985.2700000000004</v>
      </c>
      <c r="H771" s="2" t="str">
        <f>VLOOKUP(qhkz_4dqm[[#This Row],[fuel_type]],lookup!A:B,2,FALSE)</f>
        <v>Gasoline</v>
      </c>
      <c r="I771" s="2">
        <f ca="1">YEAR(TODAY())-qhkz_4dqm[[#This Row],[year]]</f>
        <v>2</v>
      </c>
      <c r="J771" s="2" t="str" cm="1">
        <f t="array" aca="1" ref="J771" ca="1">_xlfn.IFS(qhkz_4dqm[[#This Row],[vehicle_age]]&lt;=3,"Newer",qhkz_4dqm[[#This Row],[vehicle_age]]&lt;=9,"Mid-age",qhkz_4dqm[[#This Row],[vehicle_age]]&lt;=19,"Older",qhkz_4dqm[[#This Row],[vehicle_age]]&gt;=20,"Very Old")</f>
        <v>Newer</v>
      </c>
    </row>
    <row r="772" spans="1:10">
      <c r="A772" s="2">
        <v>24103460</v>
      </c>
      <c r="B772" s="2">
        <v>2410346001</v>
      </c>
      <c r="C772" s="2">
        <v>1</v>
      </c>
      <c r="D772" s="2">
        <v>2005</v>
      </c>
      <c r="E772" s="2">
        <v>1</v>
      </c>
      <c r="F772" s="2">
        <v>3586.93</v>
      </c>
      <c r="G772" s="2">
        <v>2402.41</v>
      </c>
      <c r="H772" s="2" t="str">
        <f>VLOOKUP(qhkz_4dqm[[#This Row],[fuel_type]],lookup!A:B,2,FALSE)</f>
        <v>Gasoline</v>
      </c>
      <c r="I772" s="2">
        <f ca="1">YEAR(TODAY())-qhkz_4dqm[[#This Row],[year]]</f>
        <v>21</v>
      </c>
      <c r="J772" s="2" t="str" cm="1">
        <f t="array" aca="1" ref="J772" ca="1">_xlfn.IFS(qhkz_4dqm[[#This Row],[vehicle_age]]&lt;=3,"Newer",qhkz_4dqm[[#This Row],[vehicle_age]]&lt;=9,"Mid-age",qhkz_4dqm[[#This Row],[vehicle_age]]&lt;=19,"Older",qhkz_4dqm[[#This Row],[vehicle_age]]&gt;=20,"Very Old")</f>
        <v>Very Old</v>
      </c>
    </row>
    <row r="773" spans="1:10">
      <c r="A773" s="2">
        <v>24103551</v>
      </c>
      <c r="B773" s="2">
        <v>2410355101</v>
      </c>
      <c r="C773" s="2">
        <v>1</v>
      </c>
      <c r="D773" s="2">
        <v>2022</v>
      </c>
      <c r="E773" s="2">
        <v>1</v>
      </c>
      <c r="F773" s="2">
        <v>14620.41</v>
      </c>
      <c r="G773" s="2">
        <v>9999.35</v>
      </c>
      <c r="H773" s="2" t="str">
        <f>VLOOKUP(qhkz_4dqm[[#This Row],[fuel_type]],lookup!A:B,2,FALSE)</f>
        <v>Gasoline</v>
      </c>
      <c r="I773" s="2">
        <f ca="1">YEAR(TODAY())-qhkz_4dqm[[#This Row],[year]]</f>
        <v>4</v>
      </c>
      <c r="J773" s="2" t="str" cm="1">
        <f t="array" aca="1" ref="J773" ca="1">_xlfn.IFS(qhkz_4dqm[[#This Row],[vehicle_age]]&lt;=3,"Newer",qhkz_4dqm[[#This Row],[vehicle_age]]&lt;=9,"Mid-age",qhkz_4dqm[[#This Row],[vehicle_age]]&lt;=19,"Older",qhkz_4dqm[[#This Row],[vehicle_age]]&gt;=20,"Very Old")</f>
        <v>Mid-age</v>
      </c>
    </row>
    <row r="774" spans="1:10">
      <c r="A774" s="2">
        <v>24103584</v>
      </c>
      <c r="B774" s="2">
        <v>2410358401</v>
      </c>
      <c r="C774" s="2">
        <v>1</v>
      </c>
      <c r="D774" s="2">
        <v>2013</v>
      </c>
      <c r="E774" s="2">
        <v>1</v>
      </c>
      <c r="F774" s="2">
        <v>1915.73</v>
      </c>
      <c r="G774" s="2">
        <v>528.30999999999995</v>
      </c>
      <c r="H774" s="2" t="str">
        <f>VLOOKUP(qhkz_4dqm[[#This Row],[fuel_type]],lookup!A:B,2,FALSE)</f>
        <v>Gasoline</v>
      </c>
      <c r="I774" s="2">
        <f ca="1">YEAR(TODAY())-qhkz_4dqm[[#This Row],[year]]</f>
        <v>13</v>
      </c>
      <c r="J774" s="2" t="str" cm="1">
        <f t="array" aca="1" ref="J774" ca="1">_xlfn.IFS(qhkz_4dqm[[#This Row],[vehicle_age]]&lt;=3,"Newer",qhkz_4dqm[[#This Row],[vehicle_age]]&lt;=9,"Mid-age",qhkz_4dqm[[#This Row],[vehicle_age]]&lt;=19,"Older",qhkz_4dqm[[#This Row],[vehicle_age]]&gt;=20,"Very Old")</f>
        <v>Older</v>
      </c>
    </row>
    <row r="775" spans="1:10">
      <c r="A775" s="2">
        <v>24103638</v>
      </c>
      <c r="B775" s="2">
        <v>2410363801</v>
      </c>
      <c r="C775" s="2">
        <v>1</v>
      </c>
      <c r="D775" s="2">
        <v>2023</v>
      </c>
      <c r="E775" s="2">
        <v>2</v>
      </c>
      <c r="F775" s="2">
        <v>338.11</v>
      </c>
      <c r="G775" s="2">
        <v>1065.3599999999999</v>
      </c>
      <c r="H775" s="2" t="str">
        <f>VLOOKUP(qhkz_4dqm[[#This Row],[fuel_type]],lookup!A:B,2,FALSE)</f>
        <v>Diesel</v>
      </c>
      <c r="I775" s="2">
        <f ca="1">YEAR(TODAY())-qhkz_4dqm[[#This Row],[year]]</f>
        <v>3</v>
      </c>
      <c r="J775" s="2" t="str" cm="1">
        <f t="array" aca="1" ref="J775" ca="1">_xlfn.IFS(qhkz_4dqm[[#This Row],[vehicle_age]]&lt;=3,"Newer",qhkz_4dqm[[#This Row],[vehicle_age]]&lt;=9,"Mid-age",qhkz_4dqm[[#This Row],[vehicle_age]]&lt;=19,"Older",qhkz_4dqm[[#This Row],[vehicle_age]]&gt;=20,"Very Old")</f>
        <v>Newer</v>
      </c>
    </row>
    <row r="776" spans="1:10">
      <c r="A776" s="2">
        <v>24103644</v>
      </c>
      <c r="B776" s="2">
        <v>2410364401</v>
      </c>
      <c r="C776" s="2">
        <v>1</v>
      </c>
      <c r="D776" s="2">
        <v>2016</v>
      </c>
      <c r="E776" s="2">
        <v>1</v>
      </c>
      <c r="F776" s="2">
        <v>395.24</v>
      </c>
      <c r="G776" s="2">
        <v>1070.96</v>
      </c>
      <c r="H776" s="2" t="str">
        <f>VLOOKUP(qhkz_4dqm[[#This Row],[fuel_type]],lookup!A:B,2,FALSE)</f>
        <v>Gasoline</v>
      </c>
      <c r="I776" s="2">
        <f ca="1">YEAR(TODAY())-qhkz_4dqm[[#This Row],[year]]</f>
        <v>10</v>
      </c>
      <c r="J776" s="2" t="str" cm="1">
        <f t="array" aca="1" ref="J776" ca="1">_xlfn.IFS(qhkz_4dqm[[#This Row],[vehicle_age]]&lt;=3,"Newer",qhkz_4dqm[[#This Row],[vehicle_age]]&lt;=9,"Mid-age",qhkz_4dqm[[#This Row],[vehicle_age]]&lt;=19,"Older",qhkz_4dqm[[#This Row],[vehicle_age]]&gt;=20,"Very Old")</f>
        <v>Older</v>
      </c>
    </row>
    <row r="777" spans="1:10">
      <c r="A777" s="2">
        <v>24103654</v>
      </c>
      <c r="B777" s="2">
        <v>2410365401</v>
      </c>
      <c r="C777" s="2">
        <v>1</v>
      </c>
      <c r="D777" s="2">
        <v>2012</v>
      </c>
      <c r="E777" s="2">
        <v>1</v>
      </c>
      <c r="F777" s="2">
        <v>310.57</v>
      </c>
      <c r="G777" s="2">
        <v>808.14</v>
      </c>
      <c r="H777" s="2" t="str">
        <f>VLOOKUP(qhkz_4dqm[[#This Row],[fuel_type]],lookup!A:B,2,FALSE)</f>
        <v>Gasoline</v>
      </c>
      <c r="I777" s="2">
        <f ca="1">YEAR(TODAY())-qhkz_4dqm[[#This Row],[year]]</f>
        <v>14</v>
      </c>
      <c r="J777" s="2" t="str" cm="1">
        <f t="array" aca="1" ref="J777" ca="1">_xlfn.IFS(qhkz_4dqm[[#This Row],[vehicle_age]]&lt;=3,"Newer",qhkz_4dqm[[#This Row],[vehicle_age]]&lt;=9,"Mid-age",qhkz_4dqm[[#This Row],[vehicle_age]]&lt;=19,"Older",qhkz_4dqm[[#This Row],[vehicle_age]]&gt;=20,"Very Old")</f>
        <v>Older</v>
      </c>
    </row>
    <row r="778" spans="1:10">
      <c r="A778" s="2">
        <v>24103921</v>
      </c>
      <c r="B778" s="2">
        <v>2410392101</v>
      </c>
      <c r="C778" s="2">
        <v>1</v>
      </c>
      <c r="D778" s="2">
        <v>2019</v>
      </c>
      <c r="E778" s="2">
        <v>1</v>
      </c>
      <c r="F778" s="2">
        <v>1048.27</v>
      </c>
      <c r="G778" s="2">
        <v>1478.4</v>
      </c>
      <c r="H778" s="2" t="str">
        <f>VLOOKUP(qhkz_4dqm[[#This Row],[fuel_type]],lookup!A:B,2,FALSE)</f>
        <v>Gasoline</v>
      </c>
      <c r="I778" s="2">
        <f ca="1">YEAR(TODAY())-qhkz_4dqm[[#This Row],[year]]</f>
        <v>7</v>
      </c>
      <c r="J778" s="2" t="str" cm="1">
        <f t="array" aca="1" ref="J778" ca="1">_xlfn.IFS(qhkz_4dqm[[#This Row],[vehicle_age]]&lt;=3,"Newer",qhkz_4dqm[[#This Row],[vehicle_age]]&lt;=9,"Mid-age",qhkz_4dqm[[#This Row],[vehicle_age]]&lt;=19,"Older",qhkz_4dqm[[#This Row],[vehicle_age]]&gt;=20,"Very Old")</f>
        <v>Mid-age</v>
      </c>
    </row>
    <row r="779" spans="1:10">
      <c r="A779" s="2">
        <v>24103976</v>
      </c>
      <c r="B779" s="2">
        <v>2410397601</v>
      </c>
      <c r="C779" s="2">
        <v>1</v>
      </c>
      <c r="D779" s="2">
        <v>2021</v>
      </c>
      <c r="E779" s="2">
        <v>1</v>
      </c>
      <c r="F779" s="2">
        <v>1249.52</v>
      </c>
      <c r="G779" s="2">
        <v>1536.46</v>
      </c>
      <c r="H779" s="2" t="str">
        <f>VLOOKUP(qhkz_4dqm[[#This Row],[fuel_type]],lookup!A:B,2,FALSE)</f>
        <v>Gasoline</v>
      </c>
      <c r="I779" s="2">
        <f ca="1">YEAR(TODAY())-qhkz_4dqm[[#This Row],[year]]</f>
        <v>5</v>
      </c>
      <c r="J779" s="2" t="str" cm="1">
        <f t="array" aca="1" ref="J779" ca="1">_xlfn.IFS(qhkz_4dqm[[#This Row],[vehicle_age]]&lt;=3,"Newer",qhkz_4dqm[[#This Row],[vehicle_age]]&lt;=9,"Mid-age",qhkz_4dqm[[#This Row],[vehicle_age]]&lt;=19,"Older",qhkz_4dqm[[#This Row],[vehicle_age]]&gt;=20,"Very Old")</f>
        <v>Mid-age</v>
      </c>
    </row>
    <row r="780" spans="1:10">
      <c r="A780" s="2">
        <v>24103984</v>
      </c>
      <c r="B780" s="2">
        <v>2410398401</v>
      </c>
      <c r="C780" s="2">
        <v>1</v>
      </c>
      <c r="D780" s="2">
        <v>2023</v>
      </c>
      <c r="E780" s="2">
        <v>1</v>
      </c>
      <c r="F780" s="2">
        <v>541.61</v>
      </c>
      <c r="G780" s="2">
        <v>1317.11</v>
      </c>
      <c r="H780" s="2" t="str">
        <f>VLOOKUP(qhkz_4dqm[[#This Row],[fuel_type]],lookup!A:B,2,FALSE)</f>
        <v>Gasoline</v>
      </c>
      <c r="I780" s="2">
        <f ca="1">YEAR(TODAY())-qhkz_4dqm[[#This Row],[year]]</f>
        <v>3</v>
      </c>
      <c r="J780" s="2" t="str" cm="1">
        <f t="array" aca="1" ref="J780" ca="1">_xlfn.IFS(qhkz_4dqm[[#This Row],[vehicle_age]]&lt;=3,"Newer",qhkz_4dqm[[#This Row],[vehicle_age]]&lt;=9,"Mid-age",qhkz_4dqm[[#This Row],[vehicle_age]]&lt;=19,"Older",qhkz_4dqm[[#This Row],[vehicle_age]]&gt;=20,"Very Old")</f>
        <v>Newer</v>
      </c>
    </row>
    <row r="781" spans="1:10">
      <c r="A781" s="2">
        <v>24104014</v>
      </c>
      <c r="B781" s="2">
        <v>2410401401</v>
      </c>
      <c r="C781" s="2">
        <v>1</v>
      </c>
      <c r="D781" s="2">
        <v>2024</v>
      </c>
      <c r="E781" s="2">
        <v>1</v>
      </c>
      <c r="F781" s="2">
        <v>181.4</v>
      </c>
      <c r="G781" s="2">
        <v>351.75</v>
      </c>
      <c r="H781" s="2" t="str">
        <f>VLOOKUP(qhkz_4dqm[[#This Row],[fuel_type]],lookup!A:B,2,FALSE)</f>
        <v>Gasoline</v>
      </c>
      <c r="I781" s="2">
        <f ca="1">YEAR(TODAY())-qhkz_4dqm[[#This Row],[year]]</f>
        <v>2</v>
      </c>
      <c r="J781" s="2" t="str" cm="1">
        <f t="array" aca="1" ref="J781" ca="1">_xlfn.IFS(qhkz_4dqm[[#This Row],[vehicle_age]]&lt;=3,"Newer",qhkz_4dqm[[#This Row],[vehicle_age]]&lt;=9,"Mid-age",qhkz_4dqm[[#This Row],[vehicle_age]]&lt;=19,"Older",qhkz_4dqm[[#This Row],[vehicle_age]]&gt;=20,"Very Old")</f>
        <v>Newer</v>
      </c>
    </row>
    <row r="782" spans="1:10">
      <c r="A782" s="2">
        <v>24104027</v>
      </c>
      <c r="B782" s="2">
        <v>2410402701</v>
      </c>
      <c r="C782" s="2">
        <v>1</v>
      </c>
      <c r="D782" s="2">
        <v>2020</v>
      </c>
      <c r="E782" s="2">
        <v>1</v>
      </c>
      <c r="F782" s="2">
        <v>60.98</v>
      </c>
      <c r="G782" s="2">
        <v>391.68</v>
      </c>
      <c r="H782" s="2" t="str">
        <f>VLOOKUP(qhkz_4dqm[[#This Row],[fuel_type]],lookup!A:B,2,FALSE)</f>
        <v>Gasoline</v>
      </c>
      <c r="I782" s="2">
        <f ca="1">YEAR(TODAY())-qhkz_4dqm[[#This Row],[year]]</f>
        <v>6</v>
      </c>
      <c r="J782" s="2" t="str" cm="1">
        <f t="array" aca="1" ref="J782" ca="1">_xlfn.IFS(qhkz_4dqm[[#This Row],[vehicle_age]]&lt;=3,"Newer",qhkz_4dqm[[#This Row],[vehicle_age]]&lt;=9,"Mid-age",qhkz_4dqm[[#This Row],[vehicle_age]]&lt;=19,"Older",qhkz_4dqm[[#This Row],[vehicle_age]]&gt;=20,"Very Old")</f>
        <v>Mid-age</v>
      </c>
    </row>
    <row r="783" spans="1:10">
      <c r="A783" s="2">
        <v>24104031</v>
      </c>
      <c r="B783" s="2">
        <v>2410403101</v>
      </c>
      <c r="C783" s="2">
        <v>1</v>
      </c>
      <c r="D783" s="2">
        <v>2016</v>
      </c>
      <c r="E783" s="2">
        <v>1</v>
      </c>
      <c r="F783" s="2">
        <v>49.55</v>
      </c>
      <c r="G783" s="2">
        <v>253.4</v>
      </c>
      <c r="H783" s="2" t="str">
        <f>VLOOKUP(qhkz_4dqm[[#This Row],[fuel_type]],lookup!A:B,2,FALSE)</f>
        <v>Gasoline</v>
      </c>
      <c r="I783" s="2">
        <f ca="1">YEAR(TODAY())-qhkz_4dqm[[#This Row],[year]]</f>
        <v>10</v>
      </c>
      <c r="J783" s="2" t="str" cm="1">
        <f t="array" aca="1" ref="J783" ca="1">_xlfn.IFS(qhkz_4dqm[[#This Row],[vehicle_age]]&lt;=3,"Newer",qhkz_4dqm[[#This Row],[vehicle_age]]&lt;=9,"Mid-age",qhkz_4dqm[[#This Row],[vehicle_age]]&lt;=19,"Older",qhkz_4dqm[[#This Row],[vehicle_age]]&gt;=20,"Very Old")</f>
        <v>Older</v>
      </c>
    </row>
    <row r="784" spans="1:10">
      <c r="A784" s="2">
        <v>24104046</v>
      </c>
      <c r="B784" s="2">
        <v>2410404601</v>
      </c>
      <c r="C784" s="2">
        <v>1</v>
      </c>
      <c r="D784" s="2">
        <v>2021</v>
      </c>
      <c r="E784" s="2">
        <v>1</v>
      </c>
      <c r="F784" s="2">
        <v>158.26</v>
      </c>
      <c r="G784" s="2">
        <v>340.16</v>
      </c>
      <c r="H784" s="2" t="str">
        <f>VLOOKUP(qhkz_4dqm[[#This Row],[fuel_type]],lookup!A:B,2,FALSE)</f>
        <v>Gasoline</v>
      </c>
      <c r="I784" s="2">
        <f ca="1">YEAR(TODAY())-qhkz_4dqm[[#This Row],[year]]</f>
        <v>5</v>
      </c>
      <c r="J784" s="2" t="str" cm="1">
        <f t="array" aca="1" ref="J784" ca="1">_xlfn.IFS(qhkz_4dqm[[#This Row],[vehicle_age]]&lt;=3,"Newer",qhkz_4dqm[[#This Row],[vehicle_age]]&lt;=9,"Mid-age",qhkz_4dqm[[#This Row],[vehicle_age]]&lt;=19,"Older",qhkz_4dqm[[#This Row],[vehicle_age]]&gt;=20,"Very Old")</f>
        <v>Mid-age</v>
      </c>
    </row>
    <row r="785" spans="1:10">
      <c r="A785" s="2">
        <v>24104200</v>
      </c>
      <c r="B785" s="2">
        <v>2410420001</v>
      </c>
      <c r="C785" s="2">
        <v>1</v>
      </c>
      <c r="D785" s="2">
        <v>2015</v>
      </c>
      <c r="E785" s="2">
        <v>1</v>
      </c>
      <c r="F785" s="2">
        <v>94.63</v>
      </c>
      <c r="G785" s="2">
        <v>211.35</v>
      </c>
      <c r="H785" s="2" t="str">
        <f>VLOOKUP(qhkz_4dqm[[#This Row],[fuel_type]],lookup!A:B,2,FALSE)</f>
        <v>Gasoline</v>
      </c>
      <c r="I785" s="2">
        <f ca="1">YEAR(TODAY())-qhkz_4dqm[[#This Row],[year]]</f>
        <v>11</v>
      </c>
      <c r="J785" s="2" t="str" cm="1">
        <f t="array" aca="1" ref="J785" ca="1">_xlfn.IFS(qhkz_4dqm[[#This Row],[vehicle_age]]&lt;=3,"Newer",qhkz_4dqm[[#This Row],[vehicle_age]]&lt;=9,"Mid-age",qhkz_4dqm[[#This Row],[vehicle_age]]&lt;=19,"Older",qhkz_4dqm[[#This Row],[vehicle_age]]&gt;=20,"Very Old")</f>
        <v>Older</v>
      </c>
    </row>
    <row r="786" spans="1:10">
      <c r="A786" s="2">
        <v>24104227</v>
      </c>
      <c r="B786" s="2">
        <v>2410422701</v>
      </c>
      <c r="C786" s="2">
        <v>1</v>
      </c>
      <c r="D786" s="2">
        <v>2020</v>
      </c>
      <c r="E786" s="2">
        <v>1</v>
      </c>
      <c r="F786" s="2">
        <v>45.3</v>
      </c>
      <c r="G786" s="2">
        <v>247.28</v>
      </c>
      <c r="H786" s="2" t="str">
        <f>VLOOKUP(qhkz_4dqm[[#This Row],[fuel_type]],lookup!A:B,2,FALSE)</f>
        <v>Gasoline</v>
      </c>
      <c r="I786" s="2">
        <f ca="1">YEAR(TODAY())-qhkz_4dqm[[#This Row],[year]]</f>
        <v>6</v>
      </c>
      <c r="J786" s="2" t="str" cm="1">
        <f t="array" aca="1" ref="J786" ca="1">_xlfn.IFS(qhkz_4dqm[[#This Row],[vehicle_age]]&lt;=3,"Newer",qhkz_4dqm[[#This Row],[vehicle_age]]&lt;=9,"Mid-age",qhkz_4dqm[[#This Row],[vehicle_age]]&lt;=19,"Older",qhkz_4dqm[[#This Row],[vehicle_age]]&gt;=20,"Very Old")</f>
        <v>Mid-age</v>
      </c>
    </row>
    <row r="787" spans="1:10">
      <c r="A787" s="2">
        <v>24104285</v>
      </c>
      <c r="B787" s="2">
        <v>2410428501</v>
      </c>
      <c r="C787" s="2">
        <v>1</v>
      </c>
      <c r="D787" s="2">
        <v>2021</v>
      </c>
      <c r="E787" s="2">
        <v>1</v>
      </c>
      <c r="F787" s="2">
        <v>485.82</v>
      </c>
      <c r="G787" s="2">
        <v>1909.15</v>
      </c>
      <c r="H787" s="2" t="str">
        <f>VLOOKUP(qhkz_4dqm[[#This Row],[fuel_type]],lookup!A:B,2,FALSE)</f>
        <v>Gasoline</v>
      </c>
      <c r="I787" s="2">
        <f ca="1">YEAR(TODAY())-qhkz_4dqm[[#This Row],[year]]</f>
        <v>5</v>
      </c>
      <c r="J787" s="2" t="str" cm="1">
        <f t="array" aca="1" ref="J787" ca="1">_xlfn.IFS(qhkz_4dqm[[#This Row],[vehicle_age]]&lt;=3,"Newer",qhkz_4dqm[[#This Row],[vehicle_age]]&lt;=9,"Mid-age",qhkz_4dqm[[#This Row],[vehicle_age]]&lt;=19,"Older",qhkz_4dqm[[#This Row],[vehicle_age]]&gt;=20,"Very Old")</f>
        <v>Mid-age</v>
      </c>
    </row>
    <row r="788" spans="1:10">
      <c r="A788" s="2">
        <v>24104322</v>
      </c>
      <c r="B788" s="2">
        <v>2410432201</v>
      </c>
      <c r="C788" s="2">
        <v>1</v>
      </c>
      <c r="D788" s="2">
        <v>2017</v>
      </c>
      <c r="E788" s="2">
        <v>1</v>
      </c>
      <c r="F788" s="2">
        <v>905.02</v>
      </c>
      <c r="G788" s="2">
        <v>2538.16</v>
      </c>
      <c r="H788" s="2" t="str">
        <f>VLOOKUP(qhkz_4dqm[[#This Row],[fuel_type]],lookup!A:B,2,FALSE)</f>
        <v>Gasoline</v>
      </c>
      <c r="I788" s="2">
        <f ca="1">YEAR(TODAY())-qhkz_4dqm[[#This Row],[year]]</f>
        <v>9</v>
      </c>
      <c r="J788" s="2" t="str" cm="1">
        <f t="array" aca="1" ref="J788" ca="1">_xlfn.IFS(qhkz_4dqm[[#This Row],[vehicle_age]]&lt;=3,"Newer",qhkz_4dqm[[#This Row],[vehicle_age]]&lt;=9,"Mid-age",qhkz_4dqm[[#This Row],[vehicle_age]]&lt;=19,"Older",qhkz_4dqm[[#This Row],[vehicle_age]]&gt;=20,"Very Old")</f>
        <v>Mid-age</v>
      </c>
    </row>
    <row r="789" spans="1:10">
      <c r="A789" s="2">
        <v>24104329</v>
      </c>
      <c r="B789" s="2">
        <v>2410432901</v>
      </c>
      <c r="C789" s="2">
        <v>1</v>
      </c>
      <c r="D789" s="2">
        <v>2002</v>
      </c>
      <c r="E789" s="2">
        <v>1</v>
      </c>
      <c r="F789" s="2">
        <v>409.68</v>
      </c>
      <c r="G789" s="2">
        <v>270.33</v>
      </c>
      <c r="H789" s="2" t="str">
        <f>VLOOKUP(qhkz_4dqm[[#This Row],[fuel_type]],lookup!A:B,2,FALSE)</f>
        <v>Gasoline</v>
      </c>
      <c r="I789" s="2">
        <f ca="1">YEAR(TODAY())-qhkz_4dqm[[#This Row],[year]]</f>
        <v>24</v>
      </c>
      <c r="J789" s="2" t="str" cm="1">
        <f t="array" aca="1" ref="J789" ca="1">_xlfn.IFS(qhkz_4dqm[[#This Row],[vehicle_age]]&lt;=3,"Newer",qhkz_4dqm[[#This Row],[vehicle_age]]&lt;=9,"Mid-age",qhkz_4dqm[[#This Row],[vehicle_age]]&lt;=19,"Older",qhkz_4dqm[[#This Row],[vehicle_age]]&gt;=20,"Very Old")</f>
        <v>Very Old</v>
      </c>
    </row>
    <row r="790" spans="1:10">
      <c r="A790" s="2">
        <v>24104344</v>
      </c>
      <c r="B790" s="2">
        <v>2410434401</v>
      </c>
      <c r="C790" s="2">
        <v>1</v>
      </c>
      <c r="D790" s="2">
        <v>2019</v>
      </c>
      <c r="E790" s="2">
        <v>1</v>
      </c>
      <c r="F790" s="2">
        <v>1727.44</v>
      </c>
      <c r="G790" s="2">
        <v>1825.97</v>
      </c>
      <c r="H790" s="2" t="str">
        <f>VLOOKUP(qhkz_4dqm[[#This Row],[fuel_type]],lookup!A:B,2,FALSE)</f>
        <v>Gasoline</v>
      </c>
      <c r="I790" s="2">
        <f ca="1">YEAR(TODAY())-qhkz_4dqm[[#This Row],[year]]</f>
        <v>7</v>
      </c>
      <c r="J790" s="2" t="str" cm="1">
        <f t="array" aca="1" ref="J790" ca="1">_xlfn.IFS(qhkz_4dqm[[#This Row],[vehicle_age]]&lt;=3,"Newer",qhkz_4dqm[[#This Row],[vehicle_age]]&lt;=9,"Mid-age",qhkz_4dqm[[#This Row],[vehicle_age]]&lt;=19,"Older",qhkz_4dqm[[#This Row],[vehicle_age]]&gt;=20,"Very Old")</f>
        <v>Mid-age</v>
      </c>
    </row>
    <row r="791" spans="1:10">
      <c r="A791" s="2">
        <v>24104370</v>
      </c>
      <c r="B791" s="2">
        <v>2410437001</v>
      </c>
      <c r="C791" s="2">
        <v>1</v>
      </c>
      <c r="D791" s="2">
        <v>2021</v>
      </c>
      <c r="E791" s="2">
        <v>1</v>
      </c>
      <c r="F791" s="2">
        <v>2089.02</v>
      </c>
      <c r="G791" s="2">
        <v>1578.57</v>
      </c>
      <c r="H791" s="2" t="str">
        <f>VLOOKUP(qhkz_4dqm[[#This Row],[fuel_type]],lookup!A:B,2,FALSE)</f>
        <v>Gasoline</v>
      </c>
      <c r="I791" s="2">
        <f ca="1">YEAR(TODAY())-qhkz_4dqm[[#This Row],[year]]</f>
        <v>5</v>
      </c>
      <c r="J791" s="2" t="str" cm="1">
        <f t="array" aca="1" ref="J791" ca="1">_xlfn.IFS(qhkz_4dqm[[#This Row],[vehicle_age]]&lt;=3,"Newer",qhkz_4dqm[[#This Row],[vehicle_age]]&lt;=9,"Mid-age",qhkz_4dqm[[#This Row],[vehicle_age]]&lt;=19,"Older",qhkz_4dqm[[#This Row],[vehicle_age]]&gt;=20,"Very Old")</f>
        <v>Mid-age</v>
      </c>
    </row>
    <row r="792" spans="1:10">
      <c r="A792" s="2">
        <v>24104382</v>
      </c>
      <c r="B792" s="2">
        <v>2410438201</v>
      </c>
      <c r="C792" s="2">
        <v>1</v>
      </c>
      <c r="D792" s="2">
        <v>2016</v>
      </c>
      <c r="E792" s="2">
        <v>1</v>
      </c>
      <c r="F792" s="2">
        <v>156.52000000000001</v>
      </c>
      <c r="G792" s="2">
        <v>325.72000000000003</v>
      </c>
      <c r="H792" s="2" t="str">
        <f>VLOOKUP(qhkz_4dqm[[#This Row],[fuel_type]],lookup!A:B,2,FALSE)</f>
        <v>Gasoline</v>
      </c>
      <c r="I792" s="2">
        <f ca="1">YEAR(TODAY())-qhkz_4dqm[[#This Row],[year]]</f>
        <v>10</v>
      </c>
      <c r="J792" s="2" t="str" cm="1">
        <f t="array" aca="1" ref="J792" ca="1">_xlfn.IFS(qhkz_4dqm[[#This Row],[vehicle_age]]&lt;=3,"Newer",qhkz_4dqm[[#This Row],[vehicle_age]]&lt;=9,"Mid-age",qhkz_4dqm[[#This Row],[vehicle_age]]&lt;=19,"Older",qhkz_4dqm[[#This Row],[vehicle_age]]&gt;=20,"Very Old")</f>
        <v>Older</v>
      </c>
    </row>
    <row r="793" spans="1:10">
      <c r="A793" s="2">
        <v>24104418</v>
      </c>
      <c r="B793" s="2">
        <v>2410441801</v>
      </c>
      <c r="C793" s="2">
        <v>1</v>
      </c>
      <c r="D793" s="2">
        <v>2004</v>
      </c>
      <c r="E793" s="2">
        <v>1</v>
      </c>
      <c r="F793" s="2">
        <v>1969.51</v>
      </c>
      <c r="G793" s="2">
        <v>2115.7800000000002</v>
      </c>
      <c r="H793" s="2" t="str">
        <f>VLOOKUP(qhkz_4dqm[[#This Row],[fuel_type]],lookup!A:B,2,FALSE)</f>
        <v>Gasoline</v>
      </c>
      <c r="I793" s="2">
        <f ca="1">YEAR(TODAY())-qhkz_4dqm[[#This Row],[year]]</f>
        <v>22</v>
      </c>
      <c r="J793" s="2" t="str" cm="1">
        <f t="array" aca="1" ref="J793" ca="1">_xlfn.IFS(qhkz_4dqm[[#This Row],[vehicle_age]]&lt;=3,"Newer",qhkz_4dqm[[#This Row],[vehicle_age]]&lt;=9,"Mid-age",qhkz_4dqm[[#This Row],[vehicle_age]]&lt;=19,"Older",qhkz_4dqm[[#This Row],[vehicle_age]]&gt;=20,"Very Old")</f>
        <v>Very Old</v>
      </c>
    </row>
    <row r="794" spans="1:10">
      <c r="A794" s="2">
        <v>24104420</v>
      </c>
      <c r="B794" s="2">
        <v>2410442001</v>
      </c>
      <c r="C794" s="2">
        <v>1</v>
      </c>
      <c r="D794" s="2">
        <v>2008</v>
      </c>
      <c r="E794" s="2">
        <v>1</v>
      </c>
      <c r="F794" s="2">
        <v>7494.34</v>
      </c>
      <c r="G794" s="2">
        <v>4958.83</v>
      </c>
      <c r="H794" s="2" t="str">
        <f>VLOOKUP(qhkz_4dqm[[#This Row],[fuel_type]],lookup!A:B,2,FALSE)</f>
        <v>Gasoline</v>
      </c>
      <c r="I794" s="2">
        <f ca="1">YEAR(TODAY())-qhkz_4dqm[[#This Row],[year]]</f>
        <v>18</v>
      </c>
      <c r="J794" s="2" t="str" cm="1">
        <f t="array" aca="1" ref="J794" ca="1">_xlfn.IFS(qhkz_4dqm[[#This Row],[vehicle_age]]&lt;=3,"Newer",qhkz_4dqm[[#This Row],[vehicle_age]]&lt;=9,"Mid-age",qhkz_4dqm[[#This Row],[vehicle_age]]&lt;=19,"Older",qhkz_4dqm[[#This Row],[vehicle_age]]&gt;=20,"Very Old")</f>
        <v>Older</v>
      </c>
    </row>
    <row r="795" spans="1:10">
      <c r="A795" s="2">
        <v>24104494</v>
      </c>
      <c r="B795" s="2">
        <v>2410449401</v>
      </c>
      <c r="C795" s="2">
        <v>1</v>
      </c>
      <c r="D795" s="2">
        <v>2024</v>
      </c>
      <c r="E795" s="2">
        <v>1</v>
      </c>
      <c r="F795" s="2">
        <v>6984.99</v>
      </c>
      <c r="G795" s="2">
        <v>3237.89</v>
      </c>
      <c r="H795" s="2" t="str">
        <f>VLOOKUP(qhkz_4dqm[[#This Row],[fuel_type]],lookup!A:B,2,FALSE)</f>
        <v>Gasoline</v>
      </c>
      <c r="I795" s="2">
        <f ca="1">YEAR(TODAY())-qhkz_4dqm[[#This Row],[year]]</f>
        <v>2</v>
      </c>
      <c r="J795" s="2" t="str" cm="1">
        <f t="array" aca="1" ref="J795" ca="1">_xlfn.IFS(qhkz_4dqm[[#This Row],[vehicle_age]]&lt;=3,"Newer",qhkz_4dqm[[#This Row],[vehicle_age]]&lt;=9,"Mid-age",qhkz_4dqm[[#This Row],[vehicle_age]]&lt;=19,"Older",qhkz_4dqm[[#This Row],[vehicle_age]]&gt;=20,"Very Old")</f>
        <v>Newer</v>
      </c>
    </row>
    <row r="796" spans="1:10">
      <c r="A796" s="2">
        <v>24104554</v>
      </c>
      <c r="B796" s="2">
        <v>2410455401</v>
      </c>
      <c r="C796" s="2">
        <v>1</v>
      </c>
      <c r="D796" s="2">
        <v>2015</v>
      </c>
      <c r="E796" s="2">
        <v>1</v>
      </c>
      <c r="F796" s="2">
        <v>6090.59</v>
      </c>
      <c r="G796" s="2">
        <v>4996.5600000000004</v>
      </c>
      <c r="H796" s="2" t="str">
        <f>VLOOKUP(qhkz_4dqm[[#This Row],[fuel_type]],lookup!A:B,2,FALSE)</f>
        <v>Gasoline</v>
      </c>
      <c r="I796" s="2">
        <f ca="1">YEAR(TODAY())-qhkz_4dqm[[#This Row],[year]]</f>
        <v>11</v>
      </c>
      <c r="J796" s="2" t="str" cm="1">
        <f t="array" aca="1" ref="J796" ca="1">_xlfn.IFS(qhkz_4dqm[[#This Row],[vehicle_age]]&lt;=3,"Newer",qhkz_4dqm[[#This Row],[vehicle_age]]&lt;=9,"Mid-age",qhkz_4dqm[[#This Row],[vehicle_age]]&lt;=19,"Older",qhkz_4dqm[[#This Row],[vehicle_age]]&gt;=20,"Very Old")</f>
        <v>Older</v>
      </c>
    </row>
    <row r="797" spans="1:10">
      <c r="A797" s="2">
        <v>24104600</v>
      </c>
      <c r="B797" s="2">
        <v>2410460001</v>
      </c>
      <c r="C797" s="2">
        <v>1</v>
      </c>
      <c r="D797" s="2">
        <v>2011</v>
      </c>
      <c r="E797" s="2">
        <v>1</v>
      </c>
      <c r="F797" s="2">
        <v>70.17</v>
      </c>
      <c r="G797" s="2">
        <v>384.92</v>
      </c>
      <c r="H797" s="2" t="str">
        <f>VLOOKUP(qhkz_4dqm[[#This Row],[fuel_type]],lookup!A:B,2,FALSE)</f>
        <v>Gasoline</v>
      </c>
      <c r="I797" s="2">
        <f ca="1">YEAR(TODAY())-qhkz_4dqm[[#This Row],[year]]</f>
        <v>15</v>
      </c>
      <c r="J797" s="2" t="str" cm="1">
        <f t="array" aca="1" ref="J797" ca="1">_xlfn.IFS(qhkz_4dqm[[#This Row],[vehicle_age]]&lt;=3,"Newer",qhkz_4dqm[[#This Row],[vehicle_age]]&lt;=9,"Mid-age",qhkz_4dqm[[#This Row],[vehicle_age]]&lt;=19,"Older",qhkz_4dqm[[#This Row],[vehicle_age]]&gt;=20,"Very Old")</f>
        <v>Older</v>
      </c>
    </row>
    <row r="798" spans="1:10">
      <c r="A798" s="2">
        <v>24104731</v>
      </c>
      <c r="B798" s="2">
        <v>2410473101</v>
      </c>
      <c r="C798" s="2">
        <v>1</v>
      </c>
      <c r="D798" s="2">
        <v>2015</v>
      </c>
      <c r="E798" s="2">
        <v>1</v>
      </c>
      <c r="F798" s="2">
        <v>824.33</v>
      </c>
      <c r="G798" s="2">
        <v>1852.82</v>
      </c>
      <c r="H798" s="2" t="str">
        <f>VLOOKUP(qhkz_4dqm[[#This Row],[fuel_type]],lookup!A:B,2,FALSE)</f>
        <v>Gasoline</v>
      </c>
      <c r="I798" s="2">
        <f ca="1">YEAR(TODAY())-qhkz_4dqm[[#This Row],[year]]</f>
        <v>11</v>
      </c>
      <c r="J798" s="2" t="str" cm="1">
        <f t="array" aca="1" ref="J798" ca="1">_xlfn.IFS(qhkz_4dqm[[#This Row],[vehicle_age]]&lt;=3,"Newer",qhkz_4dqm[[#This Row],[vehicle_age]]&lt;=9,"Mid-age",qhkz_4dqm[[#This Row],[vehicle_age]]&lt;=19,"Older",qhkz_4dqm[[#This Row],[vehicle_age]]&gt;=20,"Very Old")</f>
        <v>Older</v>
      </c>
    </row>
    <row r="799" spans="1:10">
      <c r="A799" s="2">
        <v>24104768</v>
      </c>
      <c r="B799" s="2">
        <v>2410476801</v>
      </c>
      <c r="C799" s="2">
        <v>1</v>
      </c>
      <c r="D799" s="2">
        <v>2007</v>
      </c>
      <c r="E799" s="2">
        <v>1</v>
      </c>
      <c r="F799" s="2">
        <v>4994.2</v>
      </c>
      <c r="G799" s="2">
        <v>3330.49</v>
      </c>
      <c r="H799" s="2" t="str">
        <f>VLOOKUP(qhkz_4dqm[[#This Row],[fuel_type]],lookup!A:B,2,FALSE)</f>
        <v>Gasoline</v>
      </c>
      <c r="I799" s="2">
        <f ca="1">YEAR(TODAY())-qhkz_4dqm[[#This Row],[year]]</f>
        <v>19</v>
      </c>
      <c r="J799" s="2" t="str" cm="1">
        <f t="array" aca="1" ref="J799" ca="1">_xlfn.IFS(qhkz_4dqm[[#This Row],[vehicle_age]]&lt;=3,"Newer",qhkz_4dqm[[#This Row],[vehicle_age]]&lt;=9,"Mid-age",qhkz_4dqm[[#This Row],[vehicle_age]]&lt;=19,"Older",qhkz_4dqm[[#This Row],[vehicle_age]]&gt;=20,"Very Old")</f>
        <v>Older</v>
      </c>
    </row>
    <row r="800" spans="1:10">
      <c r="A800" s="2">
        <v>24104973</v>
      </c>
      <c r="B800" s="2">
        <v>2410497301</v>
      </c>
      <c r="C800" s="2">
        <v>1</v>
      </c>
      <c r="D800" s="2">
        <v>2024</v>
      </c>
      <c r="E800" s="2">
        <v>1</v>
      </c>
      <c r="F800" s="2">
        <v>7472.02</v>
      </c>
      <c r="G800" s="2">
        <v>4987.43</v>
      </c>
      <c r="H800" s="2" t="str">
        <f>VLOOKUP(qhkz_4dqm[[#This Row],[fuel_type]],lookup!A:B,2,FALSE)</f>
        <v>Gasoline</v>
      </c>
      <c r="I800" s="2">
        <f ca="1">YEAR(TODAY())-qhkz_4dqm[[#This Row],[year]]</f>
        <v>2</v>
      </c>
      <c r="J800" s="2" t="str" cm="1">
        <f t="array" aca="1" ref="J800" ca="1">_xlfn.IFS(qhkz_4dqm[[#This Row],[vehicle_age]]&lt;=3,"Newer",qhkz_4dqm[[#This Row],[vehicle_age]]&lt;=9,"Mid-age",qhkz_4dqm[[#This Row],[vehicle_age]]&lt;=19,"Older",qhkz_4dqm[[#This Row],[vehicle_age]]&gt;=20,"Very Old")</f>
        <v>Newer</v>
      </c>
    </row>
    <row r="801" spans="1:10">
      <c r="A801" s="2">
        <v>24104992</v>
      </c>
      <c r="B801" s="2">
        <v>2410499201</v>
      </c>
      <c r="C801" s="2">
        <v>1</v>
      </c>
      <c r="D801" s="2">
        <v>2018</v>
      </c>
      <c r="E801" s="2">
        <v>1</v>
      </c>
      <c r="F801" s="2">
        <v>551.87</v>
      </c>
      <c r="G801" s="2">
        <v>760.68</v>
      </c>
      <c r="H801" s="2" t="str">
        <f>VLOOKUP(qhkz_4dqm[[#This Row],[fuel_type]],lookup!A:B,2,FALSE)</f>
        <v>Gasoline</v>
      </c>
      <c r="I801" s="2">
        <f ca="1">YEAR(TODAY())-qhkz_4dqm[[#This Row],[year]]</f>
        <v>8</v>
      </c>
      <c r="J801" s="2" t="str" cm="1">
        <f t="array" aca="1" ref="J801" ca="1">_xlfn.IFS(qhkz_4dqm[[#This Row],[vehicle_age]]&lt;=3,"Newer",qhkz_4dqm[[#This Row],[vehicle_age]]&lt;=9,"Mid-age",qhkz_4dqm[[#This Row],[vehicle_age]]&lt;=19,"Older",qhkz_4dqm[[#This Row],[vehicle_age]]&gt;=20,"Very Old")</f>
        <v>Mid-age</v>
      </c>
    </row>
    <row r="802" spans="1:10">
      <c r="A802" s="2">
        <v>24105045</v>
      </c>
      <c r="B802" s="2">
        <v>2410504501</v>
      </c>
      <c r="C802" s="2">
        <v>1</v>
      </c>
      <c r="D802" s="2">
        <v>2011</v>
      </c>
      <c r="E802" s="2">
        <v>1</v>
      </c>
      <c r="F802" s="2">
        <v>4.38</v>
      </c>
      <c r="G802" s="2">
        <v>228.54</v>
      </c>
      <c r="H802" s="2" t="str">
        <f>VLOOKUP(qhkz_4dqm[[#This Row],[fuel_type]],lookup!A:B,2,FALSE)</f>
        <v>Gasoline</v>
      </c>
      <c r="I802" s="2">
        <f ca="1">YEAR(TODAY())-qhkz_4dqm[[#This Row],[year]]</f>
        <v>15</v>
      </c>
      <c r="J802" s="2" t="str" cm="1">
        <f t="array" aca="1" ref="J802" ca="1">_xlfn.IFS(qhkz_4dqm[[#This Row],[vehicle_age]]&lt;=3,"Newer",qhkz_4dqm[[#This Row],[vehicle_age]]&lt;=9,"Mid-age",qhkz_4dqm[[#This Row],[vehicle_age]]&lt;=19,"Older",qhkz_4dqm[[#This Row],[vehicle_age]]&gt;=20,"Very Old")</f>
        <v>Older</v>
      </c>
    </row>
    <row r="803" spans="1:10">
      <c r="A803" s="2">
        <v>24105161</v>
      </c>
      <c r="B803" s="2">
        <v>2410516101</v>
      </c>
      <c r="C803" s="2">
        <v>1</v>
      </c>
      <c r="D803" s="2">
        <v>2014</v>
      </c>
      <c r="E803" s="2">
        <v>1</v>
      </c>
      <c r="F803" s="2">
        <v>131.13999999999999</v>
      </c>
      <c r="G803" s="2">
        <v>253.26</v>
      </c>
      <c r="H803" s="2" t="str">
        <f>VLOOKUP(qhkz_4dqm[[#This Row],[fuel_type]],lookup!A:B,2,FALSE)</f>
        <v>Gasoline</v>
      </c>
      <c r="I803" s="2">
        <f ca="1">YEAR(TODAY())-qhkz_4dqm[[#This Row],[year]]</f>
        <v>12</v>
      </c>
      <c r="J803" s="2" t="str" cm="1">
        <f t="array" aca="1" ref="J803" ca="1">_xlfn.IFS(qhkz_4dqm[[#This Row],[vehicle_age]]&lt;=3,"Newer",qhkz_4dqm[[#This Row],[vehicle_age]]&lt;=9,"Mid-age",qhkz_4dqm[[#This Row],[vehicle_age]]&lt;=19,"Older",qhkz_4dqm[[#This Row],[vehicle_age]]&gt;=20,"Very Old")</f>
        <v>Older</v>
      </c>
    </row>
    <row r="804" spans="1:10">
      <c r="A804" s="2">
        <v>24105166</v>
      </c>
      <c r="B804" s="2">
        <v>2410516601</v>
      </c>
      <c r="C804" s="2">
        <v>1</v>
      </c>
      <c r="D804" s="2">
        <v>2019</v>
      </c>
      <c r="E804" s="2">
        <v>1</v>
      </c>
      <c r="F804" s="2">
        <v>6668.06</v>
      </c>
      <c r="G804" s="2">
        <v>4698.63</v>
      </c>
      <c r="H804" s="2" t="str">
        <f>VLOOKUP(qhkz_4dqm[[#This Row],[fuel_type]],lookup!A:B,2,FALSE)</f>
        <v>Gasoline</v>
      </c>
      <c r="I804" s="2">
        <f ca="1">YEAR(TODAY())-qhkz_4dqm[[#This Row],[year]]</f>
        <v>7</v>
      </c>
      <c r="J804" s="2" t="str" cm="1">
        <f t="array" aca="1" ref="J804" ca="1">_xlfn.IFS(qhkz_4dqm[[#This Row],[vehicle_age]]&lt;=3,"Newer",qhkz_4dqm[[#This Row],[vehicle_age]]&lt;=9,"Mid-age",qhkz_4dqm[[#This Row],[vehicle_age]]&lt;=19,"Older",qhkz_4dqm[[#This Row],[vehicle_age]]&gt;=20,"Very Old")</f>
        <v>Mid-age</v>
      </c>
    </row>
    <row r="805" spans="1:10">
      <c r="A805" s="2">
        <v>24105237</v>
      </c>
      <c r="B805" s="2">
        <v>2410523701</v>
      </c>
      <c r="C805" s="2">
        <v>1</v>
      </c>
      <c r="D805" s="2">
        <v>2022</v>
      </c>
      <c r="E805" s="2">
        <v>2</v>
      </c>
      <c r="F805" s="2">
        <v>2440.2199999999998</v>
      </c>
      <c r="G805" s="2">
        <v>3027.54</v>
      </c>
      <c r="H805" s="2" t="str">
        <f>VLOOKUP(qhkz_4dqm[[#This Row],[fuel_type]],lookup!A:B,2,FALSE)</f>
        <v>Diesel</v>
      </c>
      <c r="I805" s="2">
        <f ca="1">YEAR(TODAY())-qhkz_4dqm[[#This Row],[year]]</f>
        <v>4</v>
      </c>
      <c r="J805" s="2" t="str" cm="1">
        <f t="array" aca="1" ref="J805" ca="1">_xlfn.IFS(qhkz_4dqm[[#This Row],[vehicle_age]]&lt;=3,"Newer",qhkz_4dqm[[#This Row],[vehicle_age]]&lt;=9,"Mid-age",qhkz_4dqm[[#This Row],[vehicle_age]]&lt;=19,"Older",qhkz_4dqm[[#This Row],[vehicle_age]]&gt;=20,"Very Old")</f>
        <v>Mid-age</v>
      </c>
    </row>
    <row r="806" spans="1:10">
      <c r="A806" s="2">
        <v>24105352</v>
      </c>
      <c r="B806" s="2">
        <v>2410535201</v>
      </c>
      <c r="C806" s="2">
        <v>1</v>
      </c>
      <c r="D806" s="2">
        <v>2020</v>
      </c>
      <c r="E806" s="2">
        <v>1</v>
      </c>
      <c r="F806" s="2">
        <v>3283.07</v>
      </c>
      <c r="G806" s="2">
        <v>2371.92</v>
      </c>
      <c r="H806" s="2" t="str">
        <f>VLOOKUP(qhkz_4dqm[[#This Row],[fuel_type]],lookup!A:B,2,FALSE)</f>
        <v>Gasoline</v>
      </c>
      <c r="I806" s="2">
        <f ca="1">YEAR(TODAY())-qhkz_4dqm[[#This Row],[year]]</f>
        <v>6</v>
      </c>
      <c r="J806" s="2" t="str" cm="1">
        <f t="array" aca="1" ref="J806" ca="1">_xlfn.IFS(qhkz_4dqm[[#This Row],[vehicle_age]]&lt;=3,"Newer",qhkz_4dqm[[#This Row],[vehicle_age]]&lt;=9,"Mid-age",qhkz_4dqm[[#This Row],[vehicle_age]]&lt;=19,"Older",qhkz_4dqm[[#This Row],[vehicle_age]]&gt;=20,"Very Old")</f>
        <v>Mid-age</v>
      </c>
    </row>
    <row r="807" spans="1:10">
      <c r="A807" s="2">
        <v>24105543</v>
      </c>
      <c r="B807" s="2">
        <v>2410554301</v>
      </c>
      <c r="C807" s="2">
        <v>1</v>
      </c>
      <c r="D807" s="2">
        <v>2021</v>
      </c>
      <c r="E807" s="2">
        <v>1</v>
      </c>
      <c r="F807" s="2">
        <v>309.45</v>
      </c>
      <c r="G807" s="2">
        <v>508.49</v>
      </c>
      <c r="H807" s="2" t="str">
        <f>VLOOKUP(qhkz_4dqm[[#This Row],[fuel_type]],lookup!A:B,2,FALSE)</f>
        <v>Gasoline</v>
      </c>
      <c r="I807" s="2">
        <f ca="1">YEAR(TODAY())-qhkz_4dqm[[#This Row],[year]]</f>
        <v>5</v>
      </c>
      <c r="J807" s="2" t="str" cm="1">
        <f t="array" aca="1" ref="J807" ca="1">_xlfn.IFS(qhkz_4dqm[[#This Row],[vehicle_age]]&lt;=3,"Newer",qhkz_4dqm[[#This Row],[vehicle_age]]&lt;=9,"Mid-age",qhkz_4dqm[[#This Row],[vehicle_age]]&lt;=19,"Older",qhkz_4dqm[[#This Row],[vehicle_age]]&gt;=20,"Very Old")</f>
        <v>Mid-age</v>
      </c>
    </row>
    <row r="808" spans="1:10">
      <c r="A808" s="2">
        <v>24105589</v>
      </c>
      <c r="B808" s="2">
        <v>2410558901</v>
      </c>
      <c r="C808" s="2">
        <v>1</v>
      </c>
      <c r="D808" s="2">
        <v>2020</v>
      </c>
      <c r="E808" s="2">
        <v>1</v>
      </c>
      <c r="F808" s="2">
        <v>837.29</v>
      </c>
      <c r="G808" s="2">
        <v>1664.73</v>
      </c>
      <c r="H808" s="2" t="str">
        <f>VLOOKUP(qhkz_4dqm[[#This Row],[fuel_type]],lookup!A:B,2,FALSE)</f>
        <v>Gasoline</v>
      </c>
      <c r="I808" s="2">
        <f ca="1">YEAR(TODAY())-qhkz_4dqm[[#This Row],[year]]</f>
        <v>6</v>
      </c>
      <c r="J808" s="2" t="str" cm="1">
        <f t="array" aca="1" ref="J808" ca="1">_xlfn.IFS(qhkz_4dqm[[#This Row],[vehicle_age]]&lt;=3,"Newer",qhkz_4dqm[[#This Row],[vehicle_age]]&lt;=9,"Mid-age",qhkz_4dqm[[#This Row],[vehicle_age]]&lt;=19,"Older",qhkz_4dqm[[#This Row],[vehicle_age]]&gt;=20,"Very Old")</f>
        <v>Mid-age</v>
      </c>
    </row>
    <row r="809" spans="1:10">
      <c r="A809" s="2">
        <v>24105741</v>
      </c>
      <c r="B809" s="2">
        <v>2410574101</v>
      </c>
      <c r="C809" s="2">
        <v>1</v>
      </c>
      <c r="D809" s="2">
        <v>2023</v>
      </c>
      <c r="E809" s="2">
        <v>4</v>
      </c>
      <c r="F809" s="2">
        <v>3087.97</v>
      </c>
      <c r="G809" s="2">
        <v>2414.5</v>
      </c>
      <c r="H809" s="2" t="str">
        <f>VLOOKUP(qhkz_4dqm[[#This Row],[fuel_type]],lookup!A:B,2,FALSE)</f>
        <v>Electric</v>
      </c>
      <c r="I809" s="2">
        <f ca="1">YEAR(TODAY())-qhkz_4dqm[[#This Row],[year]]</f>
        <v>3</v>
      </c>
      <c r="J809" s="2" t="str" cm="1">
        <f t="array" aca="1" ref="J809" ca="1">_xlfn.IFS(qhkz_4dqm[[#This Row],[vehicle_age]]&lt;=3,"Newer",qhkz_4dqm[[#This Row],[vehicle_age]]&lt;=9,"Mid-age",qhkz_4dqm[[#This Row],[vehicle_age]]&lt;=19,"Older",qhkz_4dqm[[#This Row],[vehicle_age]]&gt;=20,"Very Old")</f>
        <v>Newer</v>
      </c>
    </row>
    <row r="810" spans="1:10">
      <c r="A810" s="2">
        <v>24105770</v>
      </c>
      <c r="B810" s="2">
        <v>2410577001</v>
      </c>
      <c r="C810" s="2">
        <v>1</v>
      </c>
      <c r="D810" s="2">
        <v>2019</v>
      </c>
      <c r="E810" s="2">
        <v>1</v>
      </c>
      <c r="F810" s="2">
        <v>73.459999999999994</v>
      </c>
      <c r="G810" s="2">
        <v>128.27000000000001</v>
      </c>
      <c r="H810" s="2" t="str">
        <f>VLOOKUP(qhkz_4dqm[[#This Row],[fuel_type]],lookup!A:B,2,FALSE)</f>
        <v>Gasoline</v>
      </c>
      <c r="I810" s="2">
        <f ca="1">YEAR(TODAY())-qhkz_4dqm[[#This Row],[year]]</f>
        <v>7</v>
      </c>
      <c r="J810" s="2" t="str" cm="1">
        <f t="array" aca="1" ref="J810" ca="1">_xlfn.IFS(qhkz_4dqm[[#This Row],[vehicle_age]]&lt;=3,"Newer",qhkz_4dqm[[#This Row],[vehicle_age]]&lt;=9,"Mid-age",qhkz_4dqm[[#This Row],[vehicle_age]]&lt;=19,"Older",qhkz_4dqm[[#This Row],[vehicle_age]]&gt;=20,"Very Old")</f>
        <v>Mid-age</v>
      </c>
    </row>
    <row r="811" spans="1:10">
      <c r="A811" s="2">
        <v>24105915</v>
      </c>
      <c r="B811" s="2">
        <v>2410591501</v>
      </c>
      <c r="C811" s="2">
        <v>1</v>
      </c>
      <c r="D811" s="2">
        <v>1980</v>
      </c>
      <c r="E811" s="2">
        <v>1</v>
      </c>
      <c r="F811" s="2">
        <v>888.4</v>
      </c>
      <c r="G811" s="2">
        <v>3635.28</v>
      </c>
      <c r="H811" s="2" t="str">
        <f>VLOOKUP(qhkz_4dqm[[#This Row],[fuel_type]],lookup!A:B,2,FALSE)</f>
        <v>Gasoline</v>
      </c>
      <c r="I811" s="2">
        <f ca="1">YEAR(TODAY())-qhkz_4dqm[[#This Row],[year]]</f>
        <v>46</v>
      </c>
      <c r="J811" s="2" t="str" cm="1">
        <f t="array" aca="1" ref="J811" ca="1">_xlfn.IFS(qhkz_4dqm[[#This Row],[vehicle_age]]&lt;=3,"Newer",qhkz_4dqm[[#This Row],[vehicle_age]]&lt;=9,"Mid-age",qhkz_4dqm[[#This Row],[vehicle_age]]&lt;=19,"Older",qhkz_4dqm[[#This Row],[vehicle_age]]&gt;=20,"Very Old")</f>
        <v>Very Old</v>
      </c>
    </row>
    <row r="812" spans="1:10">
      <c r="A812" s="2">
        <v>24106145</v>
      </c>
      <c r="B812" s="2">
        <v>2410614501</v>
      </c>
      <c r="C812" s="2">
        <v>1</v>
      </c>
      <c r="D812" s="2">
        <v>2019</v>
      </c>
      <c r="E812" s="2">
        <v>1</v>
      </c>
      <c r="F812" s="2">
        <v>44.11</v>
      </c>
      <c r="G812" s="2">
        <v>329.58</v>
      </c>
      <c r="H812" s="2" t="str">
        <f>VLOOKUP(qhkz_4dqm[[#This Row],[fuel_type]],lookup!A:B,2,FALSE)</f>
        <v>Gasoline</v>
      </c>
      <c r="I812" s="2">
        <f ca="1">YEAR(TODAY())-qhkz_4dqm[[#This Row],[year]]</f>
        <v>7</v>
      </c>
      <c r="J812" s="2" t="str" cm="1">
        <f t="array" aca="1" ref="J812" ca="1">_xlfn.IFS(qhkz_4dqm[[#This Row],[vehicle_age]]&lt;=3,"Newer",qhkz_4dqm[[#This Row],[vehicle_age]]&lt;=9,"Mid-age",qhkz_4dqm[[#This Row],[vehicle_age]]&lt;=19,"Older",qhkz_4dqm[[#This Row],[vehicle_age]]&gt;=20,"Very Old")</f>
        <v>Mid-age</v>
      </c>
    </row>
    <row r="813" spans="1:10">
      <c r="A813" s="2">
        <v>24106267</v>
      </c>
      <c r="B813" s="2">
        <v>2410626701</v>
      </c>
      <c r="C813" s="2">
        <v>1</v>
      </c>
      <c r="D813" s="2">
        <v>2012</v>
      </c>
      <c r="E813" s="2">
        <v>1</v>
      </c>
      <c r="F813" s="2">
        <v>1022.26</v>
      </c>
      <c r="G813" s="2">
        <v>784.16</v>
      </c>
      <c r="H813" s="2" t="str">
        <f>VLOOKUP(qhkz_4dqm[[#This Row],[fuel_type]],lookup!A:B,2,FALSE)</f>
        <v>Gasoline</v>
      </c>
      <c r="I813" s="2">
        <f ca="1">YEAR(TODAY())-qhkz_4dqm[[#This Row],[year]]</f>
        <v>14</v>
      </c>
      <c r="J813" s="2" t="str" cm="1">
        <f t="array" aca="1" ref="J813" ca="1">_xlfn.IFS(qhkz_4dqm[[#This Row],[vehicle_age]]&lt;=3,"Newer",qhkz_4dqm[[#This Row],[vehicle_age]]&lt;=9,"Mid-age",qhkz_4dqm[[#This Row],[vehicle_age]]&lt;=19,"Older",qhkz_4dqm[[#This Row],[vehicle_age]]&gt;=20,"Very Old")</f>
        <v>Older</v>
      </c>
    </row>
    <row r="814" spans="1:10">
      <c r="A814" s="2">
        <v>24106297</v>
      </c>
      <c r="B814" s="2">
        <v>2410629701</v>
      </c>
      <c r="C814" s="2">
        <v>1</v>
      </c>
      <c r="D814" s="2">
        <v>2021</v>
      </c>
      <c r="E814" s="2">
        <v>2</v>
      </c>
      <c r="F814" s="2">
        <v>875.64</v>
      </c>
      <c r="G814" s="2">
        <v>1705.85</v>
      </c>
      <c r="H814" s="2" t="str">
        <f>VLOOKUP(qhkz_4dqm[[#This Row],[fuel_type]],lookup!A:B,2,FALSE)</f>
        <v>Diesel</v>
      </c>
      <c r="I814" s="2">
        <f ca="1">YEAR(TODAY())-qhkz_4dqm[[#This Row],[year]]</f>
        <v>5</v>
      </c>
      <c r="J814" s="2" t="str" cm="1">
        <f t="array" aca="1" ref="J814" ca="1">_xlfn.IFS(qhkz_4dqm[[#This Row],[vehicle_age]]&lt;=3,"Newer",qhkz_4dqm[[#This Row],[vehicle_age]]&lt;=9,"Mid-age",qhkz_4dqm[[#This Row],[vehicle_age]]&lt;=19,"Older",qhkz_4dqm[[#This Row],[vehicle_age]]&gt;=20,"Very Old")</f>
        <v>Mid-age</v>
      </c>
    </row>
    <row r="815" spans="1:10">
      <c r="A815" s="2">
        <v>24106308</v>
      </c>
      <c r="B815" s="2">
        <v>2410630801</v>
      </c>
      <c r="C815" s="2">
        <v>1</v>
      </c>
      <c r="D815" s="2">
        <v>2020</v>
      </c>
      <c r="E815" s="2">
        <v>1</v>
      </c>
      <c r="F815" s="2">
        <v>160.44</v>
      </c>
      <c r="G815" s="2">
        <v>382.1</v>
      </c>
      <c r="H815" s="2" t="str">
        <f>VLOOKUP(qhkz_4dqm[[#This Row],[fuel_type]],lookup!A:B,2,FALSE)</f>
        <v>Gasoline</v>
      </c>
      <c r="I815" s="2">
        <f ca="1">YEAR(TODAY())-qhkz_4dqm[[#This Row],[year]]</f>
        <v>6</v>
      </c>
      <c r="J815" s="2" t="str" cm="1">
        <f t="array" aca="1" ref="J815" ca="1">_xlfn.IFS(qhkz_4dqm[[#This Row],[vehicle_age]]&lt;=3,"Newer",qhkz_4dqm[[#This Row],[vehicle_age]]&lt;=9,"Mid-age",qhkz_4dqm[[#This Row],[vehicle_age]]&lt;=19,"Older",qhkz_4dqm[[#This Row],[vehicle_age]]&gt;=20,"Very Old")</f>
        <v>Mid-age</v>
      </c>
    </row>
    <row r="816" spans="1:10">
      <c r="A816" s="2">
        <v>24106412</v>
      </c>
      <c r="B816" s="2">
        <v>2410641201</v>
      </c>
      <c r="C816" s="2">
        <v>1</v>
      </c>
      <c r="D816" s="2">
        <v>2015</v>
      </c>
      <c r="E816" s="2">
        <v>1</v>
      </c>
      <c r="F816" s="2">
        <v>178.99</v>
      </c>
      <c r="G816" s="2">
        <v>503.59</v>
      </c>
      <c r="H816" s="2" t="str">
        <f>VLOOKUP(qhkz_4dqm[[#This Row],[fuel_type]],lookup!A:B,2,FALSE)</f>
        <v>Gasoline</v>
      </c>
      <c r="I816" s="2">
        <f ca="1">YEAR(TODAY())-qhkz_4dqm[[#This Row],[year]]</f>
        <v>11</v>
      </c>
      <c r="J816" s="2" t="str" cm="1">
        <f t="array" aca="1" ref="J816" ca="1">_xlfn.IFS(qhkz_4dqm[[#This Row],[vehicle_age]]&lt;=3,"Newer",qhkz_4dqm[[#This Row],[vehicle_age]]&lt;=9,"Mid-age",qhkz_4dqm[[#This Row],[vehicle_age]]&lt;=19,"Older",qhkz_4dqm[[#This Row],[vehicle_age]]&gt;=20,"Very Old")</f>
        <v>Older</v>
      </c>
    </row>
    <row r="817" spans="1:10">
      <c r="A817" s="2">
        <v>24106608</v>
      </c>
      <c r="B817" s="2">
        <v>2410660801</v>
      </c>
      <c r="C817" s="2">
        <v>1</v>
      </c>
      <c r="D817" s="2">
        <v>2024</v>
      </c>
      <c r="E817" s="2">
        <v>1</v>
      </c>
      <c r="F817" s="2">
        <v>322.60000000000002</v>
      </c>
      <c r="G817" s="2">
        <v>482.87</v>
      </c>
      <c r="H817" s="2" t="str">
        <f>VLOOKUP(qhkz_4dqm[[#This Row],[fuel_type]],lookup!A:B,2,FALSE)</f>
        <v>Gasoline</v>
      </c>
      <c r="I817" s="2">
        <f ca="1">YEAR(TODAY())-qhkz_4dqm[[#This Row],[year]]</f>
        <v>2</v>
      </c>
      <c r="J817" s="2" t="str" cm="1">
        <f t="array" aca="1" ref="J817" ca="1">_xlfn.IFS(qhkz_4dqm[[#This Row],[vehicle_age]]&lt;=3,"Newer",qhkz_4dqm[[#This Row],[vehicle_age]]&lt;=9,"Mid-age",qhkz_4dqm[[#This Row],[vehicle_age]]&lt;=19,"Older",qhkz_4dqm[[#This Row],[vehicle_age]]&gt;=20,"Very Old")</f>
        <v>Newer</v>
      </c>
    </row>
    <row r="818" spans="1:10">
      <c r="A818" s="2">
        <v>24106653</v>
      </c>
      <c r="B818" s="2">
        <v>2410665301</v>
      </c>
      <c r="C818" s="2">
        <v>1</v>
      </c>
      <c r="D818" s="2">
        <v>2020</v>
      </c>
      <c r="E818" s="2">
        <v>1</v>
      </c>
      <c r="F818" s="2">
        <v>317.61</v>
      </c>
      <c r="G818" s="2">
        <v>722.11</v>
      </c>
      <c r="H818" s="2" t="str">
        <f>VLOOKUP(qhkz_4dqm[[#This Row],[fuel_type]],lookup!A:B,2,FALSE)</f>
        <v>Gasoline</v>
      </c>
      <c r="I818" s="2">
        <f ca="1">YEAR(TODAY())-qhkz_4dqm[[#This Row],[year]]</f>
        <v>6</v>
      </c>
      <c r="J818" s="2" t="str" cm="1">
        <f t="array" aca="1" ref="J818" ca="1">_xlfn.IFS(qhkz_4dqm[[#This Row],[vehicle_age]]&lt;=3,"Newer",qhkz_4dqm[[#This Row],[vehicle_age]]&lt;=9,"Mid-age",qhkz_4dqm[[#This Row],[vehicle_age]]&lt;=19,"Older",qhkz_4dqm[[#This Row],[vehicle_age]]&gt;=20,"Very Old")</f>
        <v>Mid-age</v>
      </c>
    </row>
    <row r="819" spans="1:10">
      <c r="A819" s="2">
        <v>24106700</v>
      </c>
      <c r="B819" s="2">
        <v>2410670001</v>
      </c>
      <c r="C819" s="2">
        <v>1</v>
      </c>
      <c r="D819" s="2">
        <v>2023</v>
      </c>
      <c r="E819" s="2">
        <v>1</v>
      </c>
      <c r="F819" s="2">
        <v>2149.63</v>
      </c>
      <c r="G819" s="2">
        <v>1037.6400000000001</v>
      </c>
      <c r="H819" s="2" t="str">
        <f>VLOOKUP(qhkz_4dqm[[#This Row],[fuel_type]],lookup!A:B,2,FALSE)</f>
        <v>Gasoline</v>
      </c>
      <c r="I819" s="2">
        <f ca="1">YEAR(TODAY())-qhkz_4dqm[[#This Row],[year]]</f>
        <v>3</v>
      </c>
      <c r="J819" s="2" t="str" cm="1">
        <f t="array" aca="1" ref="J819" ca="1">_xlfn.IFS(qhkz_4dqm[[#This Row],[vehicle_age]]&lt;=3,"Newer",qhkz_4dqm[[#This Row],[vehicle_age]]&lt;=9,"Mid-age",qhkz_4dqm[[#This Row],[vehicle_age]]&lt;=19,"Older",qhkz_4dqm[[#This Row],[vehicle_age]]&gt;=20,"Very Old")</f>
        <v>Newer</v>
      </c>
    </row>
    <row r="820" spans="1:10">
      <c r="A820" s="2">
        <v>24106729</v>
      </c>
      <c r="B820" s="2">
        <v>2410672901</v>
      </c>
      <c r="C820" s="2">
        <v>1</v>
      </c>
      <c r="D820" s="2">
        <v>2016</v>
      </c>
      <c r="E820" s="2">
        <v>1</v>
      </c>
      <c r="F820" s="2">
        <v>172.44</v>
      </c>
      <c r="G820" s="2">
        <v>568.91</v>
      </c>
      <c r="H820" s="2" t="str">
        <f>VLOOKUP(qhkz_4dqm[[#This Row],[fuel_type]],lookup!A:B,2,FALSE)</f>
        <v>Gasoline</v>
      </c>
      <c r="I820" s="2">
        <f ca="1">YEAR(TODAY())-qhkz_4dqm[[#This Row],[year]]</f>
        <v>10</v>
      </c>
      <c r="J820" s="2" t="str" cm="1">
        <f t="array" aca="1" ref="J820" ca="1">_xlfn.IFS(qhkz_4dqm[[#This Row],[vehicle_age]]&lt;=3,"Newer",qhkz_4dqm[[#This Row],[vehicle_age]]&lt;=9,"Mid-age",qhkz_4dqm[[#This Row],[vehicle_age]]&lt;=19,"Older",qhkz_4dqm[[#This Row],[vehicle_age]]&gt;=20,"Very Old")</f>
        <v>Older</v>
      </c>
    </row>
    <row r="821" spans="1:10">
      <c r="A821" s="2">
        <v>24106768</v>
      </c>
      <c r="B821" s="2">
        <v>2410676801</v>
      </c>
      <c r="C821" s="2">
        <v>1</v>
      </c>
      <c r="D821" s="2">
        <v>2021</v>
      </c>
      <c r="E821" s="2">
        <v>1</v>
      </c>
      <c r="F821" s="2">
        <v>138.77000000000001</v>
      </c>
      <c r="G821" s="2">
        <v>341.26</v>
      </c>
      <c r="H821" s="2" t="str">
        <f>VLOOKUP(qhkz_4dqm[[#This Row],[fuel_type]],lookup!A:B,2,FALSE)</f>
        <v>Gasoline</v>
      </c>
      <c r="I821" s="2">
        <f ca="1">YEAR(TODAY())-qhkz_4dqm[[#This Row],[year]]</f>
        <v>5</v>
      </c>
      <c r="J821" s="2" t="str" cm="1">
        <f t="array" aca="1" ref="J821" ca="1">_xlfn.IFS(qhkz_4dqm[[#This Row],[vehicle_age]]&lt;=3,"Newer",qhkz_4dqm[[#This Row],[vehicle_age]]&lt;=9,"Mid-age",qhkz_4dqm[[#This Row],[vehicle_age]]&lt;=19,"Older",qhkz_4dqm[[#This Row],[vehicle_age]]&gt;=20,"Very Old")</f>
        <v>Mid-age</v>
      </c>
    </row>
    <row r="822" spans="1:10">
      <c r="A822" s="2">
        <v>24106782</v>
      </c>
      <c r="B822" s="2">
        <v>2410678201</v>
      </c>
      <c r="C822" s="2">
        <v>1</v>
      </c>
      <c r="D822" s="2">
        <v>2017</v>
      </c>
      <c r="E822" s="2">
        <v>3</v>
      </c>
      <c r="F822" s="2">
        <v>154.19</v>
      </c>
      <c r="G822" s="2">
        <v>469.52</v>
      </c>
      <c r="H822" s="2" t="str">
        <f>VLOOKUP(qhkz_4dqm[[#This Row],[fuel_type]],lookup!A:B,2,FALSE)</f>
        <v>Hybrid</v>
      </c>
      <c r="I822" s="2">
        <f ca="1">YEAR(TODAY())-qhkz_4dqm[[#This Row],[year]]</f>
        <v>9</v>
      </c>
      <c r="J822" s="2" t="str" cm="1">
        <f t="array" aca="1" ref="J822" ca="1">_xlfn.IFS(qhkz_4dqm[[#This Row],[vehicle_age]]&lt;=3,"Newer",qhkz_4dqm[[#This Row],[vehicle_age]]&lt;=9,"Mid-age",qhkz_4dqm[[#This Row],[vehicle_age]]&lt;=19,"Older",qhkz_4dqm[[#This Row],[vehicle_age]]&gt;=20,"Very Old")</f>
        <v>Mid-age</v>
      </c>
    </row>
    <row r="823" spans="1:10">
      <c r="A823" s="2">
        <v>24106788</v>
      </c>
      <c r="B823" s="2">
        <v>2410678801</v>
      </c>
      <c r="C823" s="2">
        <v>1</v>
      </c>
      <c r="D823" s="2">
        <v>2020</v>
      </c>
      <c r="E823" s="2">
        <v>1</v>
      </c>
      <c r="F823" s="2">
        <v>1521.59</v>
      </c>
      <c r="G823" s="2">
        <v>734.29</v>
      </c>
      <c r="H823" s="2" t="str">
        <f>VLOOKUP(qhkz_4dqm[[#This Row],[fuel_type]],lookup!A:B,2,FALSE)</f>
        <v>Gasoline</v>
      </c>
      <c r="I823" s="2">
        <f ca="1">YEAR(TODAY())-qhkz_4dqm[[#This Row],[year]]</f>
        <v>6</v>
      </c>
      <c r="J823" s="2" t="str" cm="1">
        <f t="array" aca="1" ref="J823" ca="1">_xlfn.IFS(qhkz_4dqm[[#This Row],[vehicle_age]]&lt;=3,"Newer",qhkz_4dqm[[#This Row],[vehicle_age]]&lt;=9,"Mid-age",qhkz_4dqm[[#This Row],[vehicle_age]]&lt;=19,"Older",qhkz_4dqm[[#This Row],[vehicle_age]]&gt;=20,"Very Old")</f>
        <v>Mid-age</v>
      </c>
    </row>
    <row r="824" spans="1:10">
      <c r="A824" s="2">
        <v>24106859</v>
      </c>
      <c r="B824" s="2">
        <v>2410685901</v>
      </c>
      <c r="C824" s="2">
        <v>1</v>
      </c>
      <c r="D824" s="2">
        <v>2018</v>
      </c>
      <c r="E824" s="2">
        <v>1</v>
      </c>
      <c r="F824" s="2">
        <v>397.16</v>
      </c>
      <c r="G824" s="2">
        <v>695.42</v>
      </c>
      <c r="H824" s="2" t="str">
        <f>VLOOKUP(qhkz_4dqm[[#This Row],[fuel_type]],lookup!A:B,2,FALSE)</f>
        <v>Gasoline</v>
      </c>
      <c r="I824" s="2">
        <f ca="1">YEAR(TODAY())-qhkz_4dqm[[#This Row],[year]]</f>
        <v>8</v>
      </c>
      <c r="J824" s="2" t="str" cm="1">
        <f t="array" aca="1" ref="J824" ca="1">_xlfn.IFS(qhkz_4dqm[[#This Row],[vehicle_age]]&lt;=3,"Newer",qhkz_4dqm[[#This Row],[vehicle_age]]&lt;=9,"Mid-age",qhkz_4dqm[[#This Row],[vehicle_age]]&lt;=19,"Older",qhkz_4dqm[[#This Row],[vehicle_age]]&gt;=20,"Very Old")</f>
        <v>Mid-age</v>
      </c>
    </row>
    <row r="825" spans="1:10">
      <c r="A825" s="2">
        <v>24106926</v>
      </c>
      <c r="B825" s="2">
        <v>2410692601</v>
      </c>
      <c r="C825" s="2">
        <v>1</v>
      </c>
      <c r="D825" s="2">
        <v>2020</v>
      </c>
      <c r="E825" s="2">
        <v>4</v>
      </c>
      <c r="F825" s="2">
        <v>40.86</v>
      </c>
      <c r="G825" s="2">
        <v>123.5</v>
      </c>
      <c r="H825" s="2" t="str">
        <f>VLOOKUP(qhkz_4dqm[[#This Row],[fuel_type]],lookup!A:B,2,FALSE)</f>
        <v>Electric</v>
      </c>
      <c r="I825" s="2">
        <f ca="1">YEAR(TODAY())-qhkz_4dqm[[#This Row],[year]]</f>
        <v>6</v>
      </c>
      <c r="J825" s="2" t="str" cm="1">
        <f t="array" aca="1" ref="J825" ca="1">_xlfn.IFS(qhkz_4dqm[[#This Row],[vehicle_age]]&lt;=3,"Newer",qhkz_4dqm[[#This Row],[vehicle_age]]&lt;=9,"Mid-age",qhkz_4dqm[[#This Row],[vehicle_age]]&lt;=19,"Older",qhkz_4dqm[[#This Row],[vehicle_age]]&gt;=20,"Very Old")</f>
        <v>Mid-age</v>
      </c>
    </row>
    <row r="826" spans="1:10">
      <c r="A826" s="2">
        <v>24106977</v>
      </c>
      <c r="B826" s="2">
        <v>2410697701</v>
      </c>
      <c r="C826" s="2">
        <v>1</v>
      </c>
      <c r="D826" s="2">
        <v>2005</v>
      </c>
      <c r="E826" s="2">
        <v>1</v>
      </c>
      <c r="F826" s="2">
        <v>91.6</v>
      </c>
      <c r="G826" s="2">
        <v>267.14999999999998</v>
      </c>
      <c r="H826" s="2" t="str">
        <f>VLOOKUP(qhkz_4dqm[[#This Row],[fuel_type]],lookup!A:B,2,FALSE)</f>
        <v>Gasoline</v>
      </c>
      <c r="I826" s="2">
        <f ca="1">YEAR(TODAY())-qhkz_4dqm[[#This Row],[year]]</f>
        <v>21</v>
      </c>
      <c r="J826" s="2" t="str" cm="1">
        <f t="array" aca="1" ref="J826" ca="1">_xlfn.IFS(qhkz_4dqm[[#This Row],[vehicle_age]]&lt;=3,"Newer",qhkz_4dqm[[#This Row],[vehicle_age]]&lt;=9,"Mid-age",qhkz_4dqm[[#This Row],[vehicle_age]]&lt;=19,"Older",qhkz_4dqm[[#This Row],[vehicle_age]]&gt;=20,"Very Old")</f>
        <v>Very Old</v>
      </c>
    </row>
    <row r="827" spans="1:10">
      <c r="A827" s="2">
        <v>24107004</v>
      </c>
      <c r="B827" s="2">
        <v>2410700401</v>
      </c>
      <c r="C827" s="2">
        <v>1</v>
      </c>
      <c r="D827" s="2">
        <v>2012</v>
      </c>
      <c r="E827" s="2">
        <v>1</v>
      </c>
      <c r="F827" s="2">
        <v>386.15</v>
      </c>
      <c r="G827" s="2">
        <v>1596.78</v>
      </c>
      <c r="H827" s="2" t="str">
        <f>VLOOKUP(qhkz_4dqm[[#This Row],[fuel_type]],lookup!A:B,2,FALSE)</f>
        <v>Gasoline</v>
      </c>
      <c r="I827" s="2">
        <f ca="1">YEAR(TODAY())-qhkz_4dqm[[#This Row],[year]]</f>
        <v>14</v>
      </c>
      <c r="J827" s="2" t="str" cm="1">
        <f t="array" aca="1" ref="J827" ca="1">_xlfn.IFS(qhkz_4dqm[[#This Row],[vehicle_age]]&lt;=3,"Newer",qhkz_4dqm[[#This Row],[vehicle_age]]&lt;=9,"Mid-age",qhkz_4dqm[[#This Row],[vehicle_age]]&lt;=19,"Older",qhkz_4dqm[[#This Row],[vehicle_age]]&gt;=20,"Very Old")</f>
        <v>Older</v>
      </c>
    </row>
    <row r="828" spans="1:10">
      <c r="A828" s="2">
        <v>24107020</v>
      </c>
      <c r="B828" s="2">
        <v>2410702001</v>
      </c>
      <c r="C828" s="2">
        <v>1</v>
      </c>
      <c r="D828" s="2">
        <v>2017</v>
      </c>
      <c r="E828" s="2">
        <v>1</v>
      </c>
      <c r="F828" s="2">
        <v>3660.6</v>
      </c>
      <c r="G828" s="2">
        <v>2383.12</v>
      </c>
      <c r="H828" s="2" t="str">
        <f>VLOOKUP(qhkz_4dqm[[#This Row],[fuel_type]],lookup!A:B,2,FALSE)</f>
        <v>Gasoline</v>
      </c>
      <c r="I828" s="2">
        <f ca="1">YEAR(TODAY())-qhkz_4dqm[[#This Row],[year]]</f>
        <v>9</v>
      </c>
      <c r="J828" s="2" t="str" cm="1">
        <f t="array" aca="1" ref="J828" ca="1">_xlfn.IFS(qhkz_4dqm[[#This Row],[vehicle_age]]&lt;=3,"Newer",qhkz_4dqm[[#This Row],[vehicle_age]]&lt;=9,"Mid-age",qhkz_4dqm[[#This Row],[vehicle_age]]&lt;=19,"Older",qhkz_4dqm[[#This Row],[vehicle_age]]&gt;=20,"Very Old")</f>
        <v>Mid-age</v>
      </c>
    </row>
    <row r="829" spans="1:10">
      <c r="A829" s="2">
        <v>24107036</v>
      </c>
      <c r="B829" s="2">
        <v>2410703601</v>
      </c>
      <c r="C829" s="2">
        <v>1</v>
      </c>
      <c r="D829" s="2">
        <v>2012</v>
      </c>
      <c r="E829" s="2">
        <v>1</v>
      </c>
      <c r="F829" s="2">
        <v>2083.36</v>
      </c>
      <c r="G829" s="2">
        <v>3080.64</v>
      </c>
      <c r="H829" s="2" t="str">
        <f>VLOOKUP(qhkz_4dqm[[#This Row],[fuel_type]],lookup!A:B,2,FALSE)</f>
        <v>Gasoline</v>
      </c>
      <c r="I829" s="2">
        <f ca="1">YEAR(TODAY())-qhkz_4dqm[[#This Row],[year]]</f>
        <v>14</v>
      </c>
      <c r="J829" s="2" t="str" cm="1">
        <f t="array" aca="1" ref="J829" ca="1">_xlfn.IFS(qhkz_4dqm[[#This Row],[vehicle_age]]&lt;=3,"Newer",qhkz_4dqm[[#This Row],[vehicle_age]]&lt;=9,"Mid-age",qhkz_4dqm[[#This Row],[vehicle_age]]&lt;=19,"Older",qhkz_4dqm[[#This Row],[vehicle_age]]&gt;=20,"Very Old")</f>
        <v>Older</v>
      </c>
    </row>
    <row r="830" spans="1:10">
      <c r="A830" s="2">
        <v>24107142</v>
      </c>
      <c r="B830" s="2">
        <v>2410714201</v>
      </c>
      <c r="C830" s="2">
        <v>1</v>
      </c>
      <c r="D830" s="2">
        <v>2016</v>
      </c>
      <c r="E830" s="2">
        <v>1</v>
      </c>
      <c r="F830" s="2">
        <v>171.07</v>
      </c>
      <c r="G830" s="2">
        <v>733.34</v>
      </c>
      <c r="H830" s="2" t="str">
        <f>VLOOKUP(qhkz_4dqm[[#This Row],[fuel_type]],lookup!A:B,2,FALSE)</f>
        <v>Gasoline</v>
      </c>
      <c r="I830" s="2">
        <f ca="1">YEAR(TODAY())-qhkz_4dqm[[#This Row],[year]]</f>
        <v>10</v>
      </c>
      <c r="J830" s="2" t="str" cm="1">
        <f t="array" aca="1" ref="J830" ca="1">_xlfn.IFS(qhkz_4dqm[[#This Row],[vehicle_age]]&lt;=3,"Newer",qhkz_4dqm[[#This Row],[vehicle_age]]&lt;=9,"Mid-age",qhkz_4dqm[[#This Row],[vehicle_age]]&lt;=19,"Older",qhkz_4dqm[[#This Row],[vehicle_age]]&gt;=20,"Very Old")</f>
        <v>Older</v>
      </c>
    </row>
    <row r="831" spans="1:10">
      <c r="A831" s="2">
        <v>24107158</v>
      </c>
      <c r="B831" s="2">
        <v>2410715801</v>
      </c>
      <c r="C831" s="2">
        <v>1</v>
      </c>
      <c r="D831" s="2">
        <v>2023</v>
      </c>
      <c r="E831" s="2">
        <v>1</v>
      </c>
      <c r="F831" s="2">
        <v>140.88</v>
      </c>
      <c r="G831" s="2">
        <v>391.9</v>
      </c>
      <c r="H831" s="2" t="str">
        <f>VLOOKUP(qhkz_4dqm[[#This Row],[fuel_type]],lookup!A:B,2,FALSE)</f>
        <v>Gasoline</v>
      </c>
      <c r="I831" s="2">
        <f ca="1">YEAR(TODAY())-qhkz_4dqm[[#This Row],[year]]</f>
        <v>3</v>
      </c>
      <c r="J831" s="2" t="str" cm="1">
        <f t="array" aca="1" ref="J831" ca="1">_xlfn.IFS(qhkz_4dqm[[#This Row],[vehicle_age]]&lt;=3,"Newer",qhkz_4dqm[[#This Row],[vehicle_age]]&lt;=9,"Mid-age",qhkz_4dqm[[#This Row],[vehicle_age]]&lt;=19,"Older",qhkz_4dqm[[#This Row],[vehicle_age]]&gt;=20,"Very Old")</f>
        <v>Newer</v>
      </c>
    </row>
    <row r="832" spans="1:10">
      <c r="A832" s="2">
        <v>24107188</v>
      </c>
      <c r="B832" s="2">
        <v>2410718801</v>
      </c>
      <c r="C832" s="2">
        <v>1</v>
      </c>
      <c r="D832" s="2">
        <v>2024</v>
      </c>
      <c r="E832" s="2">
        <v>2</v>
      </c>
      <c r="F832" s="2">
        <v>663.95</v>
      </c>
      <c r="G832" s="2">
        <v>1087.25</v>
      </c>
      <c r="H832" s="2" t="str">
        <f>VLOOKUP(qhkz_4dqm[[#This Row],[fuel_type]],lookup!A:B,2,FALSE)</f>
        <v>Diesel</v>
      </c>
      <c r="I832" s="2">
        <f ca="1">YEAR(TODAY())-qhkz_4dqm[[#This Row],[year]]</f>
        <v>2</v>
      </c>
      <c r="J832" s="2" t="str" cm="1">
        <f t="array" aca="1" ref="J832" ca="1">_xlfn.IFS(qhkz_4dqm[[#This Row],[vehicle_age]]&lt;=3,"Newer",qhkz_4dqm[[#This Row],[vehicle_age]]&lt;=9,"Mid-age",qhkz_4dqm[[#This Row],[vehicle_age]]&lt;=19,"Older",qhkz_4dqm[[#This Row],[vehicle_age]]&gt;=20,"Very Old")</f>
        <v>Newer</v>
      </c>
    </row>
    <row r="833" spans="1:10">
      <c r="A833" s="2">
        <v>24107190</v>
      </c>
      <c r="B833" s="2">
        <v>2410719001</v>
      </c>
      <c r="C833" s="2">
        <v>1</v>
      </c>
      <c r="D833" s="2">
        <v>2020</v>
      </c>
      <c r="E833" s="2">
        <v>1</v>
      </c>
      <c r="F833" s="2">
        <v>1070.73</v>
      </c>
      <c r="G833" s="2">
        <v>2564.4499999999998</v>
      </c>
      <c r="H833" s="2" t="str">
        <f>VLOOKUP(qhkz_4dqm[[#This Row],[fuel_type]],lookup!A:B,2,FALSE)</f>
        <v>Gasoline</v>
      </c>
      <c r="I833" s="2">
        <f ca="1">YEAR(TODAY())-qhkz_4dqm[[#This Row],[year]]</f>
        <v>6</v>
      </c>
      <c r="J833" s="2" t="str" cm="1">
        <f t="array" aca="1" ref="J833" ca="1">_xlfn.IFS(qhkz_4dqm[[#This Row],[vehicle_age]]&lt;=3,"Newer",qhkz_4dqm[[#This Row],[vehicle_age]]&lt;=9,"Mid-age",qhkz_4dqm[[#This Row],[vehicle_age]]&lt;=19,"Older",qhkz_4dqm[[#This Row],[vehicle_age]]&gt;=20,"Very Old")</f>
        <v>Mid-age</v>
      </c>
    </row>
    <row r="834" spans="1:10">
      <c r="A834" s="2">
        <v>24107262</v>
      </c>
      <c r="B834" s="2">
        <v>2410726201</v>
      </c>
      <c r="C834" s="2">
        <v>1</v>
      </c>
      <c r="D834" s="2">
        <v>2020</v>
      </c>
      <c r="E834" s="2">
        <v>1</v>
      </c>
      <c r="F834" s="2">
        <v>142.93</v>
      </c>
      <c r="G834" s="2">
        <v>258.87</v>
      </c>
      <c r="H834" s="2" t="str">
        <f>VLOOKUP(qhkz_4dqm[[#This Row],[fuel_type]],lookup!A:B,2,FALSE)</f>
        <v>Gasoline</v>
      </c>
      <c r="I834" s="2">
        <f ca="1">YEAR(TODAY())-qhkz_4dqm[[#This Row],[year]]</f>
        <v>6</v>
      </c>
      <c r="J834" s="2" t="str" cm="1">
        <f t="array" aca="1" ref="J834" ca="1">_xlfn.IFS(qhkz_4dqm[[#This Row],[vehicle_age]]&lt;=3,"Newer",qhkz_4dqm[[#This Row],[vehicle_age]]&lt;=9,"Mid-age",qhkz_4dqm[[#This Row],[vehicle_age]]&lt;=19,"Older",qhkz_4dqm[[#This Row],[vehicle_age]]&gt;=20,"Very Old")</f>
        <v>Mid-age</v>
      </c>
    </row>
    <row r="835" spans="1:10">
      <c r="A835" s="2">
        <v>24107345</v>
      </c>
      <c r="B835" s="2">
        <v>2410734501</v>
      </c>
      <c r="C835" s="2">
        <v>1</v>
      </c>
      <c r="D835" s="2">
        <v>2017</v>
      </c>
      <c r="E835" s="2">
        <v>1</v>
      </c>
      <c r="F835" s="2">
        <v>1231.94</v>
      </c>
      <c r="G835" s="2">
        <v>600.54</v>
      </c>
      <c r="H835" s="2" t="str">
        <f>VLOOKUP(qhkz_4dqm[[#This Row],[fuel_type]],lookup!A:B,2,FALSE)</f>
        <v>Gasoline</v>
      </c>
      <c r="I835" s="2">
        <f ca="1">YEAR(TODAY())-qhkz_4dqm[[#This Row],[year]]</f>
        <v>9</v>
      </c>
      <c r="J835" s="2" t="str" cm="1">
        <f t="array" aca="1" ref="J835" ca="1">_xlfn.IFS(qhkz_4dqm[[#This Row],[vehicle_age]]&lt;=3,"Newer",qhkz_4dqm[[#This Row],[vehicle_age]]&lt;=9,"Mid-age",qhkz_4dqm[[#This Row],[vehicle_age]]&lt;=19,"Older",qhkz_4dqm[[#This Row],[vehicle_age]]&gt;=20,"Very Old")</f>
        <v>Mid-age</v>
      </c>
    </row>
    <row r="836" spans="1:10">
      <c r="A836" s="2">
        <v>24107400</v>
      </c>
      <c r="B836" s="2">
        <v>2410740001</v>
      </c>
      <c r="C836" s="2">
        <v>1</v>
      </c>
      <c r="D836" s="2">
        <v>2017</v>
      </c>
      <c r="E836" s="2">
        <v>1</v>
      </c>
      <c r="F836" s="2">
        <v>312.86</v>
      </c>
      <c r="G836" s="2">
        <v>662.31</v>
      </c>
      <c r="H836" s="2" t="str">
        <f>VLOOKUP(qhkz_4dqm[[#This Row],[fuel_type]],lookup!A:B,2,FALSE)</f>
        <v>Gasoline</v>
      </c>
      <c r="I836" s="2">
        <f ca="1">YEAR(TODAY())-qhkz_4dqm[[#This Row],[year]]</f>
        <v>9</v>
      </c>
      <c r="J836" s="2" t="str" cm="1">
        <f t="array" aca="1" ref="J836" ca="1">_xlfn.IFS(qhkz_4dqm[[#This Row],[vehicle_age]]&lt;=3,"Newer",qhkz_4dqm[[#This Row],[vehicle_age]]&lt;=9,"Mid-age",qhkz_4dqm[[#This Row],[vehicle_age]]&lt;=19,"Older",qhkz_4dqm[[#This Row],[vehicle_age]]&gt;=20,"Very Old")</f>
        <v>Mid-age</v>
      </c>
    </row>
    <row r="837" spans="1:10">
      <c r="A837" s="2">
        <v>24107414</v>
      </c>
      <c r="B837" s="2">
        <v>2410741401</v>
      </c>
      <c r="C837" s="2">
        <v>1</v>
      </c>
      <c r="D837" s="2">
        <v>2022</v>
      </c>
      <c r="E837" s="2">
        <v>1</v>
      </c>
      <c r="F837" s="2">
        <v>1070.73</v>
      </c>
      <c r="G837" s="2">
        <v>2564.4499999999998</v>
      </c>
      <c r="H837" s="2" t="str">
        <f>VLOOKUP(qhkz_4dqm[[#This Row],[fuel_type]],lookup!A:B,2,FALSE)</f>
        <v>Gasoline</v>
      </c>
      <c r="I837" s="2">
        <f ca="1">YEAR(TODAY())-qhkz_4dqm[[#This Row],[year]]</f>
        <v>4</v>
      </c>
      <c r="J837" s="2" t="str" cm="1">
        <f t="array" aca="1" ref="J837" ca="1">_xlfn.IFS(qhkz_4dqm[[#This Row],[vehicle_age]]&lt;=3,"Newer",qhkz_4dqm[[#This Row],[vehicle_age]]&lt;=9,"Mid-age",qhkz_4dqm[[#This Row],[vehicle_age]]&lt;=19,"Older",qhkz_4dqm[[#This Row],[vehicle_age]]&gt;=20,"Very Old")</f>
        <v>Mid-age</v>
      </c>
    </row>
    <row r="838" spans="1:10">
      <c r="A838" s="2">
        <v>24107518</v>
      </c>
      <c r="B838" s="2">
        <v>2410751801</v>
      </c>
      <c r="C838" s="2">
        <v>1</v>
      </c>
      <c r="D838" s="2">
        <v>2017</v>
      </c>
      <c r="E838" s="2">
        <v>1</v>
      </c>
      <c r="F838" s="2">
        <v>372.25</v>
      </c>
      <c r="G838" s="2">
        <v>962.39</v>
      </c>
      <c r="H838" s="2" t="str">
        <f>VLOOKUP(qhkz_4dqm[[#This Row],[fuel_type]],lookup!A:B,2,FALSE)</f>
        <v>Gasoline</v>
      </c>
      <c r="I838" s="2">
        <f ca="1">YEAR(TODAY())-qhkz_4dqm[[#This Row],[year]]</f>
        <v>9</v>
      </c>
      <c r="J838" s="2" t="str" cm="1">
        <f t="array" aca="1" ref="J838" ca="1">_xlfn.IFS(qhkz_4dqm[[#This Row],[vehicle_age]]&lt;=3,"Newer",qhkz_4dqm[[#This Row],[vehicle_age]]&lt;=9,"Mid-age",qhkz_4dqm[[#This Row],[vehicle_age]]&lt;=19,"Older",qhkz_4dqm[[#This Row],[vehicle_age]]&gt;=20,"Very Old")</f>
        <v>Mid-age</v>
      </c>
    </row>
    <row r="839" spans="1:10">
      <c r="A839" s="2">
        <v>24107641</v>
      </c>
      <c r="B839" s="2">
        <v>2410764101</v>
      </c>
      <c r="C839" s="2">
        <v>1</v>
      </c>
      <c r="D839" s="2">
        <v>2023</v>
      </c>
      <c r="E839" s="2">
        <v>1</v>
      </c>
      <c r="F839" s="2">
        <v>311.05</v>
      </c>
      <c r="G839" s="2">
        <v>553.80999999999995</v>
      </c>
      <c r="H839" s="2" t="str">
        <f>VLOOKUP(qhkz_4dqm[[#This Row],[fuel_type]],lookup!A:B,2,FALSE)</f>
        <v>Gasoline</v>
      </c>
      <c r="I839" s="2">
        <f ca="1">YEAR(TODAY())-qhkz_4dqm[[#This Row],[year]]</f>
        <v>3</v>
      </c>
      <c r="J839" s="2" t="str" cm="1">
        <f t="array" aca="1" ref="J839" ca="1">_xlfn.IFS(qhkz_4dqm[[#This Row],[vehicle_age]]&lt;=3,"Newer",qhkz_4dqm[[#This Row],[vehicle_age]]&lt;=9,"Mid-age",qhkz_4dqm[[#This Row],[vehicle_age]]&lt;=19,"Older",qhkz_4dqm[[#This Row],[vehicle_age]]&gt;=20,"Very Old")</f>
        <v>Newer</v>
      </c>
    </row>
    <row r="840" spans="1:10">
      <c r="A840" s="2">
        <v>24107648</v>
      </c>
      <c r="B840" s="2">
        <v>2410764801</v>
      </c>
      <c r="C840" s="2">
        <v>1</v>
      </c>
      <c r="D840" s="2">
        <v>2023</v>
      </c>
      <c r="E840" s="2">
        <v>1</v>
      </c>
      <c r="F840" s="2">
        <v>1444.28</v>
      </c>
      <c r="G840" s="2">
        <v>1998.03</v>
      </c>
      <c r="H840" s="2" t="str">
        <f>VLOOKUP(qhkz_4dqm[[#This Row],[fuel_type]],lookup!A:B,2,FALSE)</f>
        <v>Gasoline</v>
      </c>
      <c r="I840" s="2">
        <f ca="1">YEAR(TODAY())-qhkz_4dqm[[#This Row],[year]]</f>
        <v>3</v>
      </c>
      <c r="J840" s="2" t="str" cm="1">
        <f t="array" aca="1" ref="J840" ca="1">_xlfn.IFS(qhkz_4dqm[[#This Row],[vehicle_age]]&lt;=3,"Newer",qhkz_4dqm[[#This Row],[vehicle_age]]&lt;=9,"Mid-age",qhkz_4dqm[[#This Row],[vehicle_age]]&lt;=19,"Older",qhkz_4dqm[[#This Row],[vehicle_age]]&gt;=20,"Very Old")</f>
        <v>Newer</v>
      </c>
    </row>
    <row r="841" spans="1:10">
      <c r="A841" s="2">
        <v>24107701</v>
      </c>
      <c r="B841" s="2">
        <v>2410770101</v>
      </c>
      <c r="C841" s="2">
        <v>1</v>
      </c>
      <c r="D841" s="2">
        <v>2013</v>
      </c>
      <c r="E841" s="2">
        <v>1</v>
      </c>
      <c r="F841" s="2">
        <v>97.01</v>
      </c>
      <c r="G841" s="2">
        <v>457.45</v>
      </c>
      <c r="H841" s="2" t="str">
        <f>VLOOKUP(qhkz_4dqm[[#This Row],[fuel_type]],lookup!A:B,2,FALSE)</f>
        <v>Gasoline</v>
      </c>
      <c r="I841" s="2">
        <f ca="1">YEAR(TODAY())-qhkz_4dqm[[#This Row],[year]]</f>
        <v>13</v>
      </c>
      <c r="J841" s="2" t="str" cm="1">
        <f t="array" aca="1" ref="J841" ca="1">_xlfn.IFS(qhkz_4dqm[[#This Row],[vehicle_age]]&lt;=3,"Newer",qhkz_4dqm[[#This Row],[vehicle_age]]&lt;=9,"Mid-age",qhkz_4dqm[[#This Row],[vehicle_age]]&lt;=19,"Older",qhkz_4dqm[[#This Row],[vehicle_age]]&gt;=20,"Very Old")</f>
        <v>Older</v>
      </c>
    </row>
    <row r="842" spans="1:10">
      <c r="A842" s="2">
        <v>24107720</v>
      </c>
      <c r="B842" s="2">
        <v>2410772001</v>
      </c>
      <c r="C842" s="2">
        <v>1</v>
      </c>
      <c r="D842" s="2">
        <v>2015</v>
      </c>
      <c r="E842" s="2">
        <v>1</v>
      </c>
      <c r="F842" s="2">
        <v>356.43</v>
      </c>
      <c r="G842" s="2">
        <v>691.21</v>
      </c>
      <c r="H842" s="2" t="str">
        <f>VLOOKUP(qhkz_4dqm[[#This Row],[fuel_type]],lookup!A:B,2,FALSE)</f>
        <v>Gasoline</v>
      </c>
      <c r="I842" s="2">
        <f ca="1">YEAR(TODAY())-qhkz_4dqm[[#This Row],[year]]</f>
        <v>11</v>
      </c>
      <c r="J842" s="2" t="str" cm="1">
        <f t="array" aca="1" ref="J842" ca="1">_xlfn.IFS(qhkz_4dqm[[#This Row],[vehicle_age]]&lt;=3,"Newer",qhkz_4dqm[[#This Row],[vehicle_age]]&lt;=9,"Mid-age",qhkz_4dqm[[#This Row],[vehicle_age]]&lt;=19,"Older",qhkz_4dqm[[#This Row],[vehicle_age]]&gt;=20,"Very Old")</f>
        <v>Older</v>
      </c>
    </row>
    <row r="843" spans="1:10">
      <c r="A843" s="2">
        <v>24107737</v>
      </c>
      <c r="B843" s="2">
        <v>2410773701</v>
      </c>
      <c r="C843" s="2">
        <v>1</v>
      </c>
      <c r="D843" s="2">
        <v>2019</v>
      </c>
      <c r="E843" s="2">
        <v>1</v>
      </c>
      <c r="F843" s="2">
        <v>429.36</v>
      </c>
      <c r="G843" s="2">
        <v>960.42</v>
      </c>
      <c r="H843" s="2" t="str">
        <f>VLOOKUP(qhkz_4dqm[[#This Row],[fuel_type]],lookup!A:B,2,FALSE)</f>
        <v>Gasoline</v>
      </c>
      <c r="I843" s="2">
        <f ca="1">YEAR(TODAY())-qhkz_4dqm[[#This Row],[year]]</f>
        <v>7</v>
      </c>
      <c r="J843" s="2" t="str" cm="1">
        <f t="array" aca="1" ref="J843" ca="1">_xlfn.IFS(qhkz_4dqm[[#This Row],[vehicle_age]]&lt;=3,"Newer",qhkz_4dqm[[#This Row],[vehicle_age]]&lt;=9,"Mid-age",qhkz_4dqm[[#This Row],[vehicle_age]]&lt;=19,"Older",qhkz_4dqm[[#This Row],[vehicle_age]]&gt;=20,"Very Old")</f>
        <v>Mid-age</v>
      </c>
    </row>
    <row r="844" spans="1:10">
      <c r="A844" s="2">
        <v>24107758</v>
      </c>
      <c r="B844" s="2">
        <v>2410775801</v>
      </c>
      <c r="C844" s="2">
        <v>1</v>
      </c>
      <c r="D844" s="2">
        <v>2022</v>
      </c>
      <c r="E844" s="2">
        <v>1</v>
      </c>
      <c r="F844" s="2">
        <v>1565.59</v>
      </c>
      <c r="G844" s="2">
        <v>1280.08</v>
      </c>
      <c r="H844" s="2" t="str">
        <f>VLOOKUP(qhkz_4dqm[[#This Row],[fuel_type]],lookup!A:B,2,FALSE)</f>
        <v>Gasoline</v>
      </c>
      <c r="I844" s="2">
        <f ca="1">YEAR(TODAY())-qhkz_4dqm[[#This Row],[year]]</f>
        <v>4</v>
      </c>
      <c r="J844" s="2" t="str" cm="1">
        <f t="array" aca="1" ref="J844" ca="1">_xlfn.IFS(qhkz_4dqm[[#This Row],[vehicle_age]]&lt;=3,"Newer",qhkz_4dqm[[#This Row],[vehicle_age]]&lt;=9,"Mid-age",qhkz_4dqm[[#This Row],[vehicle_age]]&lt;=19,"Older",qhkz_4dqm[[#This Row],[vehicle_age]]&gt;=20,"Very Old")</f>
        <v>Mid-age</v>
      </c>
    </row>
    <row r="845" spans="1:10">
      <c r="A845" s="2">
        <v>24107835</v>
      </c>
      <c r="B845" s="2">
        <v>2410783501</v>
      </c>
      <c r="C845" s="2">
        <v>1</v>
      </c>
      <c r="D845" s="2">
        <v>2022</v>
      </c>
      <c r="E845" s="2">
        <v>1</v>
      </c>
      <c r="F845" s="2">
        <v>251.6</v>
      </c>
      <c r="G845" s="2">
        <v>534.07000000000005</v>
      </c>
      <c r="H845" s="2" t="str">
        <f>VLOOKUP(qhkz_4dqm[[#This Row],[fuel_type]],lookup!A:B,2,FALSE)</f>
        <v>Gasoline</v>
      </c>
      <c r="I845" s="2">
        <f ca="1">YEAR(TODAY())-qhkz_4dqm[[#This Row],[year]]</f>
        <v>4</v>
      </c>
      <c r="J845" s="2" t="str" cm="1">
        <f t="array" aca="1" ref="J845" ca="1">_xlfn.IFS(qhkz_4dqm[[#This Row],[vehicle_age]]&lt;=3,"Newer",qhkz_4dqm[[#This Row],[vehicle_age]]&lt;=9,"Mid-age",qhkz_4dqm[[#This Row],[vehicle_age]]&lt;=19,"Older",qhkz_4dqm[[#This Row],[vehicle_age]]&gt;=20,"Very Old")</f>
        <v>Mid-age</v>
      </c>
    </row>
    <row r="846" spans="1:10">
      <c r="A846" s="2">
        <v>24108266</v>
      </c>
      <c r="B846" s="2">
        <v>2410826601</v>
      </c>
      <c r="C846" s="2">
        <v>1</v>
      </c>
      <c r="D846" s="2">
        <v>2008</v>
      </c>
      <c r="E846" s="2">
        <v>1</v>
      </c>
      <c r="F846" s="2">
        <v>512.01</v>
      </c>
      <c r="G846" s="2">
        <v>924.22</v>
      </c>
      <c r="H846" s="2" t="str">
        <f>VLOOKUP(qhkz_4dqm[[#This Row],[fuel_type]],lookup!A:B,2,FALSE)</f>
        <v>Gasoline</v>
      </c>
      <c r="I846" s="2">
        <f ca="1">YEAR(TODAY())-qhkz_4dqm[[#This Row],[year]]</f>
        <v>18</v>
      </c>
      <c r="J846" s="2" t="str" cm="1">
        <f t="array" aca="1" ref="J846" ca="1">_xlfn.IFS(qhkz_4dqm[[#This Row],[vehicle_age]]&lt;=3,"Newer",qhkz_4dqm[[#This Row],[vehicle_age]]&lt;=9,"Mid-age",qhkz_4dqm[[#This Row],[vehicle_age]]&lt;=19,"Older",qhkz_4dqm[[#This Row],[vehicle_age]]&gt;=20,"Very Old")</f>
        <v>Older</v>
      </c>
    </row>
    <row r="847" spans="1:10">
      <c r="A847" s="2">
        <v>24108300</v>
      </c>
      <c r="B847" s="2">
        <v>2410830001</v>
      </c>
      <c r="C847" s="2">
        <v>1</v>
      </c>
      <c r="D847" s="2">
        <v>1998</v>
      </c>
      <c r="E847" s="2">
        <v>1</v>
      </c>
      <c r="F847" s="2">
        <v>717.42</v>
      </c>
      <c r="G847" s="2">
        <v>1124.7</v>
      </c>
      <c r="H847" s="2" t="str">
        <f>VLOOKUP(qhkz_4dqm[[#This Row],[fuel_type]],lookup!A:B,2,FALSE)</f>
        <v>Gasoline</v>
      </c>
      <c r="I847" s="2">
        <f ca="1">YEAR(TODAY())-qhkz_4dqm[[#This Row],[year]]</f>
        <v>28</v>
      </c>
      <c r="J847" s="2" t="str" cm="1">
        <f t="array" aca="1" ref="J847" ca="1">_xlfn.IFS(qhkz_4dqm[[#This Row],[vehicle_age]]&lt;=3,"Newer",qhkz_4dqm[[#This Row],[vehicle_age]]&lt;=9,"Mid-age",qhkz_4dqm[[#This Row],[vehicle_age]]&lt;=19,"Older",qhkz_4dqm[[#This Row],[vehicle_age]]&gt;=20,"Very Old")</f>
        <v>Very Old</v>
      </c>
    </row>
    <row r="848" spans="1:10">
      <c r="A848" s="2">
        <v>24108590</v>
      </c>
      <c r="B848" s="2">
        <v>2410859001</v>
      </c>
      <c r="C848" s="2">
        <v>1</v>
      </c>
      <c r="D848" s="2">
        <v>2009</v>
      </c>
      <c r="E848" s="2">
        <v>1</v>
      </c>
      <c r="F848" s="2">
        <v>594.48</v>
      </c>
      <c r="G848" s="2">
        <v>553.78</v>
      </c>
      <c r="H848" s="2" t="str">
        <f>VLOOKUP(qhkz_4dqm[[#This Row],[fuel_type]],lookup!A:B,2,FALSE)</f>
        <v>Gasoline</v>
      </c>
      <c r="I848" s="2">
        <f ca="1">YEAR(TODAY())-qhkz_4dqm[[#This Row],[year]]</f>
        <v>17</v>
      </c>
      <c r="J848" s="2" t="str" cm="1">
        <f t="array" aca="1" ref="J848" ca="1">_xlfn.IFS(qhkz_4dqm[[#This Row],[vehicle_age]]&lt;=3,"Newer",qhkz_4dqm[[#This Row],[vehicle_age]]&lt;=9,"Mid-age",qhkz_4dqm[[#This Row],[vehicle_age]]&lt;=19,"Older",qhkz_4dqm[[#This Row],[vehicle_age]]&gt;=20,"Very Old")</f>
        <v>Older</v>
      </c>
    </row>
    <row r="849" spans="1:10">
      <c r="A849" s="2">
        <v>24108591</v>
      </c>
      <c r="B849" s="2">
        <v>2410859101</v>
      </c>
      <c r="C849" s="2">
        <v>1</v>
      </c>
      <c r="D849" s="2">
        <v>2009</v>
      </c>
      <c r="E849" s="2">
        <v>1</v>
      </c>
      <c r="F849" s="2">
        <v>168.45</v>
      </c>
      <c r="G849" s="2">
        <v>225.44</v>
      </c>
      <c r="H849" s="2" t="str">
        <f>VLOOKUP(qhkz_4dqm[[#This Row],[fuel_type]],lookup!A:B,2,FALSE)</f>
        <v>Gasoline</v>
      </c>
      <c r="I849" s="2">
        <f ca="1">YEAR(TODAY())-qhkz_4dqm[[#This Row],[year]]</f>
        <v>17</v>
      </c>
      <c r="J849" s="2" t="str" cm="1">
        <f t="array" aca="1" ref="J849" ca="1">_xlfn.IFS(qhkz_4dqm[[#This Row],[vehicle_age]]&lt;=3,"Newer",qhkz_4dqm[[#This Row],[vehicle_age]]&lt;=9,"Mid-age",qhkz_4dqm[[#This Row],[vehicle_age]]&lt;=19,"Older",qhkz_4dqm[[#This Row],[vehicle_age]]&gt;=20,"Very Old")</f>
        <v>Older</v>
      </c>
    </row>
    <row r="850" spans="1:10">
      <c r="A850" s="2">
        <v>24108662</v>
      </c>
      <c r="B850" s="2">
        <v>2410866201</v>
      </c>
      <c r="C850" s="2">
        <v>1</v>
      </c>
      <c r="D850" s="2">
        <v>2024</v>
      </c>
      <c r="E850" s="2">
        <v>2</v>
      </c>
      <c r="F850" s="2">
        <v>231.82</v>
      </c>
      <c r="G850" s="2">
        <v>328.28</v>
      </c>
      <c r="H850" s="2" t="str">
        <f>VLOOKUP(qhkz_4dqm[[#This Row],[fuel_type]],lookup!A:B,2,FALSE)</f>
        <v>Diesel</v>
      </c>
      <c r="I850" s="2">
        <f ca="1">YEAR(TODAY())-qhkz_4dqm[[#This Row],[year]]</f>
        <v>2</v>
      </c>
      <c r="J850" s="2" t="str" cm="1">
        <f t="array" aca="1" ref="J850" ca="1">_xlfn.IFS(qhkz_4dqm[[#This Row],[vehicle_age]]&lt;=3,"Newer",qhkz_4dqm[[#This Row],[vehicle_age]]&lt;=9,"Mid-age",qhkz_4dqm[[#This Row],[vehicle_age]]&lt;=19,"Older",qhkz_4dqm[[#This Row],[vehicle_age]]&gt;=20,"Very Old")</f>
        <v>Newer</v>
      </c>
    </row>
    <row r="851" spans="1:10">
      <c r="A851" s="2">
        <v>24108763</v>
      </c>
      <c r="B851" s="2">
        <v>2410876301</v>
      </c>
      <c r="C851" s="2">
        <v>1</v>
      </c>
      <c r="D851" s="2">
        <v>2023</v>
      </c>
      <c r="E851" s="2">
        <v>1</v>
      </c>
      <c r="F851" s="2">
        <v>645.38</v>
      </c>
      <c r="G851" s="2">
        <v>1062.6099999999999</v>
      </c>
      <c r="H851" s="2" t="str">
        <f>VLOOKUP(qhkz_4dqm[[#This Row],[fuel_type]],lookup!A:B,2,FALSE)</f>
        <v>Gasoline</v>
      </c>
      <c r="I851" s="2">
        <f ca="1">YEAR(TODAY())-qhkz_4dqm[[#This Row],[year]]</f>
        <v>3</v>
      </c>
      <c r="J851" s="2" t="str" cm="1">
        <f t="array" aca="1" ref="J851" ca="1">_xlfn.IFS(qhkz_4dqm[[#This Row],[vehicle_age]]&lt;=3,"Newer",qhkz_4dqm[[#This Row],[vehicle_age]]&lt;=9,"Mid-age",qhkz_4dqm[[#This Row],[vehicle_age]]&lt;=19,"Older",qhkz_4dqm[[#This Row],[vehicle_age]]&gt;=20,"Very Old")</f>
        <v>Newer</v>
      </c>
    </row>
    <row r="852" spans="1:10">
      <c r="A852" s="2">
        <v>24108819</v>
      </c>
      <c r="B852" s="2">
        <v>2410881901</v>
      </c>
      <c r="C852" s="2">
        <v>1</v>
      </c>
      <c r="D852" s="2">
        <v>2020</v>
      </c>
      <c r="E852" s="2">
        <v>1</v>
      </c>
      <c r="F852" s="2">
        <v>767.57</v>
      </c>
      <c r="G852" s="2">
        <v>1077.03</v>
      </c>
      <c r="H852" s="2" t="str">
        <f>VLOOKUP(qhkz_4dqm[[#This Row],[fuel_type]],lookup!A:B,2,FALSE)</f>
        <v>Gasoline</v>
      </c>
      <c r="I852" s="2">
        <f ca="1">YEAR(TODAY())-qhkz_4dqm[[#This Row],[year]]</f>
        <v>6</v>
      </c>
      <c r="J852" s="2" t="str" cm="1">
        <f t="array" aca="1" ref="J852" ca="1">_xlfn.IFS(qhkz_4dqm[[#This Row],[vehicle_age]]&lt;=3,"Newer",qhkz_4dqm[[#This Row],[vehicle_age]]&lt;=9,"Mid-age",qhkz_4dqm[[#This Row],[vehicle_age]]&lt;=19,"Older",qhkz_4dqm[[#This Row],[vehicle_age]]&gt;=20,"Very Old")</f>
        <v>Mid-age</v>
      </c>
    </row>
    <row r="853" spans="1:10">
      <c r="A853" s="2">
        <v>24108950</v>
      </c>
      <c r="B853" s="2">
        <v>2410895001</v>
      </c>
      <c r="C853" s="2">
        <v>1</v>
      </c>
      <c r="D853" s="2">
        <v>2019</v>
      </c>
      <c r="E853" s="2">
        <v>1</v>
      </c>
      <c r="F853" s="2">
        <v>483.16</v>
      </c>
      <c r="G853" s="2">
        <v>902.71</v>
      </c>
      <c r="H853" s="2" t="str">
        <f>VLOOKUP(qhkz_4dqm[[#This Row],[fuel_type]],lookup!A:B,2,FALSE)</f>
        <v>Gasoline</v>
      </c>
      <c r="I853" s="2">
        <f ca="1">YEAR(TODAY())-qhkz_4dqm[[#This Row],[year]]</f>
        <v>7</v>
      </c>
      <c r="J853" s="2" t="str" cm="1">
        <f t="array" aca="1" ref="J853" ca="1">_xlfn.IFS(qhkz_4dqm[[#This Row],[vehicle_age]]&lt;=3,"Newer",qhkz_4dqm[[#This Row],[vehicle_age]]&lt;=9,"Mid-age",qhkz_4dqm[[#This Row],[vehicle_age]]&lt;=19,"Older",qhkz_4dqm[[#This Row],[vehicle_age]]&gt;=20,"Very Old")</f>
        <v>Mid-age</v>
      </c>
    </row>
    <row r="854" spans="1:10">
      <c r="A854" s="2">
        <v>24109002</v>
      </c>
      <c r="B854" s="2">
        <v>2410900201</v>
      </c>
      <c r="C854" s="2">
        <v>1</v>
      </c>
      <c r="D854" s="2">
        <v>2021</v>
      </c>
      <c r="E854" s="2">
        <v>1</v>
      </c>
      <c r="F854" s="2">
        <v>417.83</v>
      </c>
      <c r="G854" s="2">
        <v>522.9</v>
      </c>
      <c r="H854" s="2" t="str">
        <f>VLOOKUP(qhkz_4dqm[[#This Row],[fuel_type]],lookup!A:B,2,FALSE)</f>
        <v>Gasoline</v>
      </c>
      <c r="I854" s="2">
        <f ca="1">YEAR(TODAY())-qhkz_4dqm[[#This Row],[year]]</f>
        <v>5</v>
      </c>
      <c r="J854" s="2" t="str" cm="1">
        <f t="array" aca="1" ref="J854" ca="1">_xlfn.IFS(qhkz_4dqm[[#This Row],[vehicle_age]]&lt;=3,"Newer",qhkz_4dqm[[#This Row],[vehicle_age]]&lt;=9,"Mid-age",qhkz_4dqm[[#This Row],[vehicle_age]]&lt;=19,"Older",qhkz_4dqm[[#This Row],[vehicle_age]]&gt;=20,"Very Old")</f>
        <v>Mid-age</v>
      </c>
    </row>
    <row r="855" spans="1:10">
      <c r="A855" s="2">
        <v>24109061</v>
      </c>
      <c r="B855" s="2">
        <v>2410906101</v>
      </c>
      <c r="C855" s="2">
        <v>1</v>
      </c>
      <c r="D855" s="2">
        <v>2015</v>
      </c>
      <c r="E855" s="2">
        <v>1</v>
      </c>
      <c r="F855" s="2">
        <v>3785.58</v>
      </c>
      <c r="G855" s="2">
        <v>2385.54</v>
      </c>
      <c r="H855" s="2" t="str">
        <f>VLOOKUP(qhkz_4dqm[[#This Row],[fuel_type]],lookup!A:B,2,FALSE)</f>
        <v>Gasoline</v>
      </c>
      <c r="I855" s="2">
        <f ca="1">YEAR(TODAY())-qhkz_4dqm[[#This Row],[year]]</f>
        <v>11</v>
      </c>
      <c r="J855" s="2" t="str" cm="1">
        <f t="array" aca="1" ref="J855" ca="1">_xlfn.IFS(qhkz_4dqm[[#This Row],[vehicle_age]]&lt;=3,"Newer",qhkz_4dqm[[#This Row],[vehicle_age]]&lt;=9,"Mid-age",qhkz_4dqm[[#This Row],[vehicle_age]]&lt;=19,"Older",qhkz_4dqm[[#This Row],[vehicle_age]]&gt;=20,"Very Old")</f>
        <v>Older</v>
      </c>
    </row>
    <row r="856" spans="1:10">
      <c r="A856" s="2">
        <v>24109175</v>
      </c>
      <c r="B856" s="2">
        <v>2410917501</v>
      </c>
      <c r="C856" s="2">
        <v>1</v>
      </c>
      <c r="D856" s="2">
        <v>2003</v>
      </c>
      <c r="E856" s="2">
        <v>1</v>
      </c>
      <c r="F856" s="2">
        <v>74.260000000000005</v>
      </c>
      <c r="G856" s="2">
        <v>434.76</v>
      </c>
      <c r="H856" s="2" t="str">
        <f>VLOOKUP(qhkz_4dqm[[#This Row],[fuel_type]],lookup!A:B,2,FALSE)</f>
        <v>Gasoline</v>
      </c>
      <c r="I856" s="2">
        <f ca="1">YEAR(TODAY())-qhkz_4dqm[[#This Row],[year]]</f>
        <v>23</v>
      </c>
      <c r="J856" s="2" t="str" cm="1">
        <f t="array" aca="1" ref="J856" ca="1">_xlfn.IFS(qhkz_4dqm[[#This Row],[vehicle_age]]&lt;=3,"Newer",qhkz_4dqm[[#This Row],[vehicle_age]]&lt;=9,"Mid-age",qhkz_4dqm[[#This Row],[vehicle_age]]&lt;=19,"Older",qhkz_4dqm[[#This Row],[vehicle_age]]&gt;=20,"Very Old")</f>
        <v>Very Old</v>
      </c>
    </row>
    <row r="857" spans="1:10">
      <c r="A857" s="2">
        <v>24109188</v>
      </c>
      <c r="B857" s="2">
        <v>2410918801</v>
      </c>
      <c r="C857" s="2">
        <v>1</v>
      </c>
      <c r="D857" s="2">
        <v>2023</v>
      </c>
      <c r="E857" s="2">
        <v>1</v>
      </c>
      <c r="F857" s="2">
        <v>568.82000000000005</v>
      </c>
      <c r="G857" s="2">
        <v>768.15</v>
      </c>
      <c r="H857" s="2" t="str">
        <f>VLOOKUP(qhkz_4dqm[[#This Row],[fuel_type]],lookup!A:B,2,FALSE)</f>
        <v>Gasoline</v>
      </c>
      <c r="I857" s="2">
        <f ca="1">YEAR(TODAY())-qhkz_4dqm[[#This Row],[year]]</f>
        <v>3</v>
      </c>
      <c r="J857" s="2" t="str" cm="1">
        <f t="array" aca="1" ref="J857" ca="1">_xlfn.IFS(qhkz_4dqm[[#This Row],[vehicle_age]]&lt;=3,"Newer",qhkz_4dqm[[#This Row],[vehicle_age]]&lt;=9,"Mid-age",qhkz_4dqm[[#This Row],[vehicle_age]]&lt;=19,"Older",qhkz_4dqm[[#This Row],[vehicle_age]]&gt;=20,"Very Old")</f>
        <v>Newer</v>
      </c>
    </row>
    <row r="858" spans="1:10">
      <c r="A858" s="2">
        <v>24109266</v>
      </c>
      <c r="B858" s="2">
        <v>2410926601</v>
      </c>
      <c r="C858" s="2">
        <v>1</v>
      </c>
      <c r="D858" s="2">
        <v>2014</v>
      </c>
      <c r="E858" s="2">
        <v>1</v>
      </c>
      <c r="F858" s="2">
        <v>61.4</v>
      </c>
      <c r="G858" s="2">
        <v>228.22</v>
      </c>
      <c r="H858" s="2" t="str">
        <f>VLOOKUP(qhkz_4dqm[[#This Row],[fuel_type]],lookup!A:B,2,FALSE)</f>
        <v>Gasoline</v>
      </c>
      <c r="I858" s="2">
        <f ca="1">YEAR(TODAY())-qhkz_4dqm[[#This Row],[year]]</f>
        <v>12</v>
      </c>
      <c r="J858" s="2" t="str" cm="1">
        <f t="array" aca="1" ref="J858" ca="1">_xlfn.IFS(qhkz_4dqm[[#This Row],[vehicle_age]]&lt;=3,"Newer",qhkz_4dqm[[#This Row],[vehicle_age]]&lt;=9,"Mid-age",qhkz_4dqm[[#This Row],[vehicle_age]]&lt;=19,"Older",qhkz_4dqm[[#This Row],[vehicle_age]]&gt;=20,"Very Old")</f>
        <v>Older</v>
      </c>
    </row>
    <row r="859" spans="1:10">
      <c r="A859" s="2">
        <v>24109393</v>
      </c>
      <c r="B859" s="2">
        <v>2410939301</v>
      </c>
      <c r="C859" s="2">
        <v>1</v>
      </c>
      <c r="D859" s="2">
        <v>2016</v>
      </c>
      <c r="E859" s="2">
        <v>1</v>
      </c>
      <c r="F859" s="2">
        <v>437.32</v>
      </c>
      <c r="G859" s="2">
        <v>720.04</v>
      </c>
      <c r="H859" s="2" t="str">
        <f>VLOOKUP(qhkz_4dqm[[#This Row],[fuel_type]],lookup!A:B,2,FALSE)</f>
        <v>Gasoline</v>
      </c>
      <c r="I859" s="2">
        <f ca="1">YEAR(TODAY())-qhkz_4dqm[[#This Row],[year]]</f>
        <v>10</v>
      </c>
      <c r="J859" s="2" t="str" cm="1">
        <f t="array" aca="1" ref="J859" ca="1">_xlfn.IFS(qhkz_4dqm[[#This Row],[vehicle_age]]&lt;=3,"Newer",qhkz_4dqm[[#This Row],[vehicle_age]]&lt;=9,"Mid-age",qhkz_4dqm[[#This Row],[vehicle_age]]&lt;=19,"Older",qhkz_4dqm[[#This Row],[vehicle_age]]&gt;=20,"Very Old")</f>
        <v>Older</v>
      </c>
    </row>
    <row r="860" spans="1:10">
      <c r="A860" s="2">
        <v>24109480</v>
      </c>
      <c r="B860" s="2">
        <v>2410948001</v>
      </c>
      <c r="C860" s="2">
        <v>1</v>
      </c>
      <c r="D860" s="2">
        <v>2008</v>
      </c>
      <c r="E860" s="2">
        <v>1</v>
      </c>
      <c r="F860" s="2">
        <v>241.52</v>
      </c>
      <c r="G860" s="2">
        <v>468.38</v>
      </c>
      <c r="H860" s="2" t="str">
        <f>VLOOKUP(qhkz_4dqm[[#This Row],[fuel_type]],lookup!A:B,2,FALSE)</f>
        <v>Gasoline</v>
      </c>
      <c r="I860" s="2">
        <f ca="1">YEAR(TODAY())-qhkz_4dqm[[#This Row],[year]]</f>
        <v>18</v>
      </c>
      <c r="J860" s="2" t="str" cm="1">
        <f t="array" aca="1" ref="J860" ca="1">_xlfn.IFS(qhkz_4dqm[[#This Row],[vehicle_age]]&lt;=3,"Newer",qhkz_4dqm[[#This Row],[vehicle_age]]&lt;=9,"Mid-age",qhkz_4dqm[[#This Row],[vehicle_age]]&lt;=19,"Older",qhkz_4dqm[[#This Row],[vehicle_age]]&gt;=20,"Very Old")</f>
        <v>Older</v>
      </c>
    </row>
    <row r="861" spans="1:10">
      <c r="A861" s="2">
        <v>24109577</v>
      </c>
      <c r="B861" s="2">
        <v>2410957701</v>
      </c>
      <c r="C861" s="2">
        <v>1</v>
      </c>
      <c r="D861" s="2">
        <v>2019</v>
      </c>
      <c r="E861" s="2">
        <v>1</v>
      </c>
      <c r="F861" s="2">
        <v>59.85</v>
      </c>
      <c r="G861" s="2">
        <v>290.44</v>
      </c>
      <c r="H861" s="2" t="str">
        <f>VLOOKUP(qhkz_4dqm[[#This Row],[fuel_type]],lookup!A:B,2,FALSE)</f>
        <v>Gasoline</v>
      </c>
      <c r="I861" s="2">
        <f ca="1">YEAR(TODAY())-qhkz_4dqm[[#This Row],[year]]</f>
        <v>7</v>
      </c>
      <c r="J861" s="2" t="str" cm="1">
        <f t="array" aca="1" ref="J861" ca="1">_xlfn.IFS(qhkz_4dqm[[#This Row],[vehicle_age]]&lt;=3,"Newer",qhkz_4dqm[[#This Row],[vehicle_age]]&lt;=9,"Mid-age",qhkz_4dqm[[#This Row],[vehicle_age]]&lt;=19,"Older",qhkz_4dqm[[#This Row],[vehicle_age]]&gt;=20,"Very Old")</f>
        <v>Mid-age</v>
      </c>
    </row>
    <row r="862" spans="1:10">
      <c r="A862" s="2">
        <v>24109639</v>
      </c>
      <c r="B862" s="2">
        <v>2410963901</v>
      </c>
      <c r="C862" s="2">
        <v>1</v>
      </c>
      <c r="D862" s="2">
        <v>2013</v>
      </c>
      <c r="E862" s="2">
        <v>2</v>
      </c>
      <c r="F862" s="2">
        <v>797.8</v>
      </c>
      <c r="G862" s="2">
        <v>417.42</v>
      </c>
      <c r="H862" s="2" t="str">
        <f>VLOOKUP(qhkz_4dqm[[#This Row],[fuel_type]],lookup!A:B,2,FALSE)</f>
        <v>Diesel</v>
      </c>
      <c r="I862" s="2">
        <f ca="1">YEAR(TODAY())-qhkz_4dqm[[#This Row],[year]]</f>
        <v>13</v>
      </c>
      <c r="J862" s="2" t="str" cm="1">
        <f t="array" aca="1" ref="J862" ca="1">_xlfn.IFS(qhkz_4dqm[[#This Row],[vehicle_age]]&lt;=3,"Newer",qhkz_4dqm[[#This Row],[vehicle_age]]&lt;=9,"Mid-age",qhkz_4dqm[[#This Row],[vehicle_age]]&lt;=19,"Older",qhkz_4dqm[[#This Row],[vehicle_age]]&gt;=20,"Very Old")</f>
        <v>Older</v>
      </c>
    </row>
    <row r="863" spans="1:10">
      <c r="A863" s="2">
        <v>24109737</v>
      </c>
      <c r="B863" s="2">
        <v>2410973701</v>
      </c>
      <c r="C863" s="2">
        <v>1</v>
      </c>
      <c r="D863" s="2">
        <v>2006</v>
      </c>
      <c r="E863" s="2">
        <v>1</v>
      </c>
      <c r="F863" s="2">
        <v>544.01</v>
      </c>
      <c r="G863" s="2">
        <v>500.43</v>
      </c>
      <c r="H863" s="2" t="str">
        <f>VLOOKUP(qhkz_4dqm[[#This Row],[fuel_type]],lookup!A:B,2,FALSE)</f>
        <v>Gasoline</v>
      </c>
      <c r="I863" s="2">
        <f ca="1">YEAR(TODAY())-qhkz_4dqm[[#This Row],[year]]</f>
        <v>20</v>
      </c>
      <c r="J863" s="2" t="str" cm="1">
        <f t="array" aca="1" ref="J863" ca="1">_xlfn.IFS(qhkz_4dqm[[#This Row],[vehicle_age]]&lt;=3,"Newer",qhkz_4dqm[[#This Row],[vehicle_age]]&lt;=9,"Mid-age",qhkz_4dqm[[#This Row],[vehicle_age]]&lt;=19,"Older",qhkz_4dqm[[#This Row],[vehicle_age]]&gt;=20,"Very Old")</f>
        <v>Very Old</v>
      </c>
    </row>
    <row r="864" spans="1:10">
      <c r="A864" s="2">
        <v>24109777</v>
      </c>
      <c r="B864" s="2">
        <v>2410977701</v>
      </c>
      <c r="C864" s="2">
        <v>1</v>
      </c>
      <c r="D864" s="2">
        <v>2013</v>
      </c>
      <c r="E864" s="2">
        <v>1</v>
      </c>
      <c r="F864" s="2">
        <v>108.71</v>
      </c>
      <c r="G864" s="2">
        <v>229.07</v>
      </c>
      <c r="H864" s="2" t="str">
        <f>VLOOKUP(qhkz_4dqm[[#This Row],[fuel_type]],lookup!A:B,2,FALSE)</f>
        <v>Gasoline</v>
      </c>
      <c r="I864" s="2">
        <f ca="1">YEAR(TODAY())-qhkz_4dqm[[#This Row],[year]]</f>
        <v>13</v>
      </c>
      <c r="J864" s="2" t="str" cm="1">
        <f t="array" aca="1" ref="J864" ca="1">_xlfn.IFS(qhkz_4dqm[[#This Row],[vehicle_age]]&lt;=3,"Newer",qhkz_4dqm[[#This Row],[vehicle_age]]&lt;=9,"Mid-age",qhkz_4dqm[[#This Row],[vehicle_age]]&lt;=19,"Older",qhkz_4dqm[[#This Row],[vehicle_age]]&gt;=20,"Very Old")</f>
        <v>Older</v>
      </c>
    </row>
    <row r="865" spans="1:10">
      <c r="A865" s="2">
        <v>24109872</v>
      </c>
      <c r="B865" s="2">
        <v>2410987201</v>
      </c>
      <c r="C865" s="2">
        <v>1</v>
      </c>
      <c r="D865" s="2">
        <v>2008</v>
      </c>
      <c r="E865" s="2">
        <v>1</v>
      </c>
      <c r="F865" s="2">
        <v>1850.45</v>
      </c>
      <c r="G865" s="2">
        <v>512.23</v>
      </c>
      <c r="H865" s="2" t="str">
        <f>VLOOKUP(qhkz_4dqm[[#This Row],[fuel_type]],lookup!A:B,2,FALSE)</f>
        <v>Gasoline</v>
      </c>
      <c r="I865" s="2">
        <f ca="1">YEAR(TODAY())-qhkz_4dqm[[#This Row],[year]]</f>
        <v>18</v>
      </c>
      <c r="J865" s="2" t="str" cm="1">
        <f t="array" aca="1" ref="J865" ca="1">_xlfn.IFS(qhkz_4dqm[[#This Row],[vehicle_age]]&lt;=3,"Newer",qhkz_4dqm[[#This Row],[vehicle_age]]&lt;=9,"Mid-age",qhkz_4dqm[[#This Row],[vehicle_age]]&lt;=19,"Older",qhkz_4dqm[[#This Row],[vehicle_age]]&gt;=20,"Very Old")</f>
        <v>Older</v>
      </c>
    </row>
    <row r="866" spans="1:10">
      <c r="A866" s="2">
        <v>24109892</v>
      </c>
      <c r="B866" s="2">
        <v>2410989201</v>
      </c>
      <c r="C866" s="2">
        <v>1</v>
      </c>
      <c r="D866" s="2">
        <v>2002</v>
      </c>
      <c r="E866" s="2">
        <v>1</v>
      </c>
      <c r="F866" s="2">
        <v>2035.45</v>
      </c>
      <c r="G866" s="2">
        <v>3253.48</v>
      </c>
      <c r="H866" s="2" t="str">
        <f>VLOOKUP(qhkz_4dqm[[#This Row],[fuel_type]],lookup!A:B,2,FALSE)</f>
        <v>Gasoline</v>
      </c>
      <c r="I866" s="2">
        <f ca="1">YEAR(TODAY())-qhkz_4dqm[[#This Row],[year]]</f>
        <v>24</v>
      </c>
      <c r="J866" s="2" t="str" cm="1">
        <f t="array" aca="1" ref="J866" ca="1">_xlfn.IFS(qhkz_4dqm[[#This Row],[vehicle_age]]&lt;=3,"Newer",qhkz_4dqm[[#This Row],[vehicle_age]]&lt;=9,"Mid-age",qhkz_4dqm[[#This Row],[vehicle_age]]&lt;=19,"Older",qhkz_4dqm[[#This Row],[vehicle_age]]&gt;=20,"Very Old")</f>
        <v>Very Old</v>
      </c>
    </row>
    <row r="867" spans="1:10">
      <c r="A867" s="2">
        <v>24109906</v>
      </c>
      <c r="B867" s="2">
        <v>2410990601</v>
      </c>
      <c r="C867" s="2">
        <v>1</v>
      </c>
      <c r="D867" s="2">
        <v>2018</v>
      </c>
      <c r="E867" s="2">
        <v>1</v>
      </c>
      <c r="F867" s="2">
        <v>83.91</v>
      </c>
      <c r="G867" s="2">
        <v>195.46</v>
      </c>
      <c r="H867" s="2" t="str">
        <f>VLOOKUP(qhkz_4dqm[[#This Row],[fuel_type]],lookup!A:B,2,FALSE)</f>
        <v>Gasoline</v>
      </c>
      <c r="I867" s="2">
        <f ca="1">YEAR(TODAY())-qhkz_4dqm[[#This Row],[year]]</f>
        <v>8</v>
      </c>
      <c r="J867" s="2" t="str" cm="1">
        <f t="array" aca="1" ref="J867" ca="1">_xlfn.IFS(qhkz_4dqm[[#This Row],[vehicle_age]]&lt;=3,"Newer",qhkz_4dqm[[#This Row],[vehicle_age]]&lt;=9,"Mid-age",qhkz_4dqm[[#This Row],[vehicle_age]]&lt;=19,"Older",qhkz_4dqm[[#This Row],[vehicle_age]]&gt;=20,"Very Old")</f>
        <v>Mid-age</v>
      </c>
    </row>
    <row r="868" spans="1:10">
      <c r="A868" s="2">
        <v>24109947</v>
      </c>
      <c r="B868" s="2">
        <v>2410994701</v>
      </c>
      <c r="C868" s="2">
        <v>1</v>
      </c>
      <c r="D868" s="2">
        <v>2014</v>
      </c>
      <c r="E868" s="2">
        <v>1</v>
      </c>
      <c r="F868" s="2">
        <v>2870.95</v>
      </c>
      <c r="G868" s="2">
        <v>1065</v>
      </c>
      <c r="H868" s="2" t="str">
        <f>VLOOKUP(qhkz_4dqm[[#This Row],[fuel_type]],lookup!A:B,2,FALSE)</f>
        <v>Gasoline</v>
      </c>
      <c r="I868" s="2">
        <f ca="1">YEAR(TODAY())-qhkz_4dqm[[#This Row],[year]]</f>
        <v>12</v>
      </c>
      <c r="J868" s="2" t="str" cm="1">
        <f t="array" aca="1" ref="J868" ca="1">_xlfn.IFS(qhkz_4dqm[[#This Row],[vehicle_age]]&lt;=3,"Newer",qhkz_4dqm[[#This Row],[vehicle_age]]&lt;=9,"Mid-age",qhkz_4dqm[[#This Row],[vehicle_age]]&lt;=19,"Older",qhkz_4dqm[[#This Row],[vehicle_age]]&gt;=20,"Very Old")</f>
        <v>Older</v>
      </c>
    </row>
    <row r="869" spans="1:10">
      <c r="A869" s="2">
        <v>24110085</v>
      </c>
      <c r="B869" s="2">
        <v>2411008501</v>
      </c>
      <c r="C869" s="2">
        <v>1</v>
      </c>
      <c r="D869" s="2">
        <v>2008</v>
      </c>
      <c r="E869" s="2">
        <v>1</v>
      </c>
      <c r="F869" s="2">
        <v>227.91</v>
      </c>
      <c r="G869" s="2">
        <v>457.48</v>
      </c>
      <c r="H869" s="2" t="str">
        <f>VLOOKUP(qhkz_4dqm[[#This Row],[fuel_type]],lookup!A:B,2,FALSE)</f>
        <v>Gasoline</v>
      </c>
      <c r="I869" s="2">
        <f ca="1">YEAR(TODAY())-qhkz_4dqm[[#This Row],[year]]</f>
        <v>18</v>
      </c>
      <c r="J869" s="2" t="str" cm="1">
        <f t="array" aca="1" ref="J869" ca="1">_xlfn.IFS(qhkz_4dqm[[#This Row],[vehicle_age]]&lt;=3,"Newer",qhkz_4dqm[[#This Row],[vehicle_age]]&lt;=9,"Mid-age",qhkz_4dqm[[#This Row],[vehicle_age]]&lt;=19,"Older",qhkz_4dqm[[#This Row],[vehicle_age]]&gt;=20,"Very Old")</f>
        <v>Older</v>
      </c>
    </row>
    <row r="870" spans="1:10">
      <c r="A870" s="2">
        <v>24110112</v>
      </c>
      <c r="B870" s="2">
        <v>2411011201</v>
      </c>
      <c r="C870" s="2">
        <v>1</v>
      </c>
      <c r="D870" s="2">
        <v>2013</v>
      </c>
      <c r="E870" s="2">
        <v>1</v>
      </c>
      <c r="F870" s="2">
        <v>3132.4</v>
      </c>
      <c r="G870" s="2">
        <v>3101.17</v>
      </c>
      <c r="H870" s="2" t="str">
        <f>VLOOKUP(qhkz_4dqm[[#This Row],[fuel_type]],lookup!A:B,2,FALSE)</f>
        <v>Gasoline</v>
      </c>
      <c r="I870" s="2">
        <f ca="1">YEAR(TODAY())-qhkz_4dqm[[#This Row],[year]]</f>
        <v>13</v>
      </c>
      <c r="J870" s="2" t="str" cm="1">
        <f t="array" aca="1" ref="J870" ca="1">_xlfn.IFS(qhkz_4dqm[[#This Row],[vehicle_age]]&lt;=3,"Newer",qhkz_4dqm[[#This Row],[vehicle_age]]&lt;=9,"Mid-age",qhkz_4dqm[[#This Row],[vehicle_age]]&lt;=19,"Older",qhkz_4dqm[[#This Row],[vehicle_age]]&gt;=20,"Very Old")</f>
        <v>Older</v>
      </c>
    </row>
    <row r="871" spans="1:10">
      <c r="A871" s="2">
        <v>24110175</v>
      </c>
      <c r="B871" s="2">
        <v>2411017501</v>
      </c>
      <c r="C871" s="2">
        <v>1</v>
      </c>
      <c r="D871" s="2">
        <v>2009</v>
      </c>
      <c r="E871" s="2">
        <v>1</v>
      </c>
      <c r="F871" s="2">
        <v>1968.92</v>
      </c>
      <c r="G871" s="2">
        <v>330.68</v>
      </c>
      <c r="H871" s="2" t="str">
        <f>VLOOKUP(qhkz_4dqm[[#This Row],[fuel_type]],lookup!A:B,2,FALSE)</f>
        <v>Gasoline</v>
      </c>
      <c r="I871" s="2">
        <f ca="1">YEAR(TODAY())-qhkz_4dqm[[#This Row],[year]]</f>
        <v>17</v>
      </c>
      <c r="J871" s="2" t="str" cm="1">
        <f t="array" aca="1" ref="J871" ca="1">_xlfn.IFS(qhkz_4dqm[[#This Row],[vehicle_age]]&lt;=3,"Newer",qhkz_4dqm[[#This Row],[vehicle_age]]&lt;=9,"Mid-age",qhkz_4dqm[[#This Row],[vehicle_age]]&lt;=19,"Older",qhkz_4dqm[[#This Row],[vehicle_age]]&gt;=20,"Very Old")</f>
        <v>Older</v>
      </c>
    </row>
    <row r="872" spans="1:10">
      <c r="A872" s="2">
        <v>24110235</v>
      </c>
      <c r="B872" s="2">
        <v>2411023501</v>
      </c>
      <c r="C872" s="2">
        <v>1</v>
      </c>
      <c r="D872" s="2">
        <v>1997</v>
      </c>
      <c r="E872" s="2">
        <v>1</v>
      </c>
      <c r="F872" s="2">
        <v>2912.56</v>
      </c>
      <c r="G872" s="2">
        <v>2289.6799999999998</v>
      </c>
      <c r="H872" s="2" t="str">
        <f>VLOOKUP(qhkz_4dqm[[#This Row],[fuel_type]],lookup!A:B,2,FALSE)</f>
        <v>Gasoline</v>
      </c>
      <c r="I872" s="2">
        <f ca="1">YEAR(TODAY())-qhkz_4dqm[[#This Row],[year]]</f>
        <v>29</v>
      </c>
      <c r="J872" s="2" t="str" cm="1">
        <f t="array" aca="1" ref="J872" ca="1">_xlfn.IFS(qhkz_4dqm[[#This Row],[vehicle_age]]&lt;=3,"Newer",qhkz_4dqm[[#This Row],[vehicle_age]]&lt;=9,"Mid-age",qhkz_4dqm[[#This Row],[vehicle_age]]&lt;=19,"Older",qhkz_4dqm[[#This Row],[vehicle_age]]&gt;=20,"Very Old")</f>
        <v>Very Old</v>
      </c>
    </row>
    <row r="873" spans="1:10">
      <c r="A873" s="2">
        <v>24110304</v>
      </c>
      <c r="B873" s="2">
        <v>2411030401</v>
      </c>
      <c r="C873" s="2">
        <v>1</v>
      </c>
      <c r="D873" s="2">
        <v>2024</v>
      </c>
      <c r="E873" s="2">
        <v>1</v>
      </c>
      <c r="F873" s="2">
        <v>94.43</v>
      </c>
      <c r="G873" s="2">
        <v>414.47</v>
      </c>
      <c r="H873" s="2" t="str">
        <f>VLOOKUP(qhkz_4dqm[[#This Row],[fuel_type]],lookup!A:B,2,FALSE)</f>
        <v>Gasoline</v>
      </c>
      <c r="I873" s="2">
        <f ca="1">YEAR(TODAY())-qhkz_4dqm[[#This Row],[year]]</f>
        <v>2</v>
      </c>
      <c r="J873" s="2" t="str" cm="1">
        <f t="array" aca="1" ref="J873" ca="1">_xlfn.IFS(qhkz_4dqm[[#This Row],[vehicle_age]]&lt;=3,"Newer",qhkz_4dqm[[#This Row],[vehicle_age]]&lt;=9,"Mid-age",qhkz_4dqm[[#This Row],[vehicle_age]]&lt;=19,"Older",qhkz_4dqm[[#This Row],[vehicle_age]]&gt;=20,"Very Old")</f>
        <v>Newer</v>
      </c>
    </row>
    <row r="874" spans="1:10">
      <c r="A874" s="2">
        <v>24110359</v>
      </c>
      <c r="B874" s="2">
        <v>2411035901</v>
      </c>
      <c r="C874" s="2">
        <v>1</v>
      </c>
      <c r="D874" s="2">
        <v>2016</v>
      </c>
      <c r="E874" s="2">
        <v>1</v>
      </c>
      <c r="F874" s="2">
        <v>1857.33</v>
      </c>
      <c r="G874" s="2">
        <v>1625.97</v>
      </c>
      <c r="H874" s="2" t="str">
        <f>VLOOKUP(qhkz_4dqm[[#This Row],[fuel_type]],lookup!A:B,2,FALSE)</f>
        <v>Gasoline</v>
      </c>
      <c r="I874" s="2">
        <f ca="1">YEAR(TODAY())-qhkz_4dqm[[#This Row],[year]]</f>
        <v>10</v>
      </c>
      <c r="J874" s="2" t="str" cm="1">
        <f t="array" aca="1" ref="J874" ca="1">_xlfn.IFS(qhkz_4dqm[[#This Row],[vehicle_age]]&lt;=3,"Newer",qhkz_4dqm[[#This Row],[vehicle_age]]&lt;=9,"Mid-age",qhkz_4dqm[[#This Row],[vehicle_age]]&lt;=19,"Older",qhkz_4dqm[[#This Row],[vehicle_age]]&gt;=20,"Very Old")</f>
        <v>Older</v>
      </c>
    </row>
    <row r="875" spans="1:10">
      <c r="A875" s="2">
        <v>24110372</v>
      </c>
      <c r="B875" s="2">
        <v>2411037201</v>
      </c>
      <c r="C875" s="2">
        <v>1</v>
      </c>
      <c r="D875" s="2">
        <v>2019</v>
      </c>
      <c r="E875" s="2">
        <v>1</v>
      </c>
      <c r="F875" s="2">
        <v>68.31</v>
      </c>
      <c r="G875" s="2">
        <v>348.75</v>
      </c>
      <c r="H875" s="2" t="str">
        <f>VLOOKUP(qhkz_4dqm[[#This Row],[fuel_type]],lookup!A:B,2,FALSE)</f>
        <v>Gasoline</v>
      </c>
      <c r="I875" s="2">
        <f ca="1">YEAR(TODAY())-qhkz_4dqm[[#This Row],[year]]</f>
        <v>7</v>
      </c>
      <c r="J875" s="2" t="str" cm="1">
        <f t="array" aca="1" ref="J875" ca="1">_xlfn.IFS(qhkz_4dqm[[#This Row],[vehicle_age]]&lt;=3,"Newer",qhkz_4dqm[[#This Row],[vehicle_age]]&lt;=9,"Mid-age",qhkz_4dqm[[#This Row],[vehicle_age]]&lt;=19,"Older",qhkz_4dqm[[#This Row],[vehicle_age]]&gt;=20,"Very Old")</f>
        <v>Mid-age</v>
      </c>
    </row>
    <row r="876" spans="1:10">
      <c r="A876" s="2">
        <v>24110403</v>
      </c>
      <c r="B876" s="2">
        <v>2411040301</v>
      </c>
      <c r="C876" s="2">
        <v>1</v>
      </c>
      <c r="D876" s="2">
        <v>2023</v>
      </c>
      <c r="E876" s="2">
        <v>1</v>
      </c>
      <c r="F876" s="2">
        <v>3196.2</v>
      </c>
      <c r="G876" s="2">
        <v>629.02</v>
      </c>
      <c r="H876" s="2" t="str">
        <f>VLOOKUP(qhkz_4dqm[[#This Row],[fuel_type]],lookup!A:B,2,FALSE)</f>
        <v>Gasoline</v>
      </c>
      <c r="I876" s="2">
        <f ca="1">YEAR(TODAY())-qhkz_4dqm[[#This Row],[year]]</f>
        <v>3</v>
      </c>
      <c r="J876" s="2" t="str" cm="1">
        <f t="array" aca="1" ref="J876" ca="1">_xlfn.IFS(qhkz_4dqm[[#This Row],[vehicle_age]]&lt;=3,"Newer",qhkz_4dqm[[#This Row],[vehicle_age]]&lt;=9,"Mid-age",qhkz_4dqm[[#This Row],[vehicle_age]]&lt;=19,"Older",qhkz_4dqm[[#This Row],[vehicle_age]]&gt;=20,"Very Old")</f>
        <v>Newer</v>
      </c>
    </row>
    <row r="877" spans="1:10">
      <c r="A877" s="2">
        <v>24110585</v>
      </c>
      <c r="B877" s="2">
        <v>2411058501</v>
      </c>
      <c r="C877" s="2">
        <v>1</v>
      </c>
      <c r="D877" s="2">
        <v>2014</v>
      </c>
      <c r="E877" s="2">
        <v>1</v>
      </c>
      <c r="F877" s="2">
        <v>792.83</v>
      </c>
      <c r="G877" s="2">
        <v>364.2</v>
      </c>
      <c r="H877" s="2" t="str">
        <f>VLOOKUP(qhkz_4dqm[[#This Row],[fuel_type]],lookup!A:B,2,FALSE)</f>
        <v>Gasoline</v>
      </c>
      <c r="I877" s="2">
        <f ca="1">YEAR(TODAY())-qhkz_4dqm[[#This Row],[year]]</f>
        <v>12</v>
      </c>
      <c r="J877" s="2" t="str" cm="1">
        <f t="array" aca="1" ref="J877" ca="1">_xlfn.IFS(qhkz_4dqm[[#This Row],[vehicle_age]]&lt;=3,"Newer",qhkz_4dqm[[#This Row],[vehicle_age]]&lt;=9,"Mid-age",qhkz_4dqm[[#This Row],[vehicle_age]]&lt;=19,"Older",qhkz_4dqm[[#This Row],[vehicle_age]]&gt;=20,"Very Old")</f>
        <v>Older</v>
      </c>
    </row>
    <row r="878" spans="1:10">
      <c r="A878" s="2">
        <v>24110673</v>
      </c>
      <c r="B878" s="2">
        <v>2411067301</v>
      </c>
      <c r="C878" s="2">
        <v>1</v>
      </c>
      <c r="D878" s="2">
        <v>2018</v>
      </c>
      <c r="E878" s="2">
        <v>1</v>
      </c>
      <c r="F878" s="2">
        <v>503.59</v>
      </c>
      <c r="G878" s="2">
        <v>383.05</v>
      </c>
      <c r="H878" s="2" t="str">
        <f>VLOOKUP(qhkz_4dqm[[#This Row],[fuel_type]],lookup!A:B,2,FALSE)</f>
        <v>Gasoline</v>
      </c>
      <c r="I878" s="2">
        <f ca="1">YEAR(TODAY())-qhkz_4dqm[[#This Row],[year]]</f>
        <v>8</v>
      </c>
      <c r="J878" s="2" t="str" cm="1">
        <f t="array" aca="1" ref="J878" ca="1">_xlfn.IFS(qhkz_4dqm[[#This Row],[vehicle_age]]&lt;=3,"Newer",qhkz_4dqm[[#This Row],[vehicle_age]]&lt;=9,"Mid-age",qhkz_4dqm[[#This Row],[vehicle_age]]&lt;=19,"Older",qhkz_4dqm[[#This Row],[vehicle_age]]&gt;=20,"Very Old")</f>
        <v>Mid-age</v>
      </c>
    </row>
    <row r="879" spans="1:10">
      <c r="A879" s="2">
        <v>24110709</v>
      </c>
      <c r="B879" s="2">
        <v>2411070901</v>
      </c>
      <c r="C879" s="2">
        <v>1</v>
      </c>
      <c r="D879" s="2">
        <v>2020</v>
      </c>
      <c r="E879" s="2">
        <v>1</v>
      </c>
      <c r="F879" s="2">
        <v>122.12</v>
      </c>
      <c r="G879" s="2">
        <v>198.83</v>
      </c>
      <c r="H879" s="2" t="str">
        <f>VLOOKUP(qhkz_4dqm[[#This Row],[fuel_type]],lookup!A:B,2,FALSE)</f>
        <v>Gasoline</v>
      </c>
      <c r="I879" s="2">
        <f ca="1">YEAR(TODAY())-qhkz_4dqm[[#This Row],[year]]</f>
        <v>6</v>
      </c>
      <c r="J879" s="2" t="str" cm="1">
        <f t="array" aca="1" ref="J879" ca="1">_xlfn.IFS(qhkz_4dqm[[#This Row],[vehicle_age]]&lt;=3,"Newer",qhkz_4dqm[[#This Row],[vehicle_age]]&lt;=9,"Mid-age",qhkz_4dqm[[#This Row],[vehicle_age]]&lt;=19,"Older",qhkz_4dqm[[#This Row],[vehicle_age]]&gt;=20,"Very Old")</f>
        <v>Mid-age</v>
      </c>
    </row>
    <row r="880" spans="1:10">
      <c r="A880" s="2">
        <v>24110720</v>
      </c>
      <c r="B880" s="2">
        <v>2411072001</v>
      </c>
      <c r="C880" s="2">
        <v>1</v>
      </c>
      <c r="D880" s="2">
        <v>2011</v>
      </c>
      <c r="E880" s="2">
        <v>1</v>
      </c>
      <c r="F880" s="2">
        <v>2242.7199999999998</v>
      </c>
      <c r="G880" s="2">
        <v>1873.78</v>
      </c>
      <c r="H880" s="2" t="str">
        <f>VLOOKUP(qhkz_4dqm[[#This Row],[fuel_type]],lookup!A:B,2,FALSE)</f>
        <v>Gasoline</v>
      </c>
      <c r="I880" s="2">
        <f ca="1">YEAR(TODAY())-qhkz_4dqm[[#This Row],[year]]</f>
        <v>15</v>
      </c>
      <c r="J880" s="2" t="str" cm="1">
        <f t="array" aca="1" ref="J880" ca="1">_xlfn.IFS(qhkz_4dqm[[#This Row],[vehicle_age]]&lt;=3,"Newer",qhkz_4dqm[[#This Row],[vehicle_age]]&lt;=9,"Mid-age",qhkz_4dqm[[#This Row],[vehicle_age]]&lt;=19,"Older",qhkz_4dqm[[#This Row],[vehicle_age]]&gt;=20,"Very Old")</f>
        <v>Older</v>
      </c>
    </row>
    <row r="881" spans="1:10">
      <c r="A881" s="2">
        <v>24110805</v>
      </c>
      <c r="B881" s="2">
        <v>2411080501</v>
      </c>
      <c r="C881" s="2">
        <v>1</v>
      </c>
      <c r="D881" s="2">
        <v>2023</v>
      </c>
      <c r="E881" s="2">
        <v>4</v>
      </c>
      <c r="F881" s="2">
        <v>53.2</v>
      </c>
      <c r="G881" s="2">
        <v>238.22</v>
      </c>
      <c r="H881" s="2" t="str">
        <f>VLOOKUP(qhkz_4dqm[[#This Row],[fuel_type]],lookup!A:B,2,FALSE)</f>
        <v>Electric</v>
      </c>
      <c r="I881" s="2">
        <f ca="1">YEAR(TODAY())-qhkz_4dqm[[#This Row],[year]]</f>
        <v>3</v>
      </c>
      <c r="J881" s="2" t="str" cm="1">
        <f t="array" aca="1" ref="J881" ca="1">_xlfn.IFS(qhkz_4dqm[[#This Row],[vehicle_age]]&lt;=3,"Newer",qhkz_4dqm[[#This Row],[vehicle_age]]&lt;=9,"Mid-age",qhkz_4dqm[[#This Row],[vehicle_age]]&lt;=19,"Older",qhkz_4dqm[[#This Row],[vehicle_age]]&gt;=20,"Very Old")</f>
        <v>Newer</v>
      </c>
    </row>
    <row r="882" spans="1:10">
      <c r="A882" s="2">
        <v>24110871</v>
      </c>
      <c r="B882" s="2">
        <v>2411087101</v>
      </c>
      <c r="C882" s="2">
        <v>1</v>
      </c>
      <c r="D882" s="2">
        <v>2015</v>
      </c>
      <c r="E882" s="2">
        <v>1</v>
      </c>
      <c r="F882" s="2">
        <v>149.82</v>
      </c>
      <c r="G882" s="2">
        <v>365.95</v>
      </c>
      <c r="H882" s="2" t="str">
        <f>VLOOKUP(qhkz_4dqm[[#This Row],[fuel_type]],lookup!A:B,2,FALSE)</f>
        <v>Gasoline</v>
      </c>
      <c r="I882" s="2">
        <f ca="1">YEAR(TODAY())-qhkz_4dqm[[#This Row],[year]]</f>
        <v>11</v>
      </c>
      <c r="J882" s="2" t="str" cm="1">
        <f t="array" aca="1" ref="J882" ca="1">_xlfn.IFS(qhkz_4dqm[[#This Row],[vehicle_age]]&lt;=3,"Newer",qhkz_4dqm[[#This Row],[vehicle_age]]&lt;=9,"Mid-age",qhkz_4dqm[[#This Row],[vehicle_age]]&lt;=19,"Older",qhkz_4dqm[[#This Row],[vehicle_age]]&gt;=20,"Very Old")</f>
        <v>Older</v>
      </c>
    </row>
    <row r="883" spans="1:10">
      <c r="A883" s="2">
        <v>24110888</v>
      </c>
      <c r="B883" s="2">
        <v>2411088801</v>
      </c>
      <c r="C883" s="2">
        <v>1</v>
      </c>
      <c r="D883" s="2">
        <v>2018</v>
      </c>
      <c r="E883" s="2">
        <v>1</v>
      </c>
      <c r="F883" s="2">
        <v>922.24</v>
      </c>
      <c r="G883" s="2">
        <v>810.98</v>
      </c>
      <c r="H883" s="2" t="str">
        <f>VLOOKUP(qhkz_4dqm[[#This Row],[fuel_type]],lookup!A:B,2,FALSE)</f>
        <v>Gasoline</v>
      </c>
      <c r="I883" s="2">
        <f ca="1">YEAR(TODAY())-qhkz_4dqm[[#This Row],[year]]</f>
        <v>8</v>
      </c>
      <c r="J883" s="2" t="str" cm="1">
        <f t="array" aca="1" ref="J883" ca="1">_xlfn.IFS(qhkz_4dqm[[#This Row],[vehicle_age]]&lt;=3,"Newer",qhkz_4dqm[[#This Row],[vehicle_age]]&lt;=9,"Mid-age",qhkz_4dqm[[#This Row],[vehicle_age]]&lt;=19,"Older",qhkz_4dqm[[#This Row],[vehicle_age]]&gt;=20,"Very Old")</f>
        <v>Mid-age</v>
      </c>
    </row>
    <row r="884" spans="1:10">
      <c r="A884" s="2">
        <v>24110946</v>
      </c>
      <c r="B884" s="2">
        <v>2411094601</v>
      </c>
      <c r="C884" s="2">
        <v>1</v>
      </c>
      <c r="D884" s="2">
        <v>2011</v>
      </c>
      <c r="E884" s="2">
        <v>1</v>
      </c>
      <c r="F884" s="2">
        <v>196.86</v>
      </c>
      <c r="G884" s="2">
        <v>471.78</v>
      </c>
      <c r="H884" s="2" t="str">
        <f>VLOOKUP(qhkz_4dqm[[#This Row],[fuel_type]],lookup!A:B,2,FALSE)</f>
        <v>Gasoline</v>
      </c>
      <c r="I884" s="2">
        <f ca="1">YEAR(TODAY())-qhkz_4dqm[[#This Row],[year]]</f>
        <v>15</v>
      </c>
      <c r="J884" s="2" t="str" cm="1">
        <f t="array" aca="1" ref="J884" ca="1">_xlfn.IFS(qhkz_4dqm[[#This Row],[vehicle_age]]&lt;=3,"Newer",qhkz_4dqm[[#This Row],[vehicle_age]]&lt;=9,"Mid-age",qhkz_4dqm[[#This Row],[vehicle_age]]&lt;=19,"Older",qhkz_4dqm[[#This Row],[vehicle_age]]&gt;=20,"Very Old")</f>
        <v>Older</v>
      </c>
    </row>
    <row r="885" spans="1:10">
      <c r="A885" s="2">
        <v>24111059</v>
      </c>
      <c r="B885" s="2">
        <v>2411105901</v>
      </c>
      <c r="C885" s="2">
        <v>1</v>
      </c>
      <c r="D885" s="2">
        <v>2017</v>
      </c>
      <c r="E885" s="2">
        <v>1</v>
      </c>
      <c r="F885" s="2">
        <v>2672.99</v>
      </c>
      <c r="G885" s="2">
        <v>3527.37</v>
      </c>
      <c r="H885" s="2" t="str">
        <f>VLOOKUP(qhkz_4dqm[[#This Row],[fuel_type]],lookup!A:B,2,FALSE)</f>
        <v>Gasoline</v>
      </c>
      <c r="I885" s="2">
        <f ca="1">YEAR(TODAY())-qhkz_4dqm[[#This Row],[year]]</f>
        <v>9</v>
      </c>
      <c r="J885" s="2" t="str" cm="1">
        <f t="array" aca="1" ref="J885" ca="1">_xlfn.IFS(qhkz_4dqm[[#This Row],[vehicle_age]]&lt;=3,"Newer",qhkz_4dqm[[#This Row],[vehicle_age]]&lt;=9,"Mid-age",qhkz_4dqm[[#This Row],[vehicle_age]]&lt;=19,"Older",qhkz_4dqm[[#This Row],[vehicle_age]]&gt;=20,"Very Old")</f>
        <v>Mid-age</v>
      </c>
    </row>
    <row r="886" spans="1:10">
      <c r="A886" s="2">
        <v>24111073</v>
      </c>
      <c r="B886" s="2">
        <v>2411107301</v>
      </c>
      <c r="C886" s="2">
        <v>1</v>
      </c>
      <c r="D886" s="2">
        <v>2019</v>
      </c>
      <c r="E886" s="2">
        <v>1</v>
      </c>
      <c r="F886" s="2">
        <v>1187.33</v>
      </c>
      <c r="G886" s="2">
        <v>364.62</v>
      </c>
      <c r="H886" s="2" t="str">
        <f>VLOOKUP(qhkz_4dqm[[#This Row],[fuel_type]],lookup!A:B,2,FALSE)</f>
        <v>Gasoline</v>
      </c>
      <c r="I886" s="2">
        <f ca="1">YEAR(TODAY())-qhkz_4dqm[[#This Row],[year]]</f>
        <v>7</v>
      </c>
      <c r="J886" s="2" t="str" cm="1">
        <f t="array" aca="1" ref="J886" ca="1">_xlfn.IFS(qhkz_4dqm[[#This Row],[vehicle_age]]&lt;=3,"Newer",qhkz_4dqm[[#This Row],[vehicle_age]]&lt;=9,"Mid-age",qhkz_4dqm[[#This Row],[vehicle_age]]&lt;=19,"Older",qhkz_4dqm[[#This Row],[vehicle_age]]&gt;=20,"Very Old")</f>
        <v>Mid-age</v>
      </c>
    </row>
    <row r="887" spans="1:10">
      <c r="A887" s="2">
        <v>24111115</v>
      </c>
      <c r="B887" s="2">
        <v>2411111501</v>
      </c>
      <c r="C887" s="2">
        <v>1</v>
      </c>
      <c r="D887" s="2">
        <v>2011</v>
      </c>
      <c r="E887" s="2">
        <v>1</v>
      </c>
      <c r="F887" s="2">
        <v>562.09</v>
      </c>
      <c r="G887" s="2">
        <v>410.94</v>
      </c>
      <c r="H887" s="2" t="str">
        <f>VLOOKUP(qhkz_4dqm[[#This Row],[fuel_type]],lookup!A:B,2,FALSE)</f>
        <v>Gasoline</v>
      </c>
      <c r="I887" s="2">
        <f ca="1">YEAR(TODAY())-qhkz_4dqm[[#This Row],[year]]</f>
        <v>15</v>
      </c>
      <c r="J887" s="2" t="str" cm="1">
        <f t="array" aca="1" ref="J887" ca="1">_xlfn.IFS(qhkz_4dqm[[#This Row],[vehicle_age]]&lt;=3,"Newer",qhkz_4dqm[[#This Row],[vehicle_age]]&lt;=9,"Mid-age",qhkz_4dqm[[#This Row],[vehicle_age]]&lt;=19,"Older",qhkz_4dqm[[#This Row],[vehicle_age]]&gt;=20,"Very Old")</f>
        <v>Older</v>
      </c>
    </row>
    <row r="888" spans="1:10">
      <c r="A888" s="2">
        <v>24111171</v>
      </c>
      <c r="B888" s="2">
        <v>2411117101</v>
      </c>
      <c r="C888" s="2">
        <v>1</v>
      </c>
      <c r="D888" s="2">
        <v>2013</v>
      </c>
      <c r="E888" s="2">
        <v>5</v>
      </c>
      <c r="F888" s="2">
        <v>1232.46</v>
      </c>
      <c r="G888" s="2">
        <v>3778.83</v>
      </c>
      <c r="H888" s="2" t="str">
        <f>VLOOKUP(qhkz_4dqm[[#This Row],[fuel_type]],lookup!A:B,2,FALSE)</f>
        <v>Plug-in Hybrid</v>
      </c>
      <c r="I888" s="2">
        <f ca="1">YEAR(TODAY())-qhkz_4dqm[[#This Row],[year]]</f>
        <v>13</v>
      </c>
      <c r="J888" s="2" t="str" cm="1">
        <f t="array" aca="1" ref="J888" ca="1">_xlfn.IFS(qhkz_4dqm[[#This Row],[vehicle_age]]&lt;=3,"Newer",qhkz_4dqm[[#This Row],[vehicle_age]]&lt;=9,"Mid-age",qhkz_4dqm[[#This Row],[vehicle_age]]&lt;=19,"Older",qhkz_4dqm[[#This Row],[vehicle_age]]&gt;=20,"Very Old")</f>
        <v>Older</v>
      </c>
    </row>
    <row r="889" spans="1:10">
      <c r="A889" s="2">
        <v>24111280</v>
      </c>
      <c r="B889" s="2">
        <v>2411128001</v>
      </c>
      <c r="C889" s="2">
        <v>1</v>
      </c>
      <c r="D889" s="2">
        <v>2016</v>
      </c>
      <c r="E889" s="2">
        <v>2</v>
      </c>
      <c r="F889" s="2">
        <v>1814.82</v>
      </c>
      <c r="G889" s="2">
        <v>1808.55</v>
      </c>
      <c r="H889" s="2" t="str">
        <f>VLOOKUP(qhkz_4dqm[[#This Row],[fuel_type]],lookup!A:B,2,FALSE)</f>
        <v>Diesel</v>
      </c>
      <c r="I889" s="2">
        <f ca="1">YEAR(TODAY())-qhkz_4dqm[[#This Row],[year]]</f>
        <v>10</v>
      </c>
      <c r="J889" s="2" t="str" cm="1">
        <f t="array" aca="1" ref="J889" ca="1">_xlfn.IFS(qhkz_4dqm[[#This Row],[vehicle_age]]&lt;=3,"Newer",qhkz_4dqm[[#This Row],[vehicle_age]]&lt;=9,"Mid-age",qhkz_4dqm[[#This Row],[vehicle_age]]&lt;=19,"Older",qhkz_4dqm[[#This Row],[vehicle_age]]&gt;=20,"Very Old")</f>
        <v>Older</v>
      </c>
    </row>
    <row r="890" spans="1:10">
      <c r="A890" s="2">
        <v>24111363</v>
      </c>
      <c r="B890" s="2">
        <v>2411136301</v>
      </c>
      <c r="C890" s="2">
        <v>1</v>
      </c>
      <c r="D890" s="2">
        <v>2023</v>
      </c>
      <c r="E890" s="2">
        <v>4</v>
      </c>
      <c r="F890" s="2">
        <v>776.87</v>
      </c>
      <c r="G890" s="2">
        <v>709.89</v>
      </c>
      <c r="H890" s="2" t="str">
        <f>VLOOKUP(qhkz_4dqm[[#This Row],[fuel_type]],lookup!A:B,2,FALSE)</f>
        <v>Electric</v>
      </c>
      <c r="I890" s="2">
        <f ca="1">YEAR(TODAY())-qhkz_4dqm[[#This Row],[year]]</f>
        <v>3</v>
      </c>
      <c r="J890" s="2" t="str" cm="1">
        <f t="array" aca="1" ref="J890" ca="1">_xlfn.IFS(qhkz_4dqm[[#This Row],[vehicle_age]]&lt;=3,"Newer",qhkz_4dqm[[#This Row],[vehicle_age]]&lt;=9,"Mid-age",qhkz_4dqm[[#This Row],[vehicle_age]]&lt;=19,"Older",qhkz_4dqm[[#This Row],[vehicle_age]]&gt;=20,"Very Old")</f>
        <v>Newer</v>
      </c>
    </row>
    <row r="891" spans="1:10">
      <c r="A891" s="2">
        <v>24111710</v>
      </c>
      <c r="B891" s="2">
        <v>2411171001</v>
      </c>
      <c r="C891" s="2">
        <v>1</v>
      </c>
      <c r="D891" s="2">
        <v>2023</v>
      </c>
      <c r="E891" s="2">
        <v>2</v>
      </c>
      <c r="F891" s="2">
        <v>920.24</v>
      </c>
      <c r="G891" s="2">
        <v>365.25</v>
      </c>
      <c r="H891" s="2" t="str">
        <f>VLOOKUP(qhkz_4dqm[[#This Row],[fuel_type]],lookup!A:B,2,FALSE)</f>
        <v>Diesel</v>
      </c>
      <c r="I891" s="2">
        <f ca="1">YEAR(TODAY())-qhkz_4dqm[[#This Row],[year]]</f>
        <v>3</v>
      </c>
      <c r="J891" s="2" t="str" cm="1">
        <f t="array" aca="1" ref="J891" ca="1">_xlfn.IFS(qhkz_4dqm[[#This Row],[vehicle_age]]&lt;=3,"Newer",qhkz_4dqm[[#This Row],[vehicle_age]]&lt;=9,"Mid-age",qhkz_4dqm[[#This Row],[vehicle_age]]&lt;=19,"Older",qhkz_4dqm[[#This Row],[vehicle_age]]&gt;=20,"Very Old")</f>
        <v>Newer</v>
      </c>
    </row>
    <row r="892" spans="1:10">
      <c r="A892" s="2">
        <v>24111934</v>
      </c>
      <c r="B892" s="2">
        <v>2411193401</v>
      </c>
      <c r="C892" s="2">
        <v>1</v>
      </c>
      <c r="D892" s="2">
        <v>2020</v>
      </c>
      <c r="E892" s="2">
        <v>1</v>
      </c>
      <c r="F892" s="2">
        <v>1383.32</v>
      </c>
      <c r="G892" s="2">
        <v>841.33</v>
      </c>
      <c r="H892" s="2" t="str">
        <f>VLOOKUP(qhkz_4dqm[[#This Row],[fuel_type]],lookup!A:B,2,FALSE)</f>
        <v>Gasoline</v>
      </c>
      <c r="I892" s="2">
        <f ca="1">YEAR(TODAY())-qhkz_4dqm[[#This Row],[year]]</f>
        <v>6</v>
      </c>
      <c r="J892" s="2" t="str" cm="1">
        <f t="array" aca="1" ref="J892" ca="1">_xlfn.IFS(qhkz_4dqm[[#This Row],[vehicle_age]]&lt;=3,"Newer",qhkz_4dqm[[#This Row],[vehicle_age]]&lt;=9,"Mid-age",qhkz_4dqm[[#This Row],[vehicle_age]]&lt;=19,"Older",qhkz_4dqm[[#This Row],[vehicle_age]]&gt;=20,"Very Old")</f>
        <v>Mid-age</v>
      </c>
    </row>
    <row r="893" spans="1:10">
      <c r="A893" s="2">
        <v>24112045</v>
      </c>
      <c r="B893" s="2">
        <v>2411204501</v>
      </c>
      <c r="C893" s="2">
        <v>1</v>
      </c>
      <c r="D893" s="2">
        <v>2021</v>
      </c>
      <c r="E893" s="2">
        <v>1</v>
      </c>
      <c r="F893" s="2">
        <v>1689.12</v>
      </c>
      <c r="G893" s="2">
        <v>629.22</v>
      </c>
      <c r="H893" s="2" t="str">
        <f>VLOOKUP(qhkz_4dqm[[#This Row],[fuel_type]],lookup!A:B,2,FALSE)</f>
        <v>Gasoline</v>
      </c>
      <c r="I893" s="2">
        <f ca="1">YEAR(TODAY())-qhkz_4dqm[[#This Row],[year]]</f>
        <v>5</v>
      </c>
      <c r="J893" s="2" t="str" cm="1">
        <f t="array" aca="1" ref="J893" ca="1">_xlfn.IFS(qhkz_4dqm[[#This Row],[vehicle_age]]&lt;=3,"Newer",qhkz_4dqm[[#This Row],[vehicle_age]]&lt;=9,"Mid-age",qhkz_4dqm[[#This Row],[vehicle_age]]&lt;=19,"Older",qhkz_4dqm[[#This Row],[vehicle_age]]&gt;=20,"Very Old")</f>
        <v>Mid-age</v>
      </c>
    </row>
    <row r="894" spans="1:10">
      <c r="A894" s="2">
        <v>24112629</v>
      </c>
      <c r="B894" s="2">
        <v>2411262901</v>
      </c>
      <c r="C894" s="2">
        <v>1</v>
      </c>
      <c r="D894" s="2">
        <v>2019</v>
      </c>
      <c r="E894" s="2">
        <v>1</v>
      </c>
      <c r="F894" s="2">
        <v>1854.74</v>
      </c>
      <c r="G894" s="2">
        <v>999.86</v>
      </c>
      <c r="H894" s="2" t="str">
        <f>VLOOKUP(qhkz_4dqm[[#This Row],[fuel_type]],lookup!A:B,2,FALSE)</f>
        <v>Gasoline</v>
      </c>
      <c r="I894" s="2">
        <f ca="1">YEAR(TODAY())-qhkz_4dqm[[#This Row],[year]]</f>
        <v>7</v>
      </c>
      <c r="J894" s="2" t="str" cm="1">
        <f t="array" aca="1" ref="J894" ca="1">_xlfn.IFS(qhkz_4dqm[[#This Row],[vehicle_age]]&lt;=3,"Newer",qhkz_4dqm[[#This Row],[vehicle_age]]&lt;=9,"Mid-age",qhkz_4dqm[[#This Row],[vehicle_age]]&lt;=19,"Older",qhkz_4dqm[[#This Row],[vehicle_age]]&gt;=20,"Very Old")</f>
        <v>Mid-age</v>
      </c>
    </row>
    <row r="895" spans="1:10">
      <c r="A895" s="2">
        <v>24113032</v>
      </c>
      <c r="B895" s="2">
        <v>2411303201</v>
      </c>
      <c r="C895" s="2">
        <v>1</v>
      </c>
      <c r="D895" s="2">
        <v>2024</v>
      </c>
      <c r="E895" s="2">
        <v>3</v>
      </c>
      <c r="F895" s="2">
        <v>716.74</v>
      </c>
      <c r="G895" s="2">
        <v>673</v>
      </c>
      <c r="H895" s="2" t="str">
        <f>VLOOKUP(qhkz_4dqm[[#This Row],[fuel_type]],lookup!A:B,2,FALSE)</f>
        <v>Hybrid</v>
      </c>
      <c r="I895" s="2">
        <f ca="1">YEAR(TODAY())-qhkz_4dqm[[#This Row],[year]]</f>
        <v>2</v>
      </c>
      <c r="J895" s="2" t="str" cm="1">
        <f t="array" aca="1" ref="J895" ca="1">_xlfn.IFS(qhkz_4dqm[[#This Row],[vehicle_age]]&lt;=3,"Newer",qhkz_4dqm[[#This Row],[vehicle_age]]&lt;=9,"Mid-age",qhkz_4dqm[[#This Row],[vehicle_age]]&lt;=19,"Older",qhkz_4dqm[[#This Row],[vehicle_age]]&gt;=20,"Very Old")</f>
        <v>Newer</v>
      </c>
    </row>
    <row r="896" spans="1:10">
      <c r="A896" s="2">
        <v>24113413</v>
      </c>
      <c r="B896" s="2">
        <v>2411341301</v>
      </c>
      <c r="C896" s="2">
        <v>1</v>
      </c>
      <c r="D896" s="2">
        <v>2021</v>
      </c>
      <c r="E896" s="2">
        <v>1</v>
      </c>
      <c r="F896" s="2">
        <v>1358.26</v>
      </c>
      <c r="G896" s="2">
        <v>1377.11</v>
      </c>
      <c r="H896" s="2" t="str">
        <f>VLOOKUP(qhkz_4dqm[[#This Row],[fuel_type]],lookup!A:B,2,FALSE)</f>
        <v>Gasoline</v>
      </c>
      <c r="I896" s="2">
        <f ca="1">YEAR(TODAY())-qhkz_4dqm[[#This Row],[year]]</f>
        <v>5</v>
      </c>
      <c r="J896" s="2" t="str" cm="1">
        <f t="array" aca="1" ref="J896" ca="1">_xlfn.IFS(qhkz_4dqm[[#This Row],[vehicle_age]]&lt;=3,"Newer",qhkz_4dqm[[#This Row],[vehicle_age]]&lt;=9,"Mid-age",qhkz_4dqm[[#This Row],[vehicle_age]]&lt;=19,"Older",qhkz_4dqm[[#This Row],[vehicle_age]]&gt;=20,"Very Old")</f>
        <v>Mid-age</v>
      </c>
    </row>
    <row r="897" spans="1:10">
      <c r="A897" s="2">
        <v>24113593</v>
      </c>
      <c r="B897" s="2">
        <v>2411359301</v>
      </c>
      <c r="C897" s="2">
        <v>1</v>
      </c>
      <c r="D897" s="2">
        <v>2018</v>
      </c>
      <c r="E897" s="2">
        <v>1</v>
      </c>
      <c r="F897" s="2">
        <v>725.23</v>
      </c>
      <c r="G897" s="2">
        <v>410.23</v>
      </c>
      <c r="H897" s="2" t="str">
        <f>VLOOKUP(qhkz_4dqm[[#This Row],[fuel_type]],lookup!A:B,2,FALSE)</f>
        <v>Gasoline</v>
      </c>
      <c r="I897" s="2">
        <f ca="1">YEAR(TODAY())-qhkz_4dqm[[#This Row],[year]]</f>
        <v>8</v>
      </c>
      <c r="J897" s="2" t="str" cm="1">
        <f t="array" aca="1" ref="J897" ca="1">_xlfn.IFS(qhkz_4dqm[[#This Row],[vehicle_age]]&lt;=3,"Newer",qhkz_4dqm[[#This Row],[vehicle_age]]&lt;=9,"Mid-age",qhkz_4dqm[[#This Row],[vehicle_age]]&lt;=19,"Older",qhkz_4dqm[[#This Row],[vehicle_age]]&gt;=20,"Very Old")</f>
        <v>Mid-age</v>
      </c>
    </row>
    <row r="898" spans="1:10">
      <c r="A898" s="2">
        <v>24113708</v>
      </c>
      <c r="B898" s="2">
        <v>2411370801</v>
      </c>
      <c r="C898" s="2">
        <v>1</v>
      </c>
      <c r="D898" s="2">
        <v>2006</v>
      </c>
      <c r="E898" s="2">
        <v>1</v>
      </c>
      <c r="F898" s="2">
        <v>3307.09</v>
      </c>
      <c r="G898" s="2">
        <v>7915.73</v>
      </c>
      <c r="H898" s="2" t="str">
        <f>VLOOKUP(qhkz_4dqm[[#This Row],[fuel_type]],lookup!A:B,2,FALSE)</f>
        <v>Gasoline</v>
      </c>
      <c r="I898" s="2">
        <f ca="1">YEAR(TODAY())-qhkz_4dqm[[#This Row],[year]]</f>
        <v>20</v>
      </c>
      <c r="J898" s="2" t="str" cm="1">
        <f t="array" aca="1" ref="J898" ca="1">_xlfn.IFS(qhkz_4dqm[[#This Row],[vehicle_age]]&lt;=3,"Newer",qhkz_4dqm[[#This Row],[vehicle_age]]&lt;=9,"Mid-age",qhkz_4dqm[[#This Row],[vehicle_age]]&lt;=19,"Older",qhkz_4dqm[[#This Row],[vehicle_age]]&gt;=20,"Very Old")</f>
        <v>Very Old</v>
      </c>
    </row>
    <row r="899" spans="1:10">
      <c r="A899" s="2">
        <v>24113983</v>
      </c>
      <c r="B899" s="2">
        <v>2411398301</v>
      </c>
      <c r="C899" s="2">
        <v>1</v>
      </c>
      <c r="D899" s="2">
        <v>1999</v>
      </c>
      <c r="E899" s="2">
        <v>1</v>
      </c>
      <c r="F899" s="2">
        <v>1551.6</v>
      </c>
      <c r="G899" s="2">
        <v>538.22</v>
      </c>
      <c r="H899" s="2" t="str">
        <f>VLOOKUP(qhkz_4dqm[[#This Row],[fuel_type]],lookup!A:B,2,FALSE)</f>
        <v>Gasoline</v>
      </c>
      <c r="I899" s="2">
        <f ca="1">YEAR(TODAY())-qhkz_4dqm[[#This Row],[year]]</f>
        <v>27</v>
      </c>
      <c r="J899" s="2" t="str" cm="1">
        <f t="array" aca="1" ref="J899" ca="1">_xlfn.IFS(qhkz_4dqm[[#This Row],[vehicle_age]]&lt;=3,"Newer",qhkz_4dqm[[#This Row],[vehicle_age]]&lt;=9,"Mid-age",qhkz_4dqm[[#This Row],[vehicle_age]]&lt;=19,"Older",qhkz_4dqm[[#This Row],[vehicle_age]]&gt;=20,"Very Old")</f>
        <v>Very Old</v>
      </c>
    </row>
    <row r="900" spans="1:10">
      <c r="A900" s="2">
        <v>24114296</v>
      </c>
      <c r="B900" s="2">
        <v>2411429601</v>
      </c>
      <c r="C900" s="2">
        <v>1</v>
      </c>
      <c r="D900" s="2">
        <v>2009</v>
      </c>
      <c r="E900" s="2">
        <v>1</v>
      </c>
      <c r="F900" s="2">
        <v>689.16</v>
      </c>
      <c r="G900" s="2">
        <v>170.9</v>
      </c>
      <c r="H900" s="2" t="str">
        <f>VLOOKUP(qhkz_4dqm[[#This Row],[fuel_type]],lookup!A:B,2,FALSE)</f>
        <v>Gasoline</v>
      </c>
      <c r="I900" s="2">
        <f ca="1">YEAR(TODAY())-qhkz_4dqm[[#This Row],[year]]</f>
        <v>17</v>
      </c>
      <c r="J900" s="2" t="str" cm="1">
        <f t="array" aca="1" ref="J900" ca="1">_xlfn.IFS(qhkz_4dqm[[#This Row],[vehicle_age]]&lt;=3,"Newer",qhkz_4dqm[[#This Row],[vehicle_age]]&lt;=9,"Mid-age",qhkz_4dqm[[#This Row],[vehicle_age]]&lt;=19,"Older",qhkz_4dqm[[#This Row],[vehicle_age]]&gt;=20,"Very Old")</f>
        <v>Older</v>
      </c>
    </row>
    <row r="901" spans="1:10">
      <c r="A901" s="2">
        <v>24114449</v>
      </c>
      <c r="B901" s="2">
        <v>2411444901</v>
      </c>
      <c r="C901" s="2">
        <v>1</v>
      </c>
      <c r="D901" s="2">
        <v>2015</v>
      </c>
      <c r="E901" s="2">
        <v>1</v>
      </c>
      <c r="F901" s="2">
        <v>317.39999999999998</v>
      </c>
      <c r="G901" s="2">
        <v>1048.21</v>
      </c>
      <c r="H901" s="2" t="str">
        <f>VLOOKUP(qhkz_4dqm[[#This Row],[fuel_type]],lookup!A:B,2,FALSE)</f>
        <v>Gasoline</v>
      </c>
      <c r="I901" s="2">
        <f ca="1">YEAR(TODAY())-qhkz_4dqm[[#This Row],[year]]</f>
        <v>11</v>
      </c>
      <c r="J901" s="2" t="str" cm="1">
        <f t="array" aca="1" ref="J901" ca="1">_xlfn.IFS(qhkz_4dqm[[#This Row],[vehicle_age]]&lt;=3,"Newer",qhkz_4dqm[[#This Row],[vehicle_age]]&lt;=9,"Mid-age",qhkz_4dqm[[#This Row],[vehicle_age]]&lt;=19,"Older",qhkz_4dqm[[#This Row],[vehicle_age]]&gt;=20,"Very Old")</f>
        <v>Older</v>
      </c>
    </row>
    <row r="902" spans="1:10">
      <c r="A902" s="2">
        <v>24114503</v>
      </c>
      <c r="B902" s="2">
        <v>2411450301</v>
      </c>
      <c r="C902" s="2">
        <v>1</v>
      </c>
      <c r="D902" s="2">
        <v>2016</v>
      </c>
      <c r="E902" s="2">
        <v>1</v>
      </c>
      <c r="F902" s="2">
        <v>1086.1199999999999</v>
      </c>
      <c r="G902" s="2">
        <v>1722.91</v>
      </c>
      <c r="H902" s="2" t="str">
        <f>VLOOKUP(qhkz_4dqm[[#This Row],[fuel_type]],lookup!A:B,2,FALSE)</f>
        <v>Gasoline</v>
      </c>
      <c r="I902" s="2">
        <f ca="1">YEAR(TODAY())-qhkz_4dqm[[#This Row],[year]]</f>
        <v>10</v>
      </c>
      <c r="J902" s="2" t="str" cm="1">
        <f t="array" aca="1" ref="J902" ca="1">_xlfn.IFS(qhkz_4dqm[[#This Row],[vehicle_age]]&lt;=3,"Newer",qhkz_4dqm[[#This Row],[vehicle_age]]&lt;=9,"Mid-age",qhkz_4dqm[[#This Row],[vehicle_age]]&lt;=19,"Older",qhkz_4dqm[[#This Row],[vehicle_age]]&gt;=20,"Very Old")</f>
        <v>Older</v>
      </c>
    </row>
    <row r="903" spans="1:10">
      <c r="A903" s="2">
        <v>24114693</v>
      </c>
      <c r="B903" s="2">
        <v>2411469301</v>
      </c>
      <c r="C903" s="2">
        <v>1</v>
      </c>
      <c r="D903" s="2">
        <v>2002</v>
      </c>
      <c r="E903" s="2">
        <v>1</v>
      </c>
      <c r="F903" s="2">
        <v>2223.33</v>
      </c>
      <c r="G903" s="2">
        <v>2390.0500000000002</v>
      </c>
      <c r="H903" s="2" t="str">
        <f>VLOOKUP(qhkz_4dqm[[#This Row],[fuel_type]],lookup!A:B,2,FALSE)</f>
        <v>Gasoline</v>
      </c>
      <c r="I903" s="2">
        <f ca="1">YEAR(TODAY())-qhkz_4dqm[[#This Row],[year]]</f>
        <v>24</v>
      </c>
      <c r="J903" s="2" t="str" cm="1">
        <f t="array" aca="1" ref="J903" ca="1">_xlfn.IFS(qhkz_4dqm[[#This Row],[vehicle_age]]&lt;=3,"Newer",qhkz_4dqm[[#This Row],[vehicle_age]]&lt;=9,"Mid-age",qhkz_4dqm[[#This Row],[vehicle_age]]&lt;=19,"Older",qhkz_4dqm[[#This Row],[vehicle_age]]&gt;=20,"Very Old")</f>
        <v>Very Old</v>
      </c>
    </row>
    <row r="904" spans="1:10">
      <c r="A904" s="2">
        <v>24114864</v>
      </c>
      <c r="B904" s="2">
        <v>2411486401</v>
      </c>
      <c r="C904" s="2">
        <v>1</v>
      </c>
      <c r="D904" s="2">
        <v>2020</v>
      </c>
      <c r="E904" s="2">
        <v>1</v>
      </c>
      <c r="F904" s="2">
        <v>1150.6199999999999</v>
      </c>
      <c r="G904" s="2">
        <v>570.05999999999995</v>
      </c>
      <c r="H904" s="2" t="str">
        <f>VLOOKUP(qhkz_4dqm[[#This Row],[fuel_type]],lookup!A:B,2,FALSE)</f>
        <v>Gasoline</v>
      </c>
      <c r="I904" s="2">
        <f ca="1">YEAR(TODAY())-qhkz_4dqm[[#This Row],[year]]</f>
        <v>6</v>
      </c>
      <c r="J904" s="2" t="str" cm="1">
        <f t="array" aca="1" ref="J904" ca="1">_xlfn.IFS(qhkz_4dqm[[#This Row],[vehicle_age]]&lt;=3,"Newer",qhkz_4dqm[[#This Row],[vehicle_age]]&lt;=9,"Mid-age",qhkz_4dqm[[#This Row],[vehicle_age]]&lt;=19,"Older",qhkz_4dqm[[#This Row],[vehicle_age]]&gt;=20,"Very Old")</f>
        <v>Mid-age</v>
      </c>
    </row>
    <row r="905" spans="1:10">
      <c r="A905" s="2">
        <v>24115269</v>
      </c>
      <c r="B905" s="2">
        <v>2411526901</v>
      </c>
      <c r="C905" s="2">
        <v>1</v>
      </c>
      <c r="D905" s="2">
        <v>2017</v>
      </c>
      <c r="E905" s="2">
        <v>1</v>
      </c>
      <c r="F905" s="2">
        <v>1384.95</v>
      </c>
      <c r="G905" s="2">
        <v>2821.66</v>
      </c>
      <c r="H905" s="2" t="str">
        <f>VLOOKUP(qhkz_4dqm[[#This Row],[fuel_type]],lookup!A:B,2,FALSE)</f>
        <v>Gasoline</v>
      </c>
      <c r="I905" s="2">
        <f ca="1">YEAR(TODAY())-qhkz_4dqm[[#This Row],[year]]</f>
        <v>9</v>
      </c>
      <c r="J905" s="2" t="str" cm="1">
        <f t="array" aca="1" ref="J905" ca="1">_xlfn.IFS(qhkz_4dqm[[#This Row],[vehicle_age]]&lt;=3,"Newer",qhkz_4dqm[[#This Row],[vehicle_age]]&lt;=9,"Mid-age",qhkz_4dqm[[#This Row],[vehicle_age]]&lt;=19,"Older",qhkz_4dqm[[#This Row],[vehicle_age]]&gt;=20,"Very Old")</f>
        <v>Mid-age</v>
      </c>
    </row>
    <row r="906" spans="1:10">
      <c r="A906" s="2">
        <v>24115519</v>
      </c>
      <c r="B906" s="2">
        <v>2411551901</v>
      </c>
      <c r="C906" s="2">
        <v>1</v>
      </c>
      <c r="D906" s="2">
        <v>2012</v>
      </c>
      <c r="E906" s="2">
        <v>1</v>
      </c>
      <c r="F906" s="2">
        <v>767.86</v>
      </c>
      <c r="G906" s="2">
        <v>670.98</v>
      </c>
      <c r="H906" s="2" t="str">
        <f>VLOOKUP(qhkz_4dqm[[#This Row],[fuel_type]],lookup!A:B,2,FALSE)</f>
        <v>Gasoline</v>
      </c>
      <c r="I906" s="2">
        <f ca="1">YEAR(TODAY())-qhkz_4dqm[[#This Row],[year]]</f>
        <v>14</v>
      </c>
      <c r="J906" s="2" t="str" cm="1">
        <f t="array" aca="1" ref="J906" ca="1">_xlfn.IFS(qhkz_4dqm[[#This Row],[vehicle_age]]&lt;=3,"Newer",qhkz_4dqm[[#This Row],[vehicle_age]]&lt;=9,"Mid-age",qhkz_4dqm[[#This Row],[vehicle_age]]&lt;=19,"Older",qhkz_4dqm[[#This Row],[vehicle_age]]&gt;=20,"Very Old")</f>
        <v>Older</v>
      </c>
    </row>
    <row r="907" spans="1:10">
      <c r="A907" s="2">
        <v>24115628</v>
      </c>
      <c r="B907" s="2">
        <v>2411562801</v>
      </c>
      <c r="C907" s="2">
        <v>1</v>
      </c>
      <c r="D907" s="2">
        <v>2005</v>
      </c>
      <c r="E907" s="2">
        <v>1</v>
      </c>
      <c r="F907" s="2">
        <v>798.9</v>
      </c>
      <c r="G907" s="2">
        <v>371.32</v>
      </c>
      <c r="H907" s="2" t="str">
        <f>VLOOKUP(qhkz_4dqm[[#This Row],[fuel_type]],lookup!A:B,2,FALSE)</f>
        <v>Gasoline</v>
      </c>
      <c r="I907" s="2">
        <f ca="1">YEAR(TODAY())-qhkz_4dqm[[#This Row],[year]]</f>
        <v>21</v>
      </c>
      <c r="J907" s="2" t="str" cm="1">
        <f t="array" aca="1" ref="J907" ca="1">_xlfn.IFS(qhkz_4dqm[[#This Row],[vehicle_age]]&lt;=3,"Newer",qhkz_4dqm[[#This Row],[vehicle_age]]&lt;=9,"Mid-age",qhkz_4dqm[[#This Row],[vehicle_age]]&lt;=19,"Older",qhkz_4dqm[[#This Row],[vehicle_age]]&gt;=20,"Very Old")</f>
        <v>Very Old</v>
      </c>
    </row>
    <row r="908" spans="1:10">
      <c r="A908" s="2">
        <v>24115965</v>
      </c>
      <c r="B908" s="2">
        <v>2411596501</v>
      </c>
      <c r="C908" s="2">
        <v>1</v>
      </c>
      <c r="D908" s="2">
        <v>2017</v>
      </c>
      <c r="E908" s="2">
        <v>1</v>
      </c>
      <c r="F908" s="2">
        <v>3177.47</v>
      </c>
      <c r="G908" s="2">
        <v>4704.76</v>
      </c>
      <c r="H908" s="2" t="str">
        <f>VLOOKUP(qhkz_4dqm[[#This Row],[fuel_type]],lookup!A:B,2,FALSE)</f>
        <v>Gasoline</v>
      </c>
      <c r="I908" s="2">
        <f ca="1">YEAR(TODAY())-qhkz_4dqm[[#This Row],[year]]</f>
        <v>9</v>
      </c>
      <c r="J908" s="2" t="str" cm="1">
        <f t="array" aca="1" ref="J908" ca="1">_xlfn.IFS(qhkz_4dqm[[#This Row],[vehicle_age]]&lt;=3,"Newer",qhkz_4dqm[[#This Row],[vehicle_age]]&lt;=9,"Mid-age",qhkz_4dqm[[#This Row],[vehicle_age]]&lt;=19,"Older",qhkz_4dqm[[#This Row],[vehicle_age]]&gt;=20,"Very Old")</f>
        <v>Mid-age</v>
      </c>
    </row>
    <row r="909" spans="1:10">
      <c r="A909" s="2">
        <v>24116034</v>
      </c>
      <c r="B909" s="2">
        <v>2411603401</v>
      </c>
      <c r="C909" s="2">
        <v>1</v>
      </c>
      <c r="D909" s="2">
        <v>2021</v>
      </c>
      <c r="E909" s="2">
        <v>1</v>
      </c>
      <c r="F909" s="2">
        <v>3583.91</v>
      </c>
      <c r="G909" s="2">
        <v>4192.03</v>
      </c>
      <c r="H909" s="2" t="str">
        <f>VLOOKUP(qhkz_4dqm[[#This Row],[fuel_type]],lookup!A:B,2,FALSE)</f>
        <v>Gasoline</v>
      </c>
      <c r="I909" s="2">
        <f ca="1">YEAR(TODAY())-qhkz_4dqm[[#This Row],[year]]</f>
        <v>5</v>
      </c>
      <c r="J909" s="2" t="str" cm="1">
        <f t="array" aca="1" ref="J909" ca="1">_xlfn.IFS(qhkz_4dqm[[#This Row],[vehicle_age]]&lt;=3,"Newer",qhkz_4dqm[[#This Row],[vehicle_age]]&lt;=9,"Mid-age",qhkz_4dqm[[#This Row],[vehicle_age]]&lt;=19,"Older",qhkz_4dqm[[#This Row],[vehicle_age]]&gt;=20,"Very Old")</f>
        <v>Mid-age</v>
      </c>
    </row>
    <row r="910" spans="1:10">
      <c r="A910" s="2">
        <v>24116137</v>
      </c>
      <c r="B910" s="2">
        <v>2411613701</v>
      </c>
      <c r="C910" s="2">
        <v>1</v>
      </c>
      <c r="D910" s="2">
        <v>2013</v>
      </c>
      <c r="E910" s="2">
        <v>1</v>
      </c>
      <c r="F910" s="2">
        <v>1086.1199999999999</v>
      </c>
      <c r="G910" s="2">
        <v>1722.91</v>
      </c>
      <c r="H910" s="2" t="str">
        <f>VLOOKUP(qhkz_4dqm[[#This Row],[fuel_type]],lookup!A:B,2,FALSE)</f>
        <v>Gasoline</v>
      </c>
      <c r="I910" s="2">
        <f ca="1">YEAR(TODAY())-qhkz_4dqm[[#This Row],[year]]</f>
        <v>13</v>
      </c>
      <c r="J910" s="2" t="str" cm="1">
        <f t="array" aca="1" ref="J910" ca="1">_xlfn.IFS(qhkz_4dqm[[#This Row],[vehicle_age]]&lt;=3,"Newer",qhkz_4dqm[[#This Row],[vehicle_age]]&lt;=9,"Mid-age",qhkz_4dqm[[#This Row],[vehicle_age]]&lt;=19,"Older",qhkz_4dqm[[#This Row],[vehicle_age]]&gt;=20,"Very Old")</f>
        <v>Older</v>
      </c>
    </row>
    <row r="911" spans="1:10">
      <c r="A911" s="2">
        <v>24116169</v>
      </c>
      <c r="B911" s="2">
        <v>2411616901</v>
      </c>
      <c r="C911" s="2">
        <v>1</v>
      </c>
      <c r="D911" s="2">
        <v>1999</v>
      </c>
      <c r="E911" s="2">
        <v>1</v>
      </c>
      <c r="F911" s="2">
        <v>817.61</v>
      </c>
      <c r="G911" s="2">
        <v>1179.24</v>
      </c>
      <c r="H911" s="2" t="str">
        <f>VLOOKUP(qhkz_4dqm[[#This Row],[fuel_type]],lookup!A:B,2,FALSE)</f>
        <v>Gasoline</v>
      </c>
      <c r="I911" s="2">
        <f ca="1">YEAR(TODAY())-qhkz_4dqm[[#This Row],[year]]</f>
        <v>27</v>
      </c>
      <c r="J911" s="2" t="str" cm="1">
        <f t="array" aca="1" ref="J911" ca="1">_xlfn.IFS(qhkz_4dqm[[#This Row],[vehicle_age]]&lt;=3,"Newer",qhkz_4dqm[[#This Row],[vehicle_age]]&lt;=9,"Mid-age",qhkz_4dqm[[#This Row],[vehicle_age]]&lt;=19,"Older",qhkz_4dqm[[#This Row],[vehicle_age]]&gt;=20,"Very Old")</f>
        <v>Very Old</v>
      </c>
    </row>
    <row r="912" spans="1:10">
      <c r="A912" s="2">
        <v>24116306</v>
      </c>
      <c r="B912" s="2">
        <v>2411630601</v>
      </c>
      <c r="C912" s="2">
        <v>1</v>
      </c>
      <c r="D912" s="2">
        <v>2010</v>
      </c>
      <c r="E912" s="2">
        <v>2</v>
      </c>
      <c r="F912" s="2">
        <v>1880.05</v>
      </c>
      <c r="G912" s="2">
        <v>790.3</v>
      </c>
      <c r="H912" s="2" t="str">
        <f>VLOOKUP(qhkz_4dqm[[#This Row],[fuel_type]],lookup!A:B,2,FALSE)</f>
        <v>Diesel</v>
      </c>
      <c r="I912" s="2">
        <f ca="1">YEAR(TODAY())-qhkz_4dqm[[#This Row],[year]]</f>
        <v>16</v>
      </c>
      <c r="J912" s="2" t="str" cm="1">
        <f t="array" aca="1" ref="J912" ca="1">_xlfn.IFS(qhkz_4dqm[[#This Row],[vehicle_age]]&lt;=3,"Newer",qhkz_4dqm[[#This Row],[vehicle_age]]&lt;=9,"Mid-age",qhkz_4dqm[[#This Row],[vehicle_age]]&lt;=19,"Older",qhkz_4dqm[[#This Row],[vehicle_age]]&gt;=20,"Very Old")</f>
        <v>Older</v>
      </c>
    </row>
    <row r="913" spans="1:10">
      <c r="A913" s="2">
        <v>24116342</v>
      </c>
      <c r="B913" s="2">
        <v>2411634201</v>
      </c>
      <c r="C913" s="2">
        <v>1</v>
      </c>
      <c r="D913" s="2">
        <v>2021</v>
      </c>
      <c r="E913" s="2">
        <v>3</v>
      </c>
      <c r="F913" s="2">
        <v>148.96</v>
      </c>
      <c r="G913" s="2">
        <v>617.44000000000005</v>
      </c>
      <c r="H913" s="2" t="str">
        <f>VLOOKUP(qhkz_4dqm[[#This Row],[fuel_type]],lookup!A:B,2,FALSE)</f>
        <v>Hybrid</v>
      </c>
      <c r="I913" s="2">
        <f ca="1">YEAR(TODAY())-qhkz_4dqm[[#This Row],[year]]</f>
        <v>5</v>
      </c>
      <c r="J913" s="2" t="str" cm="1">
        <f t="array" aca="1" ref="J913" ca="1">_xlfn.IFS(qhkz_4dqm[[#This Row],[vehicle_age]]&lt;=3,"Newer",qhkz_4dqm[[#This Row],[vehicle_age]]&lt;=9,"Mid-age",qhkz_4dqm[[#This Row],[vehicle_age]]&lt;=19,"Older",qhkz_4dqm[[#This Row],[vehicle_age]]&gt;=20,"Very Old")</f>
        <v>Mid-age</v>
      </c>
    </row>
    <row r="914" spans="1:10">
      <c r="A914" s="2">
        <v>24116393</v>
      </c>
      <c r="B914" s="2">
        <v>2411639301</v>
      </c>
      <c r="C914" s="2">
        <v>1</v>
      </c>
      <c r="D914" s="2">
        <v>2017</v>
      </c>
      <c r="E914" s="2">
        <v>1</v>
      </c>
      <c r="F914" s="2">
        <v>562.09</v>
      </c>
      <c r="G914" s="2">
        <v>410.94</v>
      </c>
      <c r="H914" s="2" t="str">
        <f>VLOOKUP(qhkz_4dqm[[#This Row],[fuel_type]],lookup!A:B,2,FALSE)</f>
        <v>Gasoline</v>
      </c>
      <c r="I914" s="2">
        <f ca="1">YEAR(TODAY())-qhkz_4dqm[[#This Row],[year]]</f>
        <v>9</v>
      </c>
      <c r="J914" s="2" t="str" cm="1">
        <f t="array" aca="1" ref="J914" ca="1">_xlfn.IFS(qhkz_4dqm[[#This Row],[vehicle_age]]&lt;=3,"Newer",qhkz_4dqm[[#This Row],[vehicle_age]]&lt;=9,"Mid-age",qhkz_4dqm[[#This Row],[vehicle_age]]&lt;=19,"Older",qhkz_4dqm[[#This Row],[vehicle_age]]&gt;=20,"Very Old")</f>
        <v>Mid-age</v>
      </c>
    </row>
    <row r="915" spans="1:10">
      <c r="A915" s="2">
        <v>24116460</v>
      </c>
      <c r="B915" s="2">
        <v>2411646001</v>
      </c>
      <c r="C915" s="2">
        <v>1</v>
      </c>
      <c r="D915" s="2">
        <v>2019</v>
      </c>
      <c r="E915" s="2">
        <v>1</v>
      </c>
      <c r="F915" s="2">
        <v>2264.75</v>
      </c>
      <c r="G915" s="2">
        <v>747.79</v>
      </c>
      <c r="H915" s="2" t="str">
        <f>VLOOKUP(qhkz_4dqm[[#This Row],[fuel_type]],lookup!A:B,2,FALSE)</f>
        <v>Gasoline</v>
      </c>
      <c r="I915" s="2">
        <f ca="1">YEAR(TODAY())-qhkz_4dqm[[#This Row],[year]]</f>
        <v>7</v>
      </c>
      <c r="J915" s="2" t="str" cm="1">
        <f t="array" aca="1" ref="J915" ca="1">_xlfn.IFS(qhkz_4dqm[[#This Row],[vehicle_age]]&lt;=3,"Newer",qhkz_4dqm[[#This Row],[vehicle_age]]&lt;=9,"Mid-age",qhkz_4dqm[[#This Row],[vehicle_age]]&lt;=19,"Older",qhkz_4dqm[[#This Row],[vehicle_age]]&gt;=20,"Very Old")</f>
        <v>Mid-age</v>
      </c>
    </row>
    <row r="916" spans="1:10">
      <c r="A916" s="2">
        <v>24116730</v>
      </c>
      <c r="B916" s="2">
        <v>2411673001</v>
      </c>
      <c r="C916" s="2">
        <v>1</v>
      </c>
      <c r="D916" s="2">
        <v>2024</v>
      </c>
      <c r="E916" s="2">
        <v>1</v>
      </c>
      <c r="F916" s="2">
        <v>1065.19</v>
      </c>
      <c r="G916" s="2">
        <v>840.87</v>
      </c>
      <c r="H916" s="2" t="str">
        <f>VLOOKUP(qhkz_4dqm[[#This Row],[fuel_type]],lookup!A:B,2,FALSE)</f>
        <v>Gasoline</v>
      </c>
      <c r="I916" s="2">
        <f ca="1">YEAR(TODAY())-qhkz_4dqm[[#This Row],[year]]</f>
        <v>2</v>
      </c>
      <c r="J916" s="2" t="str" cm="1">
        <f t="array" aca="1" ref="J916" ca="1">_xlfn.IFS(qhkz_4dqm[[#This Row],[vehicle_age]]&lt;=3,"Newer",qhkz_4dqm[[#This Row],[vehicle_age]]&lt;=9,"Mid-age",qhkz_4dqm[[#This Row],[vehicle_age]]&lt;=19,"Older",qhkz_4dqm[[#This Row],[vehicle_age]]&gt;=20,"Very Old")</f>
        <v>Newer</v>
      </c>
    </row>
    <row r="917" spans="1:10">
      <c r="A917" s="2">
        <v>24116808</v>
      </c>
      <c r="B917" s="2">
        <v>2411680801</v>
      </c>
      <c r="C917" s="2">
        <v>1</v>
      </c>
      <c r="D917" s="2">
        <v>2021</v>
      </c>
      <c r="E917" s="2">
        <v>1</v>
      </c>
      <c r="F917" s="2">
        <v>2728.63</v>
      </c>
      <c r="G917" s="2">
        <v>4916.0600000000004</v>
      </c>
      <c r="H917" s="2" t="str">
        <f>VLOOKUP(qhkz_4dqm[[#This Row],[fuel_type]],lookup!A:B,2,FALSE)</f>
        <v>Gasoline</v>
      </c>
      <c r="I917" s="2">
        <f ca="1">YEAR(TODAY())-qhkz_4dqm[[#This Row],[year]]</f>
        <v>5</v>
      </c>
      <c r="J917" s="2" t="str" cm="1">
        <f t="array" aca="1" ref="J917" ca="1">_xlfn.IFS(qhkz_4dqm[[#This Row],[vehicle_age]]&lt;=3,"Newer",qhkz_4dqm[[#This Row],[vehicle_age]]&lt;=9,"Mid-age",qhkz_4dqm[[#This Row],[vehicle_age]]&lt;=19,"Older",qhkz_4dqm[[#This Row],[vehicle_age]]&gt;=20,"Very Old")</f>
        <v>Mid-age</v>
      </c>
    </row>
    <row r="918" spans="1:10">
      <c r="A918" s="2">
        <v>24117203</v>
      </c>
      <c r="B918" s="2">
        <v>2411720301</v>
      </c>
      <c r="C918" s="2">
        <v>1</v>
      </c>
      <c r="D918" s="2">
        <v>2009</v>
      </c>
      <c r="E918" s="2">
        <v>1</v>
      </c>
      <c r="F918" s="2">
        <v>2393.0500000000002</v>
      </c>
      <c r="G918" s="2">
        <v>998.14</v>
      </c>
      <c r="H918" s="2" t="str">
        <f>VLOOKUP(qhkz_4dqm[[#This Row],[fuel_type]],lookup!A:B,2,FALSE)</f>
        <v>Gasoline</v>
      </c>
      <c r="I918" s="2">
        <f ca="1">YEAR(TODAY())-qhkz_4dqm[[#This Row],[year]]</f>
        <v>17</v>
      </c>
      <c r="J918" s="2" t="str" cm="1">
        <f t="array" aca="1" ref="J918" ca="1">_xlfn.IFS(qhkz_4dqm[[#This Row],[vehicle_age]]&lt;=3,"Newer",qhkz_4dqm[[#This Row],[vehicle_age]]&lt;=9,"Mid-age",qhkz_4dqm[[#This Row],[vehicle_age]]&lt;=19,"Older",qhkz_4dqm[[#This Row],[vehicle_age]]&gt;=20,"Very Old")</f>
        <v>Older</v>
      </c>
    </row>
    <row r="919" spans="1:10">
      <c r="A919" s="2">
        <v>24117231</v>
      </c>
      <c r="B919" s="2">
        <v>2411723101</v>
      </c>
      <c r="C919" s="2">
        <v>1</v>
      </c>
      <c r="D919" s="2">
        <v>2019</v>
      </c>
      <c r="E919" s="2">
        <v>1</v>
      </c>
      <c r="F919" s="2">
        <v>1214.3599999999999</v>
      </c>
      <c r="G919" s="2">
        <v>1322.06</v>
      </c>
      <c r="H919" s="2" t="str">
        <f>VLOOKUP(qhkz_4dqm[[#This Row],[fuel_type]],lookup!A:B,2,FALSE)</f>
        <v>Gasoline</v>
      </c>
      <c r="I919" s="2">
        <f ca="1">YEAR(TODAY())-qhkz_4dqm[[#This Row],[year]]</f>
        <v>7</v>
      </c>
      <c r="J919" s="2" t="str" cm="1">
        <f t="array" aca="1" ref="J919" ca="1">_xlfn.IFS(qhkz_4dqm[[#This Row],[vehicle_age]]&lt;=3,"Newer",qhkz_4dqm[[#This Row],[vehicle_age]]&lt;=9,"Mid-age",qhkz_4dqm[[#This Row],[vehicle_age]]&lt;=19,"Older",qhkz_4dqm[[#This Row],[vehicle_age]]&gt;=20,"Very Old")</f>
        <v>Mid-age</v>
      </c>
    </row>
    <row r="920" spans="1:10">
      <c r="A920" s="2">
        <v>24117244</v>
      </c>
      <c r="B920" s="2">
        <v>2411724401</v>
      </c>
      <c r="C920" s="2">
        <v>1</v>
      </c>
      <c r="D920" s="2">
        <v>2022</v>
      </c>
      <c r="E920" s="2">
        <v>4</v>
      </c>
      <c r="F920" s="2">
        <v>1689.12</v>
      </c>
      <c r="G920" s="2">
        <v>629.22</v>
      </c>
      <c r="H920" s="2" t="str">
        <f>VLOOKUP(qhkz_4dqm[[#This Row],[fuel_type]],lookup!A:B,2,FALSE)</f>
        <v>Electric</v>
      </c>
      <c r="I920" s="2">
        <f ca="1">YEAR(TODAY())-qhkz_4dqm[[#This Row],[year]]</f>
        <v>4</v>
      </c>
      <c r="J920" s="2" t="str" cm="1">
        <f t="array" aca="1" ref="J920" ca="1">_xlfn.IFS(qhkz_4dqm[[#This Row],[vehicle_age]]&lt;=3,"Newer",qhkz_4dqm[[#This Row],[vehicle_age]]&lt;=9,"Mid-age",qhkz_4dqm[[#This Row],[vehicle_age]]&lt;=19,"Older",qhkz_4dqm[[#This Row],[vehicle_age]]&gt;=20,"Very Old")</f>
        <v>Mid-age</v>
      </c>
    </row>
    <row r="921" spans="1:10">
      <c r="A921" s="2">
        <v>24117648</v>
      </c>
      <c r="B921" s="2">
        <v>2411764801</v>
      </c>
      <c r="C921" s="2">
        <v>1</v>
      </c>
      <c r="D921" s="2">
        <v>2012</v>
      </c>
      <c r="E921" s="2">
        <v>1</v>
      </c>
      <c r="F921" s="2">
        <v>699.51</v>
      </c>
      <c r="G921" s="2">
        <v>3329.72</v>
      </c>
      <c r="H921" s="2" t="str">
        <f>VLOOKUP(qhkz_4dqm[[#This Row],[fuel_type]],lookup!A:B,2,FALSE)</f>
        <v>Gasoline</v>
      </c>
      <c r="I921" s="2">
        <f ca="1">YEAR(TODAY())-qhkz_4dqm[[#This Row],[year]]</f>
        <v>14</v>
      </c>
      <c r="J921" s="2" t="str" cm="1">
        <f t="array" aca="1" ref="J921" ca="1">_xlfn.IFS(qhkz_4dqm[[#This Row],[vehicle_age]]&lt;=3,"Newer",qhkz_4dqm[[#This Row],[vehicle_age]]&lt;=9,"Mid-age",qhkz_4dqm[[#This Row],[vehicle_age]]&lt;=19,"Older",qhkz_4dqm[[#This Row],[vehicle_age]]&gt;=20,"Very Old")</f>
        <v>Older</v>
      </c>
    </row>
    <row r="922" spans="1:10">
      <c r="A922" s="2">
        <v>24117847</v>
      </c>
      <c r="B922" s="2">
        <v>2411784701</v>
      </c>
      <c r="C922" s="2">
        <v>1</v>
      </c>
      <c r="D922" s="2">
        <v>2021</v>
      </c>
      <c r="E922" s="2">
        <v>1</v>
      </c>
      <c r="F922" s="2">
        <v>2656.55</v>
      </c>
      <c r="G922" s="2">
        <v>3327.86</v>
      </c>
      <c r="H922" s="2" t="str">
        <f>VLOOKUP(qhkz_4dqm[[#This Row],[fuel_type]],lookup!A:B,2,FALSE)</f>
        <v>Gasoline</v>
      </c>
      <c r="I922" s="2">
        <f ca="1">YEAR(TODAY())-qhkz_4dqm[[#This Row],[year]]</f>
        <v>5</v>
      </c>
      <c r="J922" s="2" t="str" cm="1">
        <f t="array" aca="1" ref="J922" ca="1">_xlfn.IFS(qhkz_4dqm[[#This Row],[vehicle_age]]&lt;=3,"Newer",qhkz_4dqm[[#This Row],[vehicle_age]]&lt;=9,"Mid-age",qhkz_4dqm[[#This Row],[vehicle_age]]&lt;=19,"Older",qhkz_4dqm[[#This Row],[vehicle_age]]&gt;=20,"Very Old")</f>
        <v>Mid-age</v>
      </c>
    </row>
    <row r="923" spans="1:10">
      <c r="A923" s="2">
        <v>24117887</v>
      </c>
      <c r="B923" s="2">
        <v>2411788701</v>
      </c>
      <c r="C923" s="2">
        <v>1</v>
      </c>
      <c r="D923" s="2">
        <v>2020</v>
      </c>
      <c r="E923" s="2">
        <v>1</v>
      </c>
      <c r="F923" s="2">
        <v>1923.02</v>
      </c>
      <c r="G923" s="2">
        <v>2417.85</v>
      </c>
      <c r="H923" s="2" t="str">
        <f>VLOOKUP(qhkz_4dqm[[#This Row],[fuel_type]],lookup!A:B,2,FALSE)</f>
        <v>Gasoline</v>
      </c>
      <c r="I923" s="2">
        <f ca="1">YEAR(TODAY())-qhkz_4dqm[[#This Row],[year]]</f>
        <v>6</v>
      </c>
      <c r="J923" s="2" t="str" cm="1">
        <f t="array" aca="1" ref="J923" ca="1">_xlfn.IFS(qhkz_4dqm[[#This Row],[vehicle_age]]&lt;=3,"Newer",qhkz_4dqm[[#This Row],[vehicle_age]]&lt;=9,"Mid-age",qhkz_4dqm[[#This Row],[vehicle_age]]&lt;=19,"Older",qhkz_4dqm[[#This Row],[vehicle_age]]&gt;=20,"Very Old")</f>
        <v>Mid-age</v>
      </c>
    </row>
    <row r="924" spans="1:10">
      <c r="A924" s="2">
        <v>24117997</v>
      </c>
      <c r="B924" s="2">
        <v>2411799701</v>
      </c>
      <c r="C924" s="2">
        <v>1</v>
      </c>
      <c r="D924" s="2">
        <v>2020</v>
      </c>
      <c r="E924" s="2">
        <v>1</v>
      </c>
      <c r="F924" s="2">
        <v>4112.91</v>
      </c>
      <c r="G924" s="2">
        <v>3330.98</v>
      </c>
      <c r="H924" s="2" t="str">
        <f>VLOOKUP(qhkz_4dqm[[#This Row],[fuel_type]],lookup!A:B,2,FALSE)</f>
        <v>Gasoline</v>
      </c>
      <c r="I924" s="2">
        <f ca="1">YEAR(TODAY())-qhkz_4dqm[[#This Row],[year]]</f>
        <v>6</v>
      </c>
      <c r="J924" s="2" t="str" cm="1">
        <f t="array" aca="1" ref="J924" ca="1">_xlfn.IFS(qhkz_4dqm[[#This Row],[vehicle_age]]&lt;=3,"Newer",qhkz_4dqm[[#This Row],[vehicle_age]]&lt;=9,"Mid-age",qhkz_4dqm[[#This Row],[vehicle_age]]&lt;=19,"Older",qhkz_4dqm[[#This Row],[vehicle_age]]&gt;=20,"Very Old")</f>
        <v>Mid-age</v>
      </c>
    </row>
    <row r="925" spans="1:10">
      <c r="A925" s="2">
        <v>24118688</v>
      </c>
      <c r="B925" s="2">
        <v>2411868801</v>
      </c>
      <c r="C925" s="2">
        <v>1</v>
      </c>
      <c r="D925" s="2">
        <v>2018</v>
      </c>
      <c r="E925" s="2">
        <v>1</v>
      </c>
      <c r="F925" s="2">
        <v>1065.19</v>
      </c>
      <c r="G925" s="2">
        <v>840.87</v>
      </c>
      <c r="H925" s="2" t="str">
        <f>VLOOKUP(qhkz_4dqm[[#This Row],[fuel_type]],lookup!A:B,2,FALSE)</f>
        <v>Gasoline</v>
      </c>
      <c r="I925" s="2">
        <f ca="1">YEAR(TODAY())-qhkz_4dqm[[#This Row],[year]]</f>
        <v>8</v>
      </c>
      <c r="J925" s="2" t="str" cm="1">
        <f t="array" aca="1" ref="J925" ca="1">_xlfn.IFS(qhkz_4dqm[[#This Row],[vehicle_age]]&lt;=3,"Newer",qhkz_4dqm[[#This Row],[vehicle_age]]&lt;=9,"Mid-age",qhkz_4dqm[[#This Row],[vehicle_age]]&lt;=19,"Older",qhkz_4dqm[[#This Row],[vehicle_age]]&gt;=20,"Very Old")</f>
        <v>Mid-age</v>
      </c>
    </row>
    <row r="926" spans="1:10">
      <c r="A926" s="2">
        <v>24118825</v>
      </c>
      <c r="B926" s="2">
        <v>2411882501</v>
      </c>
      <c r="C926" s="2">
        <v>1</v>
      </c>
      <c r="D926" s="2">
        <v>2017</v>
      </c>
      <c r="E926" s="2">
        <v>1</v>
      </c>
      <c r="F926" s="2">
        <v>1299.54</v>
      </c>
      <c r="G926" s="2">
        <v>232.88</v>
      </c>
      <c r="H926" s="2" t="str">
        <f>VLOOKUP(qhkz_4dqm[[#This Row],[fuel_type]],lookup!A:B,2,FALSE)</f>
        <v>Gasoline</v>
      </c>
      <c r="I926" s="2">
        <f ca="1">YEAR(TODAY())-qhkz_4dqm[[#This Row],[year]]</f>
        <v>9</v>
      </c>
      <c r="J926" s="2" t="str" cm="1">
        <f t="array" aca="1" ref="J926" ca="1">_xlfn.IFS(qhkz_4dqm[[#This Row],[vehicle_age]]&lt;=3,"Newer",qhkz_4dqm[[#This Row],[vehicle_age]]&lt;=9,"Mid-age",qhkz_4dqm[[#This Row],[vehicle_age]]&lt;=19,"Older",qhkz_4dqm[[#This Row],[vehicle_age]]&gt;=20,"Very Old")</f>
        <v>Mid-age</v>
      </c>
    </row>
    <row r="927" spans="1:10">
      <c r="A927" s="2">
        <v>24118873</v>
      </c>
      <c r="B927" s="2">
        <v>2411887301</v>
      </c>
      <c r="C927" s="2">
        <v>1</v>
      </c>
      <c r="D927" s="2">
        <v>2011</v>
      </c>
      <c r="E927" s="2">
        <v>1</v>
      </c>
      <c r="F927" s="2">
        <v>934.65</v>
      </c>
      <c r="G927" s="2">
        <v>317.02999999999997</v>
      </c>
      <c r="H927" s="2" t="str">
        <f>VLOOKUP(qhkz_4dqm[[#This Row],[fuel_type]],lookup!A:B,2,FALSE)</f>
        <v>Gasoline</v>
      </c>
      <c r="I927" s="2">
        <f ca="1">YEAR(TODAY())-qhkz_4dqm[[#This Row],[year]]</f>
        <v>15</v>
      </c>
      <c r="J927" s="2" t="str" cm="1">
        <f t="array" aca="1" ref="J927" ca="1">_xlfn.IFS(qhkz_4dqm[[#This Row],[vehicle_age]]&lt;=3,"Newer",qhkz_4dqm[[#This Row],[vehicle_age]]&lt;=9,"Mid-age",qhkz_4dqm[[#This Row],[vehicle_age]]&lt;=19,"Older",qhkz_4dqm[[#This Row],[vehicle_age]]&gt;=20,"Very Old")</f>
        <v>Older</v>
      </c>
    </row>
    <row r="928" spans="1:10">
      <c r="A928" s="2">
        <v>24118981</v>
      </c>
      <c r="B928" s="2">
        <v>2411898101</v>
      </c>
      <c r="C928" s="2">
        <v>1</v>
      </c>
      <c r="D928" s="2">
        <v>2016</v>
      </c>
      <c r="E928" s="2">
        <v>1</v>
      </c>
      <c r="F928" s="2">
        <v>3573.51</v>
      </c>
      <c r="G928" s="2">
        <v>957.08</v>
      </c>
      <c r="H928" s="2" t="str">
        <f>VLOOKUP(qhkz_4dqm[[#This Row],[fuel_type]],lookup!A:B,2,FALSE)</f>
        <v>Gasoline</v>
      </c>
      <c r="I928" s="2">
        <f ca="1">YEAR(TODAY())-qhkz_4dqm[[#This Row],[year]]</f>
        <v>10</v>
      </c>
      <c r="J928" s="2" t="str" cm="1">
        <f t="array" aca="1" ref="J928" ca="1">_xlfn.IFS(qhkz_4dqm[[#This Row],[vehicle_age]]&lt;=3,"Newer",qhkz_4dqm[[#This Row],[vehicle_age]]&lt;=9,"Mid-age",qhkz_4dqm[[#This Row],[vehicle_age]]&lt;=19,"Older",qhkz_4dqm[[#This Row],[vehicle_age]]&gt;=20,"Very Old")</f>
        <v>Older</v>
      </c>
    </row>
    <row r="929" spans="1:10">
      <c r="A929" s="2">
        <v>24118996</v>
      </c>
      <c r="B929" s="2">
        <v>2411899601</v>
      </c>
      <c r="C929" s="2">
        <v>1</v>
      </c>
      <c r="D929" s="2">
        <v>2002</v>
      </c>
      <c r="E929" s="2">
        <v>1</v>
      </c>
      <c r="F929" s="2">
        <v>1768.66</v>
      </c>
      <c r="G929" s="2">
        <v>2426.64</v>
      </c>
      <c r="H929" s="2" t="str">
        <f>VLOOKUP(qhkz_4dqm[[#This Row],[fuel_type]],lookup!A:B,2,FALSE)</f>
        <v>Gasoline</v>
      </c>
      <c r="I929" s="2">
        <f ca="1">YEAR(TODAY())-qhkz_4dqm[[#This Row],[year]]</f>
        <v>24</v>
      </c>
      <c r="J929" s="2" t="str" cm="1">
        <f t="array" aca="1" ref="J929" ca="1">_xlfn.IFS(qhkz_4dqm[[#This Row],[vehicle_age]]&lt;=3,"Newer",qhkz_4dqm[[#This Row],[vehicle_age]]&lt;=9,"Mid-age",qhkz_4dqm[[#This Row],[vehicle_age]]&lt;=19,"Older",qhkz_4dqm[[#This Row],[vehicle_age]]&gt;=20,"Very Old")</f>
        <v>Very Old</v>
      </c>
    </row>
    <row r="930" spans="1:10">
      <c r="A930" s="2">
        <v>24119053</v>
      </c>
      <c r="B930" s="2">
        <v>2411905301</v>
      </c>
      <c r="C930" s="2">
        <v>1</v>
      </c>
      <c r="D930" s="2">
        <v>2017</v>
      </c>
      <c r="E930" s="2">
        <v>1</v>
      </c>
      <c r="F930" s="2">
        <v>1086.1199999999999</v>
      </c>
      <c r="G930" s="2">
        <v>1722.91</v>
      </c>
      <c r="H930" s="2" t="str">
        <f>VLOOKUP(qhkz_4dqm[[#This Row],[fuel_type]],lookup!A:B,2,FALSE)</f>
        <v>Gasoline</v>
      </c>
      <c r="I930" s="2">
        <f ca="1">YEAR(TODAY())-qhkz_4dqm[[#This Row],[year]]</f>
        <v>9</v>
      </c>
      <c r="J930" s="2" t="str" cm="1">
        <f t="array" aca="1" ref="J930" ca="1">_xlfn.IFS(qhkz_4dqm[[#This Row],[vehicle_age]]&lt;=3,"Newer",qhkz_4dqm[[#This Row],[vehicle_age]]&lt;=9,"Mid-age",qhkz_4dqm[[#This Row],[vehicle_age]]&lt;=19,"Older",qhkz_4dqm[[#This Row],[vehicle_age]]&gt;=20,"Very Old")</f>
        <v>Mid-age</v>
      </c>
    </row>
    <row r="931" spans="1:10">
      <c r="A931" s="2">
        <v>24119108</v>
      </c>
      <c r="B931" s="2">
        <v>2411910801</v>
      </c>
      <c r="C931" s="2">
        <v>1</v>
      </c>
      <c r="D931" s="2">
        <v>2020</v>
      </c>
      <c r="E931" s="2">
        <v>1</v>
      </c>
      <c r="F931" s="2">
        <v>1406.58</v>
      </c>
      <c r="G931" s="2">
        <v>1811.67</v>
      </c>
      <c r="H931" s="2" t="str">
        <f>VLOOKUP(qhkz_4dqm[[#This Row],[fuel_type]],lookup!A:B,2,FALSE)</f>
        <v>Gasoline</v>
      </c>
      <c r="I931" s="2">
        <f ca="1">YEAR(TODAY())-qhkz_4dqm[[#This Row],[year]]</f>
        <v>6</v>
      </c>
      <c r="J931" s="2" t="str" cm="1">
        <f t="array" aca="1" ref="J931" ca="1">_xlfn.IFS(qhkz_4dqm[[#This Row],[vehicle_age]]&lt;=3,"Newer",qhkz_4dqm[[#This Row],[vehicle_age]]&lt;=9,"Mid-age",qhkz_4dqm[[#This Row],[vehicle_age]]&lt;=19,"Older",qhkz_4dqm[[#This Row],[vehicle_age]]&gt;=20,"Very Old")</f>
        <v>Mid-age</v>
      </c>
    </row>
    <row r="932" spans="1:10">
      <c r="A932" s="2">
        <v>24119179</v>
      </c>
      <c r="B932" s="2">
        <v>2411917901</v>
      </c>
      <c r="C932" s="2">
        <v>1</v>
      </c>
      <c r="D932" s="2">
        <v>2010</v>
      </c>
      <c r="E932" s="2">
        <v>1</v>
      </c>
      <c r="F932" s="2">
        <v>1205.9100000000001</v>
      </c>
      <c r="G932" s="2">
        <v>316.48</v>
      </c>
      <c r="H932" s="2" t="str">
        <f>VLOOKUP(qhkz_4dqm[[#This Row],[fuel_type]],lookup!A:B,2,FALSE)</f>
        <v>Gasoline</v>
      </c>
      <c r="I932" s="2">
        <f ca="1">YEAR(TODAY())-qhkz_4dqm[[#This Row],[year]]</f>
        <v>16</v>
      </c>
      <c r="J932" s="2" t="str" cm="1">
        <f t="array" aca="1" ref="J932" ca="1">_xlfn.IFS(qhkz_4dqm[[#This Row],[vehicle_age]]&lt;=3,"Newer",qhkz_4dqm[[#This Row],[vehicle_age]]&lt;=9,"Mid-age",qhkz_4dqm[[#This Row],[vehicle_age]]&lt;=19,"Older",qhkz_4dqm[[#This Row],[vehicle_age]]&gt;=20,"Very Old")</f>
        <v>Older</v>
      </c>
    </row>
    <row r="933" spans="1:10">
      <c r="A933" s="2">
        <v>24119529</v>
      </c>
      <c r="B933" s="2">
        <v>2411952901</v>
      </c>
      <c r="C933" s="2">
        <v>1</v>
      </c>
      <c r="D933" s="2">
        <v>2020</v>
      </c>
      <c r="E933" s="2">
        <v>1</v>
      </c>
      <c r="F933" s="2">
        <v>3583.91</v>
      </c>
      <c r="G933" s="2">
        <v>4192.03</v>
      </c>
      <c r="H933" s="2" t="str">
        <f>VLOOKUP(qhkz_4dqm[[#This Row],[fuel_type]],lookup!A:B,2,FALSE)</f>
        <v>Gasoline</v>
      </c>
      <c r="I933" s="2">
        <f ca="1">YEAR(TODAY())-qhkz_4dqm[[#This Row],[year]]</f>
        <v>6</v>
      </c>
      <c r="J933" s="2" t="str" cm="1">
        <f t="array" aca="1" ref="J933" ca="1">_xlfn.IFS(qhkz_4dqm[[#This Row],[vehicle_age]]&lt;=3,"Newer",qhkz_4dqm[[#This Row],[vehicle_age]]&lt;=9,"Mid-age",qhkz_4dqm[[#This Row],[vehicle_age]]&lt;=19,"Older",qhkz_4dqm[[#This Row],[vehicle_age]]&gt;=20,"Very Old")</f>
        <v>Mid-age</v>
      </c>
    </row>
    <row r="934" spans="1:10">
      <c r="A934" s="2">
        <v>24119940</v>
      </c>
      <c r="B934" s="2">
        <v>2411994001</v>
      </c>
      <c r="C934" s="2">
        <v>1</v>
      </c>
      <c r="D934" s="2">
        <v>2014</v>
      </c>
      <c r="E934" s="2">
        <v>1</v>
      </c>
      <c r="F934" s="2">
        <v>2672.99</v>
      </c>
      <c r="G934" s="2">
        <v>3527.37</v>
      </c>
      <c r="H934" s="2" t="str">
        <f>VLOOKUP(qhkz_4dqm[[#This Row],[fuel_type]],lookup!A:B,2,FALSE)</f>
        <v>Gasoline</v>
      </c>
      <c r="I934" s="2">
        <f ca="1">YEAR(TODAY())-qhkz_4dqm[[#This Row],[year]]</f>
        <v>12</v>
      </c>
      <c r="J934" s="2" t="str" cm="1">
        <f t="array" aca="1" ref="J934" ca="1">_xlfn.IFS(qhkz_4dqm[[#This Row],[vehicle_age]]&lt;=3,"Newer",qhkz_4dqm[[#This Row],[vehicle_age]]&lt;=9,"Mid-age",qhkz_4dqm[[#This Row],[vehicle_age]]&lt;=19,"Older",qhkz_4dqm[[#This Row],[vehicle_age]]&gt;=20,"Very Old")</f>
        <v>Older</v>
      </c>
    </row>
    <row r="935" spans="1:10">
      <c r="A935" s="2">
        <v>24119974</v>
      </c>
      <c r="B935" s="2">
        <v>2411997401</v>
      </c>
      <c r="C935" s="2">
        <v>1</v>
      </c>
      <c r="D935" s="2">
        <v>2014</v>
      </c>
      <c r="E935" s="2">
        <v>1</v>
      </c>
      <c r="F935" s="2">
        <v>117.69</v>
      </c>
      <c r="G935" s="2">
        <v>551.70000000000005</v>
      </c>
      <c r="H935" s="2" t="str">
        <f>VLOOKUP(qhkz_4dqm[[#This Row],[fuel_type]],lookup!A:B,2,FALSE)</f>
        <v>Gasoline</v>
      </c>
      <c r="I935" s="2">
        <f ca="1">YEAR(TODAY())-qhkz_4dqm[[#This Row],[year]]</f>
        <v>12</v>
      </c>
      <c r="J935" s="2" t="str" cm="1">
        <f t="array" aca="1" ref="J935" ca="1">_xlfn.IFS(qhkz_4dqm[[#This Row],[vehicle_age]]&lt;=3,"Newer",qhkz_4dqm[[#This Row],[vehicle_age]]&lt;=9,"Mid-age",qhkz_4dqm[[#This Row],[vehicle_age]]&lt;=19,"Older",qhkz_4dqm[[#This Row],[vehicle_age]]&gt;=20,"Very Old")</f>
        <v>Older</v>
      </c>
    </row>
    <row r="936" spans="1:10">
      <c r="A936" s="2">
        <v>24120134</v>
      </c>
      <c r="B936" s="2">
        <v>2412013401</v>
      </c>
      <c r="C936" s="2">
        <v>1</v>
      </c>
      <c r="D936" s="2">
        <v>2023</v>
      </c>
      <c r="E936" s="2">
        <v>1</v>
      </c>
      <c r="F936" s="2">
        <v>1086.1199999999999</v>
      </c>
      <c r="G936" s="2">
        <v>1722.91</v>
      </c>
      <c r="H936" s="2" t="str">
        <f>VLOOKUP(qhkz_4dqm[[#This Row],[fuel_type]],lookup!A:B,2,FALSE)</f>
        <v>Gasoline</v>
      </c>
      <c r="I936" s="2">
        <f ca="1">YEAR(TODAY())-qhkz_4dqm[[#This Row],[year]]</f>
        <v>3</v>
      </c>
      <c r="J936" s="2" t="str" cm="1">
        <f t="array" aca="1" ref="J936" ca="1">_xlfn.IFS(qhkz_4dqm[[#This Row],[vehicle_age]]&lt;=3,"Newer",qhkz_4dqm[[#This Row],[vehicle_age]]&lt;=9,"Mid-age",qhkz_4dqm[[#This Row],[vehicle_age]]&lt;=19,"Older",qhkz_4dqm[[#This Row],[vehicle_age]]&gt;=20,"Very Old")</f>
        <v>Newer</v>
      </c>
    </row>
    <row r="937" spans="1:10">
      <c r="A937" s="2">
        <v>24120346</v>
      </c>
      <c r="B937" s="2">
        <v>2412034601</v>
      </c>
      <c r="C937" s="2">
        <v>1</v>
      </c>
      <c r="D937" s="2">
        <v>2011</v>
      </c>
      <c r="E937" s="2">
        <v>1</v>
      </c>
      <c r="F937" s="2">
        <v>2191.62</v>
      </c>
      <c r="G937" s="2">
        <v>2289.6799999999998</v>
      </c>
      <c r="H937" s="2" t="str">
        <f>VLOOKUP(qhkz_4dqm[[#This Row],[fuel_type]],lookup!A:B,2,FALSE)</f>
        <v>Gasoline</v>
      </c>
      <c r="I937" s="2">
        <f ca="1">YEAR(TODAY())-qhkz_4dqm[[#This Row],[year]]</f>
        <v>15</v>
      </c>
      <c r="J937" s="2" t="str" cm="1">
        <f t="array" aca="1" ref="J937" ca="1">_xlfn.IFS(qhkz_4dqm[[#This Row],[vehicle_age]]&lt;=3,"Newer",qhkz_4dqm[[#This Row],[vehicle_age]]&lt;=9,"Mid-age",qhkz_4dqm[[#This Row],[vehicle_age]]&lt;=19,"Older",qhkz_4dqm[[#This Row],[vehicle_age]]&gt;=20,"Very Old")</f>
        <v>Older</v>
      </c>
    </row>
    <row r="938" spans="1:10">
      <c r="A938" s="2">
        <v>24120349</v>
      </c>
      <c r="B938" s="2">
        <v>2412034901</v>
      </c>
      <c r="C938" s="2">
        <v>1</v>
      </c>
      <c r="D938" s="2">
        <v>2018</v>
      </c>
      <c r="E938" s="2">
        <v>1</v>
      </c>
      <c r="F938" s="2">
        <v>3006.54</v>
      </c>
      <c r="G938" s="2">
        <v>1890.39</v>
      </c>
      <c r="H938" s="2" t="str">
        <f>VLOOKUP(qhkz_4dqm[[#This Row],[fuel_type]],lookup!A:B,2,FALSE)</f>
        <v>Gasoline</v>
      </c>
      <c r="I938" s="2">
        <f ca="1">YEAR(TODAY())-qhkz_4dqm[[#This Row],[year]]</f>
        <v>8</v>
      </c>
      <c r="J938" s="2" t="str" cm="1">
        <f t="array" aca="1" ref="J938" ca="1">_xlfn.IFS(qhkz_4dqm[[#This Row],[vehicle_age]]&lt;=3,"Newer",qhkz_4dqm[[#This Row],[vehicle_age]]&lt;=9,"Mid-age",qhkz_4dqm[[#This Row],[vehicle_age]]&lt;=19,"Older",qhkz_4dqm[[#This Row],[vehicle_age]]&gt;=20,"Very Old")</f>
        <v>Mid-age</v>
      </c>
    </row>
    <row r="939" spans="1:10">
      <c r="A939" s="2">
        <v>24120362</v>
      </c>
      <c r="B939" s="2">
        <v>2412036201</v>
      </c>
      <c r="C939" s="2">
        <v>1</v>
      </c>
      <c r="D939" s="2">
        <v>2007</v>
      </c>
      <c r="E939" s="2">
        <v>1</v>
      </c>
      <c r="F939" s="2">
        <v>1177.0999999999999</v>
      </c>
      <c r="G939" s="2">
        <v>1523.41</v>
      </c>
      <c r="H939" s="2" t="str">
        <f>VLOOKUP(qhkz_4dqm[[#This Row],[fuel_type]],lookup!A:B,2,FALSE)</f>
        <v>Gasoline</v>
      </c>
      <c r="I939" s="2">
        <f ca="1">YEAR(TODAY())-qhkz_4dqm[[#This Row],[year]]</f>
        <v>19</v>
      </c>
      <c r="J939" s="2" t="str" cm="1">
        <f t="array" aca="1" ref="J939" ca="1">_xlfn.IFS(qhkz_4dqm[[#This Row],[vehicle_age]]&lt;=3,"Newer",qhkz_4dqm[[#This Row],[vehicle_age]]&lt;=9,"Mid-age",qhkz_4dqm[[#This Row],[vehicle_age]]&lt;=19,"Older",qhkz_4dqm[[#This Row],[vehicle_age]]&gt;=20,"Very Old")</f>
        <v>Older</v>
      </c>
    </row>
    <row r="940" spans="1:10">
      <c r="A940" s="2">
        <v>24120422</v>
      </c>
      <c r="B940" s="2">
        <v>2412042201</v>
      </c>
      <c r="C940" s="2">
        <v>1</v>
      </c>
      <c r="D940" s="2">
        <v>2008</v>
      </c>
      <c r="E940" s="2">
        <v>1</v>
      </c>
      <c r="F940" s="2">
        <v>239.4</v>
      </c>
      <c r="G940" s="2">
        <v>381.38</v>
      </c>
      <c r="H940" s="2" t="str">
        <f>VLOOKUP(qhkz_4dqm[[#This Row],[fuel_type]],lookup!A:B,2,FALSE)</f>
        <v>Gasoline</v>
      </c>
      <c r="I940" s="2">
        <f ca="1">YEAR(TODAY())-qhkz_4dqm[[#This Row],[year]]</f>
        <v>18</v>
      </c>
      <c r="J940" s="2" t="str" cm="1">
        <f t="array" aca="1" ref="J940" ca="1">_xlfn.IFS(qhkz_4dqm[[#This Row],[vehicle_age]]&lt;=3,"Newer",qhkz_4dqm[[#This Row],[vehicle_age]]&lt;=9,"Mid-age",qhkz_4dqm[[#This Row],[vehicle_age]]&lt;=19,"Older",qhkz_4dqm[[#This Row],[vehicle_age]]&gt;=20,"Very Old")</f>
        <v>Older</v>
      </c>
    </row>
    <row r="941" spans="1:10">
      <c r="A941" s="2">
        <v>24120867</v>
      </c>
      <c r="B941" s="2">
        <v>2412086701</v>
      </c>
      <c r="C941" s="2">
        <v>1</v>
      </c>
      <c r="D941" s="2">
        <v>2019</v>
      </c>
      <c r="E941" s="2">
        <v>1</v>
      </c>
      <c r="F941" s="2">
        <v>1831.5</v>
      </c>
      <c r="G941" s="2">
        <v>987.33</v>
      </c>
      <c r="H941" s="2" t="str">
        <f>VLOOKUP(qhkz_4dqm[[#This Row],[fuel_type]],lookup!A:B,2,FALSE)</f>
        <v>Gasoline</v>
      </c>
      <c r="I941" s="2">
        <f ca="1">YEAR(TODAY())-qhkz_4dqm[[#This Row],[year]]</f>
        <v>7</v>
      </c>
      <c r="J941" s="2" t="str" cm="1">
        <f t="array" aca="1" ref="J941" ca="1">_xlfn.IFS(qhkz_4dqm[[#This Row],[vehicle_age]]&lt;=3,"Newer",qhkz_4dqm[[#This Row],[vehicle_age]]&lt;=9,"Mid-age",qhkz_4dqm[[#This Row],[vehicle_age]]&lt;=19,"Older",qhkz_4dqm[[#This Row],[vehicle_age]]&gt;=20,"Very Old")</f>
        <v>Mid-age</v>
      </c>
    </row>
    <row r="942" spans="1:10">
      <c r="A942" s="2">
        <v>24120932</v>
      </c>
      <c r="B942" s="2">
        <v>2412093201</v>
      </c>
      <c r="C942" s="2">
        <v>1</v>
      </c>
      <c r="D942" s="2">
        <v>2003</v>
      </c>
      <c r="E942" s="2">
        <v>1</v>
      </c>
      <c r="F942" s="2">
        <v>466.52</v>
      </c>
      <c r="G942" s="2">
        <v>210.03</v>
      </c>
      <c r="H942" s="2" t="str">
        <f>VLOOKUP(qhkz_4dqm[[#This Row],[fuel_type]],lookup!A:B,2,FALSE)</f>
        <v>Gasoline</v>
      </c>
      <c r="I942" s="2">
        <f ca="1">YEAR(TODAY())-qhkz_4dqm[[#This Row],[year]]</f>
        <v>23</v>
      </c>
      <c r="J942" s="2" t="str" cm="1">
        <f t="array" aca="1" ref="J942" ca="1">_xlfn.IFS(qhkz_4dqm[[#This Row],[vehicle_age]]&lt;=3,"Newer",qhkz_4dqm[[#This Row],[vehicle_age]]&lt;=9,"Mid-age",qhkz_4dqm[[#This Row],[vehicle_age]]&lt;=19,"Older",qhkz_4dqm[[#This Row],[vehicle_age]]&gt;=20,"Very Old")</f>
        <v>Very Old</v>
      </c>
    </row>
    <row r="943" spans="1:10">
      <c r="A943" s="2">
        <v>24121024</v>
      </c>
      <c r="B943" s="2">
        <v>2412102401</v>
      </c>
      <c r="C943" s="2">
        <v>1</v>
      </c>
      <c r="D943" s="2">
        <v>2007</v>
      </c>
      <c r="E943" s="2">
        <v>1</v>
      </c>
      <c r="F943" s="2">
        <v>2133.52</v>
      </c>
      <c r="G943" s="2">
        <v>4494.8500000000004</v>
      </c>
      <c r="H943" s="2" t="str">
        <f>VLOOKUP(qhkz_4dqm[[#This Row],[fuel_type]],lookup!A:B,2,FALSE)</f>
        <v>Gasoline</v>
      </c>
      <c r="I943" s="2">
        <f ca="1">YEAR(TODAY())-qhkz_4dqm[[#This Row],[year]]</f>
        <v>19</v>
      </c>
      <c r="J943" s="2" t="str" cm="1">
        <f t="array" aca="1" ref="J943" ca="1">_xlfn.IFS(qhkz_4dqm[[#This Row],[vehicle_age]]&lt;=3,"Newer",qhkz_4dqm[[#This Row],[vehicle_age]]&lt;=9,"Mid-age",qhkz_4dqm[[#This Row],[vehicle_age]]&lt;=19,"Older",qhkz_4dqm[[#This Row],[vehicle_age]]&gt;=20,"Very Old")</f>
        <v>Older</v>
      </c>
    </row>
    <row r="944" spans="1:10">
      <c r="A944" s="2">
        <v>24121081</v>
      </c>
      <c r="B944" s="2">
        <v>2412108101</v>
      </c>
      <c r="C944" s="2">
        <v>1</v>
      </c>
      <c r="D944" s="2">
        <v>2012</v>
      </c>
      <c r="E944" s="2">
        <v>1</v>
      </c>
      <c r="F944" s="2">
        <v>154.15</v>
      </c>
      <c r="G944" s="2">
        <v>1152.2</v>
      </c>
      <c r="H944" s="2" t="str">
        <f>VLOOKUP(qhkz_4dqm[[#This Row],[fuel_type]],lookup!A:B,2,FALSE)</f>
        <v>Gasoline</v>
      </c>
      <c r="I944" s="2">
        <f ca="1">YEAR(TODAY())-qhkz_4dqm[[#This Row],[year]]</f>
        <v>14</v>
      </c>
      <c r="J944" s="2" t="str" cm="1">
        <f t="array" aca="1" ref="J944" ca="1">_xlfn.IFS(qhkz_4dqm[[#This Row],[vehicle_age]]&lt;=3,"Newer",qhkz_4dqm[[#This Row],[vehicle_age]]&lt;=9,"Mid-age",qhkz_4dqm[[#This Row],[vehicle_age]]&lt;=19,"Older",qhkz_4dqm[[#This Row],[vehicle_age]]&gt;=20,"Very Old")</f>
        <v>Older</v>
      </c>
    </row>
    <row r="945" spans="1:10">
      <c r="A945" s="2">
        <v>24121390</v>
      </c>
      <c r="B945" s="2">
        <v>2412139001</v>
      </c>
      <c r="C945" s="2">
        <v>1</v>
      </c>
      <c r="D945" s="2">
        <v>2017</v>
      </c>
      <c r="E945" s="2">
        <v>1</v>
      </c>
      <c r="F945" s="2">
        <v>1648.67</v>
      </c>
      <c r="G945" s="2">
        <v>1593.66</v>
      </c>
      <c r="H945" s="2" t="str">
        <f>VLOOKUP(qhkz_4dqm[[#This Row],[fuel_type]],lookup!A:B,2,FALSE)</f>
        <v>Gasoline</v>
      </c>
      <c r="I945" s="2">
        <f ca="1">YEAR(TODAY())-qhkz_4dqm[[#This Row],[year]]</f>
        <v>9</v>
      </c>
      <c r="J945" s="2" t="str" cm="1">
        <f t="array" aca="1" ref="J945" ca="1">_xlfn.IFS(qhkz_4dqm[[#This Row],[vehicle_age]]&lt;=3,"Newer",qhkz_4dqm[[#This Row],[vehicle_age]]&lt;=9,"Mid-age",qhkz_4dqm[[#This Row],[vehicle_age]]&lt;=19,"Older",qhkz_4dqm[[#This Row],[vehicle_age]]&gt;=20,"Very Old")</f>
        <v>Mid-age</v>
      </c>
    </row>
    <row r="946" spans="1:10">
      <c r="A946" s="2">
        <v>24121411</v>
      </c>
      <c r="B946" s="2">
        <v>2412141101</v>
      </c>
      <c r="C946" s="2">
        <v>1</v>
      </c>
      <c r="D946" s="2">
        <v>2022</v>
      </c>
      <c r="E946" s="2">
        <v>1</v>
      </c>
      <c r="F946" s="2">
        <v>252.96</v>
      </c>
      <c r="G946" s="2">
        <v>113.84</v>
      </c>
      <c r="H946" s="2" t="str">
        <f>VLOOKUP(qhkz_4dqm[[#This Row],[fuel_type]],lookup!A:B,2,FALSE)</f>
        <v>Gasoline</v>
      </c>
      <c r="I946" s="2">
        <f ca="1">YEAR(TODAY())-qhkz_4dqm[[#This Row],[year]]</f>
        <v>4</v>
      </c>
      <c r="J946" s="2" t="str" cm="1">
        <f t="array" aca="1" ref="J946" ca="1">_xlfn.IFS(qhkz_4dqm[[#This Row],[vehicle_age]]&lt;=3,"Newer",qhkz_4dqm[[#This Row],[vehicle_age]]&lt;=9,"Mid-age",qhkz_4dqm[[#This Row],[vehicle_age]]&lt;=19,"Older",qhkz_4dqm[[#This Row],[vehicle_age]]&gt;=20,"Very Old")</f>
        <v>Mid-age</v>
      </c>
    </row>
    <row r="947" spans="1:10">
      <c r="A947" s="2">
        <v>24121533</v>
      </c>
      <c r="B947" s="2">
        <v>2412153301</v>
      </c>
      <c r="C947" s="2">
        <v>1</v>
      </c>
      <c r="D947" s="2">
        <v>2013</v>
      </c>
      <c r="E947" s="2">
        <v>1</v>
      </c>
      <c r="F947" s="2">
        <v>259.67</v>
      </c>
      <c r="G947" s="2">
        <v>312.18</v>
      </c>
      <c r="H947" s="2" t="str">
        <f>VLOOKUP(qhkz_4dqm[[#This Row],[fuel_type]],lookup!A:B,2,FALSE)</f>
        <v>Gasoline</v>
      </c>
      <c r="I947" s="2">
        <f ca="1">YEAR(TODAY())-qhkz_4dqm[[#This Row],[year]]</f>
        <v>13</v>
      </c>
      <c r="J947" s="2" t="str" cm="1">
        <f t="array" aca="1" ref="J947" ca="1">_xlfn.IFS(qhkz_4dqm[[#This Row],[vehicle_age]]&lt;=3,"Newer",qhkz_4dqm[[#This Row],[vehicle_age]]&lt;=9,"Mid-age",qhkz_4dqm[[#This Row],[vehicle_age]]&lt;=19,"Older",qhkz_4dqm[[#This Row],[vehicle_age]]&gt;=20,"Very Old")</f>
        <v>Older</v>
      </c>
    </row>
    <row r="948" spans="1:10">
      <c r="A948" s="2">
        <v>24121759</v>
      </c>
      <c r="B948" s="2">
        <v>2412175901</v>
      </c>
      <c r="C948" s="2">
        <v>1</v>
      </c>
      <c r="D948" s="2">
        <v>2010</v>
      </c>
      <c r="E948" s="2">
        <v>1</v>
      </c>
      <c r="F948" s="2">
        <v>44.57</v>
      </c>
      <c r="G948" s="2">
        <v>190.9</v>
      </c>
      <c r="H948" s="2" t="str">
        <f>VLOOKUP(qhkz_4dqm[[#This Row],[fuel_type]],lookup!A:B,2,FALSE)</f>
        <v>Gasoline</v>
      </c>
      <c r="I948" s="2">
        <f ca="1">YEAR(TODAY())-qhkz_4dqm[[#This Row],[year]]</f>
        <v>16</v>
      </c>
      <c r="J948" s="2" t="str" cm="1">
        <f t="array" aca="1" ref="J948" ca="1">_xlfn.IFS(qhkz_4dqm[[#This Row],[vehicle_age]]&lt;=3,"Newer",qhkz_4dqm[[#This Row],[vehicle_age]]&lt;=9,"Mid-age",qhkz_4dqm[[#This Row],[vehicle_age]]&lt;=19,"Older",qhkz_4dqm[[#This Row],[vehicle_age]]&gt;=20,"Very Old")</f>
        <v>Older</v>
      </c>
    </row>
    <row r="949" spans="1:10">
      <c r="A949" s="2">
        <v>24121899</v>
      </c>
      <c r="B949" s="2">
        <v>2412189901</v>
      </c>
      <c r="C949" s="2">
        <v>1</v>
      </c>
      <c r="D949" s="2">
        <v>2013</v>
      </c>
      <c r="E949" s="2">
        <v>1</v>
      </c>
      <c r="F949" s="2">
        <v>1210.8399999999999</v>
      </c>
      <c r="G949" s="2">
        <v>1173.9100000000001</v>
      </c>
      <c r="H949" s="2" t="str">
        <f>VLOOKUP(qhkz_4dqm[[#This Row],[fuel_type]],lookup!A:B,2,FALSE)</f>
        <v>Gasoline</v>
      </c>
      <c r="I949" s="2">
        <f ca="1">YEAR(TODAY())-qhkz_4dqm[[#This Row],[year]]</f>
        <v>13</v>
      </c>
      <c r="J949" s="2" t="str" cm="1">
        <f t="array" aca="1" ref="J949" ca="1">_xlfn.IFS(qhkz_4dqm[[#This Row],[vehicle_age]]&lt;=3,"Newer",qhkz_4dqm[[#This Row],[vehicle_age]]&lt;=9,"Mid-age",qhkz_4dqm[[#This Row],[vehicle_age]]&lt;=19,"Older",qhkz_4dqm[[#This Row],[vehicle_age]]&gt;=20,"Very Old")</f>
        <v>Older</v>
      </c>
    </row>
    <row r="950" spans="1:10">
      <c r="A950" s="2">
        <v>24121919</v>
      </c>
      <c r="B950" s="2">
        <v>2412191901</v>
      </c>
      <c r="C950" s="2">
        <v>1</v>
      </c>
      <c r="D950" s="2">
        <v>2017</v>
      </c>
      <c r="E950" s="2">
        <v>1</v>
      </c>
      <c r="F950" s="2">
        <v>259.67</v>
      </c>
      <c r="G950" s="2">
        <v>312.18</v>
      </c>
      <c r="H950" s="2" t="str">
        <f>VLOOKUP(qhkz_4dqm[[#This Row],[fuel_type]],lookup!A:B,2,FALSE)</f>
        <v>Gasoline</v>
      </c>
      <c r="I950" s="2">
        <f ca="1">YEAR(TODAY())-qhkz_4dqm[[#This Row],[year]]</f>
        <v>9</v>
      </c>
      <c r="J950" s="2" t="str" cm="1">
        <f t="array" aca="1" ref="J950" ca="1">_xlfn.IFS(qhkz_4dqm[[#This Row],[vehicle_age]]&lt;=3,"Newer",qhkz_4dqm[[#This Row],[vehicle_age]]&lt;=9,"Mid-age",qhkz_4dqm[[#This Row],[vehicle_age]]&lt;=19,"Older",qhkz_4dqm[[#This Row],[vehicle_age]]&gt;=20,"Very Old")</f>
        <v>Mid-age</v>
      </c>
    </row>
    <row r="951" spans="1:10">
      <c r="A951" s="2">
        <v>24122636</v>
      </c>
      <c r="B951" s="2">
        <v>2412263601</v>
      </c>
      <c r="C951" s="2">
        <v>1</v>
      </c>
      <c r="D951" s="2">
        <v>2014</v>
      </c>
      <c r="E951" s="2">
        <v>1</v>
      </c>
      <c r="F951" s="2">
        <v>8.84</v>
      </c>
      <c r="G951" s="2">
        <v>71.12</v>
      </c>
      <c r="H951" s="2" t="str">
        <f>VLOOKUP(qhkz_4dqm[[#This Row],[fuel_type]],lookup!A:B,2,FALSE)</f>
        <v>Gasoline</v>
      </c>
      <c r="I951" s="2">
        <f ca="1">YEAR(TODAY())-qhkz_4dqm[[#This Row],[year]]</f>
        <v>12</v>
      </c>
      <c r="J951" s="2" t="str" cm="1">
        <f t="array" aca="1" ref="J951" ca="1">_xlfn.IFS(qhkz_4dqm[[#This Row],[vehicle_age]]&lt;=3,"Newer",qhkz_4dqm[[#This Row],[vehicle_age]]&lt;=9,"Mid-age",qhkz_4dqm[[#This Row],[vehicle_age]]&lt;=19,"Older",qhkz_4dqm[[#This Row],[vehicle_age]]&gt;=20,"Very Old")</f>
        <v>Older</v>
      </c>
    </row>
    <row r="952" spans="1:10">
      <c r="A952" s="2">
        <v>24122697</v>
      </c>
      <c r="B952" s="2">
        <v>2412269701</v>
      </c>
      <c r="C952" s="2">
        <v>1</v>
      </c>
      <c r="D952" s="2">
        <v>2009</v>
      </c>
      <c r="E952" s="2">
        <v>1</v>
      </c>
      <c r="F952" s="2">
        <v>254.85</v>
      </c>
      <c r="G952" s="2">
        <v>214.93</v>
      </c>
      <c r="H952" s="2" t="str">
        <f>VLOOKUP(qhkz_4dqm[[#This Row],[fuel_type]],lookup!A:B,2,FALSE)</f>
        <v>Gasoline</v>
      </c>
      <c r="I952" s="2">
        <f ca="1">YEAR(TODAY())-qhkz_4dqm[[#This Row],[year]]</f>
        <v>17</v>
      </c>
      <c r="J952" s="2" t="str" cm="1">
        <f t="array" aca="1" ref="J952" ca="1">_xlfn.IFS(qhkz_4dqm[[#This Row],[vehicle_age]]&lt;=3,"Newer",qhkz_4dqm[[#This Row],[vehicle_age]]&lt;=9,"Mid-age",qhkz_4dqm[[#This Row],[vehicle_age]]&lt;=19,"Older",qhkz_4dqm[[#This Row],[vehicle_age]]&gt;=20,"Very Old")</f>
        <v>Older</v>
      </c>
    </row>
    <row r="953" spans="1:10">
      <c r="A953" s="2">
        <v>24122706</v>
      </c>
      <c r="B953" s="2">
        <v>2412270601</v>
      </c>
      <c r="C953" s="2">
        <v>1</v>
      </c>
      <c r="D953" s="2">
        <v>2016</v>
      </c>
      <c r="E953" s="2">
        <v>1</v>
      </c>
      <c r="F953" s="2">
        <v>1414.11</v>
      </c>
      <c r="G953" s="2">
        <v>1526.32</v>
      </c>
      <c r="H953" s="2" t="str">
        <f>VLOOKUP(qhkz_4dqm[[#This Row],[fuel_type]],lookup!A:B,2,FALSE)</f>
        <v>Gasoline</v>
      </c>
      <c r="I953" s="2">
        <f ca="1">YEAR(TODAY())-qhkz_4dqm[[#This Row],[year]]</f>
        <v>10</v>
      </c>
      <c r="J953" s="2" t="str" cm="1">
        <f t="array" aca="1" ref="J953" ca="1">_xlfn.IFS(qhkz_4dqm[[#This Row],[vehicle_age]]&lt;=3,"Newer",qhkz_4dqm[[#This Row],[vehicle_age]]&lt;=9,"Mid-age",qhkz_4dqm[[#This Row],[vehicle_age]]&lt;=19,"Older",qhkz_4dqm[[#This Row],[vehicle_age]]&gt;=20,"Very Old")</f>
        <v>Older</v>
      </c>
    </row>
    <row r="954" spans="1:10">
      <c r="A954" s="2">
        <v>24122829</v>
      </c>
      <c r="B954" s="2">
        <v>2412282901</v>
      </c>
      <c r="C954" s="2">
        <v>1</v>
      </c>
      <c r="D954" s="2">
        <v>2010</v>
      </c>
      <c r="E954" s="2">
        <v>1</v>
      </c>
      <c r="F954" s="2">
        <v>138.13999999999999</v>
      </c>
      <c r="G954" s="2">
        <v>276.76</v>
      </c>
      <c r="H954" s="2" t="str">
        <f>VLOOKUP(qhkz_4dqm[[#This Row],[fuel_type]],lookup!A:B,2,FALSE)</f>
        <v>Gasoline</v>
      </c>
      <c r="I954" s="2">
        <f ca="1">YEAR(TODAY())-qhkz_4dqm[[#This Row],[year]]</f>
        <v>16</v>
      </c>
      <c r="J954" s="2" t="str" cm="1">
        <f t="array" aca="1" ref="J954" ca="1">_xlfn.IFS(qhkz_4dqm[[#This Row],[vehicle_age]]&lt;=3,"Newer",qhkz_4dqm[[#This Row],[vehicle_age]]&lt;=9,"Mid-age",qhkz_4dqm[[#This Row],[vehicle_age]]&lt;=19,"Older",qhkz_4dqm[[#This Row],[vehicle_age]]&gt;=20,"Very Old")</f>
        <v>Older</v>
      </c>
    </row>
    <row r="955" spans="1:10">
      <c r="A955" s="2">
        <v>24123077</v>
      </c>
      <c r="B955" s="2">
        <v>2412307701</v>
      </c>
      <c r="C955" s="2">
        <v>1</v>
      </c>
      <c r="D955" s="2">
        <v>2007</v>
      </c>
      <c r="E955" s="2">
        <v>1</v>
      </c>
      <c r="F955" s="2">
        <v>170.2</v>
      </c>
      <c r="G955" s="2">
        <v>225.61</v>
      </c>
      <c r="H955" s="2" t="str">
        <f>VLOOKUP(qhkz_4dqm[[#This Row],[fuel_type]],lookup!A:B,2,FALSE)</f>
        <v>Gasoline</v>
      </c>
      <c r="I955" s="2">
        <f ca="1">YEAR(TODAY())-qhkz_4dqm[[#This Row],[year]]</f>
        <v>19</v>
      </c>
      <c r="J955" s="2" t="str" cm="1">
        <f t="array" aca="1" ref="J955" ca="1">_xlfn.IFS(qhkz_4dqm[[#This Row],[vehicle_age]]&lt;=3,"Newer",qhkz_4dqm[[#This Row],[vehicle_age]]&lt;=9,"Mid-age",qhkz_4dqm[[#This Row],[vehicle_age]]&lt;=19,"Older",qhkz_4dqm[[#This Row],[vehicle_age]]&gt;=20,"Very Old")</f>
        <v>Older</v>
      </c>
    </row>
    <row r="956" spans="1:10">
      <c r="A956" s="2">
        <v>24123119</v>
      </c>
      <c r="B956" s="2">
        <v>2412311901</v>
      </c>
      <c r="C956" s="2">
        <v>1</v>
      </c>
      <c r="D956" s="2">
        <v>2018</v>
      </c>
      <c r="E956" s="2">
        <v>1</v>
      </c>
      <c r="F956" s="2">
        <v>634.89</v>
      </c>
      <c r="G956" s="2">
        <v>1159.3599999999999</v>
      </c>
      <c r="H956" s="2" t="str">
        <f>VLOOKUP(qhkz_4dqm[[#This Row],[fuel_type]],lookup!A:B,2,FALSE)</f>
        <v>Gasoline</v>
      </c>
      <c r="I956" s="2">
        <f ca="1">YEAR(TODAY())-qhkz_4dqm[[#This Row],[year]]</f>
        <v>8</v>
      </c>
      <c r="J956" s="2" t="str" cm="1">
        <f t="array" aca="1" ref="J956" ca="1">_xlfn.IFS(qhkz_4dqm[[#This Row],[vehicle_age]]&lt;=3,"Newer",qhkz_4dqm[[#This Row],[vehicle_age]]&lt;=9,"Mid-age",qhkz_4dqm[[#This Row],[vehicle_age]]&lt;=19,"Older",qhkz_4dqm[[#This Row],[vehicle_age]]&gt;=20,"Very Old")</f>
        <v>Mid-age</v>
      </c>
    </row>
    <row r="957" spans="1:10">
      <c r="A957" s="2">
        <v>24123291</v>
      </c>
      <c r="B957" s="2">
        <v>2412329101</v>
      </c>
      <c r="C957" s="2">
        <v>1</v>
      </c>
      <c r="D957" s="2">
        <v>2012</v>
      </c>
      <c r="E957" s="2">
        <v>2</v>
      </c>
      <c r="F957" s="2">
        <v>22.38</v>
      </c>
      <c r="G957" s="2">
        <v>181.96</v>
      </c>
      <c r="H957" s="2" t="str">
        <f>VLOOKUP(qhkz_4dqm[[#This Row],[fuel_type]],lookup!A:B,2,FALSE)</f>
        <v>Diesel</v>
      </c>
      <c r="I957" s="2">
        <f ca="1">YEAR(TODAY())-qhkz_4dqm[[#This Row],[year]]</f>
        <v>14</v>
      </c>
      <c r="J957" s="2" t="str" cm="1">
        <f t="array" aca="1" ref="J957" ca="1">_xlfn.IFS(qhkz_4dqm[[#This Row],[vehicle_age]]&lt;=3,"Newer",qhkz_4dqm[[#This Row],[vehicle_age]]&lt;=9,"Mid-age",qhkz_4dqm[[#This Row],[vehicle_age]]&lt;=19,"Older",qhkz_4dqm[[#This Row],[vehicle_age]]&gt;=20,"Very Old")</f>
        <v>Older</v>
      </c>
    </row>
    <row r="958" spans="1:10">
      <c r="A958" s="2">
        <v>24124219</v>
      </c>
      <c r="B958" s="2">
        <v>2412421901</v>
      </c>
      <c r="C958" s="2">
        <v>1</v>
      </c>
      <c r="D958" s="2">
        <v>2013</v>
      </c>
      <c r="E958" s="2">
        <v>1</v>
      </c>
      <c r="F958" s="2">
        <v>342.89</v>
      </c>
      <c r="G958" s="2">
        <v>1426.85</v>
      </c>
      <c r="H958" s="2" t="str">
        <f>VLOOKUP(qhkz_4dqm[[#This Row],[fuel_type]],lookup!A:B,2,FALSE)</f>
        <v>Gasoline</v>
      </c>
      <c r="I958" s="2">
        <f ca="1">YEAR(TODAY())-qhkz_4dqm[[#This Row],[year]]</f>
        <v>13</v>
      </c>
      <c r="J958" s="2" t="str" cm="1">
        <f t="array" aca="1" ref="J958" ca="1">_xlfn.IFS(qhkz_4dqm[[#This Row],[vehicle_age]]&lt;=3,"Newer",qhkz_4dqm[[#This Row],[vehicle_age]]&lt;=9,"Mid-age",qhkz_4dqm[[#This Row],[vehicle_age]]&lt;=19,"Older",qhkz_4dqm[[#This Row],[vehicle_age]]&gt;=20,"Very Old")</f>
        <v>Older</v>
      </c>
    </row>
    <row r="959" spans="1:10">
      <c r="A959" s="2">
        <v>24124325</v>
      </c>
      <c r="B959" s="2">
        <v>2412432501</v>
      </c>
      <c r="C959" s="2">
        <v>1</v>
      </c>
      <c r="D959" s="2">
        <v>2019</v>
      </c>
      <c r="E959" s="2">
        <v>1</v>
      </c>
      <c r="F959" s="2">
        <v>62.88</v>
      </c>
      <c r="G959" s="2">
        <v>309.66000000000003</v>
      </c>
      <c r="H959" s="2" t="str">
        <f>VLOOKUP(qhkz_4dqm[[#This Row],[fuel_type]],lookup!A:B,2,FALSE)</f>
        <v>Gasoline</v>
      </c>
      <c r="I959" s="2">
        <f ca="1">YEAR(TODAY())-qhkz_4dqm[[#This Row],[year]]</f>
        <v>7</v>
      </c>
      <c r="J959" s="2" t="str" cm="1">
        <f t="array" aca="1" ref="J959" ca="1">_xlfn.IFS(qhkz_4dqm[[#This Row],[vehicle_age]]&lt;=3,"Newer",qhkz_4dqm[[#This Row],[vehicle_age]]&lt;=9,"Mid-age",qhkz_4dqm[[#This Row],[vehicle_age]]&lt;=19,"Older",qhkz_4dqm[[#This Row],[vehicle_age]]&gt;=20,"Very Old")</f>
        <v>Mid-age</v>
      </c>
    </row>
    <row r="960" spans="1:10">
      <c r="A960" s="2">
        <v>24124376</v>
      </c>
      <c r="B960" s="2">
        <v>2412437601</v>
      </c>
      <c r="C960" s="2">
        <v>1</v>
      </c>
      <c r="D960" s="2">
        <v>2011</v>
      </c>
      <c r="E960" s="2">
        <v>1</v>
      </c>
      <c r="F960" s="2">
        <v>1129.03</v>
      </c>
      <c r="G960" s="2">
        <v>1037.18</v>
      </c>
      <c r="H960" s="2" t="str">
        <f>VLOOKUP(qhkz_4dqm[[#This Row],[fuel_type]],lookup!A:B,2,FALSE)</f>
        <v>Gasoline</v>
      </c>
      <c r="I960" s="2">
        <f ca="1">YEAR(TODAY())-qhkz_4dqm[[#This Row],[year]]</f>
        <v>15</v>
      </c>
      <c r="J960" s="2" t="str" cm="1">
        <f t="array" aca="1" ref="J960" ca="1">_xlfn.IFS(qhkz_4dqm[[#This Row],[vehicle_age]]&lt;=3,"Newer",qhkz_4dqm[[#This Row],[vehicle_age]]&lt;=9,"Mid-age",qhkz_4dqm[[#This Row],[vehicle_age]]&lt;=19,"Older",qhkz_4dqm[[#This Row],[vehicle_age]]&gt;=20,"Very Old")</f>
        <v>Older</v>
      </c>
    </row>
    <row r="961" spans="1:10">
      <c r="A961" s="2">
        <v>24124409</v>
      </c>
      <c r="B961" s="2">
        <v>2412440901</v>
      </c>
      <c r="C961" s="2">
        <v>1</v>
      </c>
      <c r="D961" s="2">
        <v>2015</v>
      </c>
      <c r="E961" s="2">
        <v>1</v>
      </c>
      <c r="F961" s="2">
        <v>354.34</v>
      </c>
      <c r="G961" s="2">
        <v>621.16999999999996</v>
      </c>
      <c r="H961" s="2" t="str">
        <f>VLOOKUP(qhkz_4dqm[[#This Row],[fuel_type]],lookup!A:B,2,FALSE)</f>
        <v>Gasoline</v>
      </c>
      <c r="I961" s="2">
        <f ca="1">YEAR(TODAY())-qhkz_4dqm[[#This Row],[year]]</f>
        <v>11</v>
      </c>
      <c r="J961" s="2" t="str" cm="1">
        <f t="array" aca="1" ref="J961" ca="1">_xlfn.IFS(qhkz_4dqm[[#This Row],[vehicle_age]]&lt;=3,"Newer",qhkz_4dqm[[#This Row],[vehicle_age]]&lt;=9,"Mid-age",qhkz_4dqm[[#This Row],[vehicle_age]]&lt;=19,"Older",qhkz_4dqm[[#This Row],[vehicle_age]]&gt;=20,"Very Old")</f>
        <v>Older</v>
      </c>
    </row>
    <row r="962" spans="1:10">
      <c r="A962" s="2">
        <v>24124448</v>
      </c>
      <c r="B962" s="2">
        <v>2412444801</v>
      </c>
      <c r="C962" s="2">
        <v>1</v>
      </c>
      <c r="D962" s="2">
        <v>2016</v>
      </c>
      <c r="E962" s="2">
        <v>1</v>
      </c>
      <c r="F962" s="2">
        <v>31.14</v>
      </c>
      <c r="G962" s="2">
        <v>47.39</v>
      </c>
      <c r="H962" s="2" t="str">
        <f>VLOOKUP(qhkz_4dqm[[#This Row],[fuel_type]],lookup!A:B,2,FALSE)</f>
        <v>Gasoline</v>
      </c>
      <c r="I962" s="2">
        <f ca="1">YEAR(TODAY())-qhkz_4dqm[[#This Row],[year]]</f>
        <v>10</v>
      </c>
      <c r="J962" s="2" t="str" cm="1">
        <f t="array" aca="1" ref="J962" ca="1">_xlfn.IFS(qhkz_4dqm[[#This Row],[vehicle_age]]&lt;=3,"Newer",qhkz_4dqm[[#This Row],[vehicle_age]]&lt;=9,"Mid-age",qhkz_4dqm[[#This Row],[vehicle_age]]&lt;=19,"Older",qhkz_4dqm[[#This Row],[vehicle_age]]&gt;=20,"Very Old")</f>
        <v>Older</v>
      </c>
    </row>
    <row r="963" spans="1:10">
      <c r="A963" s="2">
        <v>24124489</v>
      </c>
      <c r="B963" s="2">
        <v>2412448901</v>
      </c>
      <c r="C963" s="2">
        <v>1</v>
      </c>
      <c r="D963" s="2">
        <v>2022</v>
      </c>
      <c r="E963" s="2">
        <v>1</v>
      </c>
      <c r="F963" s="2">
        <v>285.75</v>
      </c>
      <c r="G963" s="2">
        <v>310.2</v>
      </c>
      <c r="H963" s="2" t="str">
        <f>VLOOKUP(qhkz_4dqm[[#This Row],[fuel_type]],lookup!A:B,2,FALSE)</f>
        <v>Gasoline</v>
      </c>
      <c r="I963" s="2">
        <f ca="1">YEAR(TODAY())-qhkz_4dqm[[#This Row],[year]]</f>
        <v>4</v>
      </c>
      <c r="J963" s="2" t="str" cm="1">
        <f t="array" aca="1" ref="J963" ca="1">_xlfn.IFS(qhkz_4dqm[[#This Row],[vehicle_age]]&lt;=3,"Newer",qhkz_4dqm[[#This Row],[vehicle_age]]&lt;=9,"Mid-age",qhkz_4dqm[[#This Row],[vehicle_age]]&lt;=19,"Older",qhkz_4dqm[[#This Row],[vehicle_age]]&gt;=20,"Very Old")</f>
        <v>Mid-age</v>
      </c>
    </row>
    <row r="964" spans="1:10">
      <c r="A964" s="2">
        <v>24124565</v>
      </c>
      <c r="B964" s="2">
        <v>2412456501</v>
      </c>
      <c r="C964" s="2">
        <v>1</v>
      </c>
      <c r="D964" s="2">
        <v>2018</v>
      </c>
      <c r="E964" s="2">
        <v>1</v>
      </c>
      <c r="F964" s="2">
        <v>253.14</v>
      </c>
      <c r="G964" s="2">
        <v>286.52</v>
      </c>
      <c r="H964" s="2" t="str">
        <f>VLOOKUP(qhkz_4dqm[[#This Row],[fuel_type]],lookup!A:B,2,FALSE)</f>
        <v>Gasoline</v>
      </c>
      <c r="I964" s="2">
        <f ca="1">YEAR(TODAY())-qhkz_4dqm[[#This Row],[year]]</f>
        <v>8</v>
      </c>
      <c r="J964" s="2" t="str" cm="1">
        <f t="array" aca="1" ref="J964" ca="1">_xlfn.IFS(qhkz_4dqm[[#This Row],[vehicle_age]]&lt;=3,"Newer",qhkz_4dqm[[#This Row],[vehicle_age]]&lt;=9,"Mid-age",qhkz_4dqm[[#This Row],[vehicle_age]]&lt;=19,"Older",qhkz_4dqm[[#This Row],[vehicle_age]]&gt;=20,"Very Old")</f>
        <v>Mid-age</v>
      </c>
    </row>
    <row r="965" spans="1:10">
      <c r="A965" s="2">
        <v>24124603</v>
      </c>
      <c r="B965" s="2">
        <v>2412460301</v>
      </c>
      <c r="C965" s="2">
        <v>1</v>
      </c>
      <c r="D965" s="2">
        <v>2018</v>
      </c>
      <c r="E965" s="2">
        <v>1</v>
      </c>
      <c r="F965" s="2">
        <v>2663.27</v>
      </c>
      <c r="G965" s="2">
        <v>2111.6999999999998</v>
      </c>
      <c r="H965" s="2" t="str">
        <f>VLOOKUP(qhkz_4dqm[[#This Row],[fuel_type]],lookup!A:B,2,FALSE)</f>
        <v>Gasoline</v>
      </c>
      <c r="I965" s="2">
        <f ca="1">YEAR(TODAY())-qhkz_4dqm[[#This Row],[year]]</f>
        <v>8</v>
      </c>
      <c r="J965" s="2" t="str" cm="1">
        <f t="array" aca="1" ref="J965" ca="1">_xlfn.IFS(qhkz_4dqm[[#This Row],[vehicle_age]]&lt;=3,"Newer",qhkz_4dqm[[#This Row],[vehicle_age]]&lt;=9,"Mid-age",qhkz_4dqm[[#This Row],[vehicle_age]]&lt;=19,"Older",qhkz_4dqm[[#This Row],[vehicle_age]]&gt;=20,"Very Old")</f>
        <v>Mid-age</v>
      </c>
    </row>
    <row r="966" spans="1:10">
      <c r="A966" s="2">
        <v>24125310</v>
      </c>
      <c r="B966" s="2">
        <v>2412531001</v>
      </c>
      <c r="C966" s="2">
        <v>1</v>
      </c>
      <c r="D966" s="2">
        <v>2022</v>
      </c>
      <c r="E966" s="2">
        <v>1</v>
      </c>
      <c r="F966" s="2">
        <v>807.22</v>
      </c>
      <c r="G966" s="2">
        <v>1595.39</v>
      </c>
      <c r="H966" s="2" t="str">
        <f>VLOOKUP(qhkz_4dqm[[#This Row],[fuel_type]],lookup!A:B,2,FALSE)</f>
        <v>Gasoline</v>
      </c>
      <c r="I966" s="2">
        <f ca="1">YEAR(TODAY())-qhkz_4dqm[[#This Row],[year]]</f>
        <v>4</v>
      </c>
      <c r="J966" s="2" t="str" cm="1">
        <f t="array" aca="1" ref="J966" ca="1">_xlfn.IFS(qhkz_4dqm[[#This Row],[vehicle_age]]&lt;=3,"Newer",qhkz_4dqm[[#This Row],[vehicle_age]]&lt;=9,"Mid-age",qhkz_4dqm[[#This Row],[vehicle_age]]&lt;=19,"Older",qhkz_4dqm[[#This Row],[vehicle_age]]&gt;=20,"Very Old")</f>
        <v>Mid-age</v>
      </c>
    </row>
    <row r="967" spans="1:10">
      <c r="A967" s="2">
        <v>24125326</v>
      </c>
      <c r="B967" s="2">
        <v>2412532601</v>
      </c>
      <c r="C967" s="2">
        <v>1</v>
      </c>
      <c r="D967" s="2">
        <v>2009</v>
      </c>
      <c r="E967" s="2">
        <v>1</v>
      </c>
      <c r="F967" s="2">
        <v>834.99</v>
      </c>
      <c r="G967" s="2">
        <v>1204.19</v>
      </c>
      <c r="H967" s="2" t="str">
        <f>VLOOKUP(qhkz_4dqm[[#This Row],[fuel_type]],lookup!A:B,2,FALSE)</f>
        <v>Gasoline</v>
      </c>
      <c r="I967" s="2">
        <f ca="1">YEAR(TODAY())-qhkz_4dqm[[#This Row],[year]]</f>
        <v>17</v>
      </c>
      <c r="J967" s="2" t="str" cm="1">
        <f t="array" aca="1" ref="J967" ca="1">_xlfn.IFS(qhkz_4dqm[[#This Row],[vehicle_age]]&lt;=3,"Newer",qhkz_4dqm[[#This Row],[vehicle_age]]&lt;=9,"Mid-age",qhkz_4dqm[[#This Row],[vehicle_age]]&lt;=19,"Older",qhkz_4dqm[[#This Row],[vehicle_age]]&gt;=20,"Very Old")</f>
        <v>Older</v>
      </c>
    </row>
    <row r="968" spans="1:10">
      <c r="A968" s="2">
        <v>24125529</v>
      </c>
      <c r="B968" s="2">
        <v>2412552901</v>
      </c>
      <c r="C968" s="2">
        <v>1</v>
      </c>
      <c r="D968" s="2">
        <v>2007</v>
      </c>
      <c r="E968" s="2">
        <v>1</v>
      </c>
      <c r="F968" s="2">
        <v>363.46</v>
      </c>
      <c r="G968" s="2">
        <v>593.41999999999996</v>
      </c>
      <c r="H968" s="2" t="str">
        <f>VLOOKUP(qhkz_4dqm[[#This Row],[fuel_type]],lookup!A:B,2,FALSE)</f>
        <v>Gasoline</v>
      </c>
      <c r="I968" s="2">
        <f ca="1">YEAR(TODAY())-qhkz_4dqm[[#This Row],[year]]</f>
        <v>19</v>
      </c>
      <c r="J968" s="2" t="str" cm="1">
        <f t="array" aca="1" ref="J968" ca="1">_xlfn.IFS(qhkz_4dqm[[#This Row],[vehicle_age]]&lt;=3,"Newer",qhkz_4dqm[[#This Row],[vehicle_age]]&lt;=9,"Mid-age",qhkz_4dqm[[#This Row],[vehicle_age]]&lt;=19,"Older",qhkz_4dqm[[#This Row],[vehicle_age]]&gt;=20,"Very Old")</f>
        <v>Older</v>
      </c>
    </row>
    <row r="969" spans="1:10">
      <c r="A969" s="2">
        <v>24125672</v>
      </c>
      <c r="B969" s="2">
        <v>2412567201</v>
      </c>
      <c r="C969" s="2">
        <v>1</v>
      </c>
      <c r="D969" s="2">
        <v>2017</v>
      </c>
      <c r="E969" s="2">
        <v>1</v>
      </c>
      <c r="F969" s="2">
        <v>27.78</v>
      </c>
      <c r="G969" s="2">
        <v>546.82000000000005</v>
      </c>
      <c r="H969" s="2" t="str">
        <f>VLOOKUP(qhkz_4dqm[[#This Row],[fuel_type]],lookup!A:B,2,FALSE)</f>
        <v>Gasoline</v>
      </c>
      <c r="I969" s="2">
        <f ca="1">YEAR(TODAY())-qhkz_4dqm[[#This Row],[year]]</f>
        <v>9</v>
      </c>
      <c r="J969" s="2" t="str" cm="1">
        <f t="array" aca="1" ref="J969" ca="1">_xlfn.IFS(qhkz_4dqm[[#This Row],[vehicle_age]]&lt;=3,"Newer",qhkz_4dqm[[#This Row],[vehicle_age]]&lt;=9,"Mid-age",qhkz_4dqm[[#This Row],[vehicle_age]]&lt;=19,"Older",qhkz_4dqm[[#This Row],[vehicle_age]]&gt;=20,"Very Old")</f>
        <v>Mid-age</v>
      </c>
    </row>
    <row r="970" spans="1:10">
      <c r="A970" s="2">
        <v>24125882</v>
      </c>
      <c r="B970" s="2">
        <v>2412588201</v>
      </c>
      <c r="C970" s="2">
        <v>1</v>
      </c>
      <c r="D970" s="2">
        <v>2008</v>
      </c>
      <c r="E970" s="2">
        <v>1</v>
      </c>
      <c r="F970" s="2">
        <v>753.05</v>
      </c>
      <c r="G970" s="2">
        <v>328.34</v>
      </c>
      <c r="H970" s="2" t="str">
        <f>VLOOKUP(qhkz_4dqm[[#This Row],[fuel_type]],lookup!A:B,2,FALSE)</f>
        <v>Gasoline</v>
      </c>
      <c r="I970" s="2">
        <f ca="1">YEAR(TODAY())-qhkz_4dqm[[#This Row],[year]]</f>
        <v>18</v>
      </c>
      <c r="J970" s="2" t="str" cm="1">
        <f t="array" aca="1" ref="J970" ca="1">_xlfn.IFS(qhkz_4dqm[[#This Row],[vehicle_age]]&lt;=3,"Newer",qhkz_4dqm[[#This Row],[vehicle_age]]&lt;=9,"Mid-age",qhkz_4dqm[[#This Row],[vehicle_age]]&lt;=19,"Older",qhkz_4dqm[[#This Row],[vehicle_age]]&gt;=20,"Very Old")</f>
        <v>Older</v>
      </c>
    </row>
    <row r="971" spans="1:10">
      <c r="A971" s="2">
        <v>24126270</v>
      </c>
      <c r="B971" s="2">
        <v>2412627001</v>
      </c>
      <c r="C971" s="2">
        <v>1</v>
      </c>
      <c r="D971" s="2">
        <v>2016</v>
      </c>
      <c r="E971" s="2">
        <v>1</v>
      </c>
      <c r="F971" s="2">
        <v>1039.22</v>
      </c>
      <c r="G971" s="2">
        <v>1584.02</v>
      </c>
      <c r="H971" s="2" t="str">
        <f>VLOOKUP(qhkz_4dqm[[#This Row],[fuel_type]],lookup!A:B,2,FALSE)</f>
        <v>Gasoline</v>
      </c>
      <c r="I971" s="2">
        <f ca="1">YEAR(TODAY())-qhkz_4dqm[[#This Row],[year]]</f>
        <v>10</v>
      </c>
      <c r="J971" s="2" t="str" cm="1">
        <f t="array" aca="1" ref="J971" ca="1">_xlfn.IFS(qhkz_4dqm[[#This Row],[vehicle_age]]&lt;=3,"Newer",qhkz_4dqm[[#This Row],[vehicle_age]]&lt;=9,"Mid-age",qhkz_4dqm[[#This Row],[vehicle_age]]&lt;=19,"Older",qhkz_4dqm[[#This Row],[vehicle_age]]&gt;=20,"Very Old")</f>
        <v>Older</v>
      </c>
    </row>
    <row r="972" spans="1:10">
      <c r="A972" s="2">
        <v>24126396</v>
      </c>
      <c r="B972" s="2">
        <v>2412639601</v>
      </c>
      <c r="C972" s="2">
        <v>1</v>
      </c>
      <c r="D972" s="2">
        <v>2020</v>
      </c>
      <c r="E972" s="2">
        <v>1</v>
      </c>
      <c r="F972" s="2">
        <v>32.82</v>
      </c>
      <c r="G972" s="2">
        <v>158.19999999999999</v>
      </c>
      <c r="H972" s="2" t="str">
        <f>VLOOKUP(qhkz_4dqm[[#This Row],[fuel_type]],lookup!A:B,2,FALSE)</f>
        <v>Gasoline</v>
      </c>
      <c r="I972" s="2">
        <f ca="1">YEAR(TODAY())-qhkz_4dqm[[#This Row],[year]]</f>
        <v>6</v>
      </c>
      <c r="J972" s="2" t="str" cm="1">
        <f t="array" aca="1" ref="J972" ca="1">_xlfn.IFS(qhkz_4dqm[[#This Row],[vehicle_age]]&lt;=3,"Newer",qhkz_4dqm[[#This Row],[vehicle_age]]&lt;=9,"Mid-age",qhkz_4dqm[[#This Row],[vehicle_age]]&lt;=19,"Older",qhkz_4dqm[[#This Row],[vehicle_age]]&gt;=20,"Very Old")</f>
        <v>Mid-age</v>
      </c>
    </row>
    <row r="973" spans="1:10">
      <c r="A973" s="2">
        <v>24126636</v>
      </c>
      <c r="B973" s="2">
        <v>2412663601</v>
      </c>
      <c r="C973" s="2">
        <v>1</v>
      </c>
      <c r="D973" s="2">
        <v>2005</v>
      </c>
      <c r="E973" s="2">
        <v>1</v>
      </c>
      <c r="F973" s="2">
        <v>2477.13</v>
      </c>
      <c r="G973" s="2">
        <v>2228.69</v>
      </c>
      <c r="H973" s="2" t="str">
        <f>VLOOKUP(qhkz_4dqm[[#This Row],[fuel_type]],lookup!A:B,2,FALSE)</f>
        <v>Gasoline</v>
      </c>
      <c r="I973" s="2">
        <f ca="1">YEAR(TODAY())-qhkz_4dqm[[#This Row],[year]]</f>
        <v>21</v>
      </c>
      <c r="J973" s="2" t="str" cm="1">
        <f t="array" aca="1" ref="J973" ca="1">_xlfn.IFS(qhkz_4dqm[[#This Row],[vehicle_age]]&lt;=3,"Newer",qhkz_4dqm[[#This Row],[vehicle_age]]&lt;=9,"Mid-age",qhkz_4dqm[[#This Row],[vehicle_age]]&lt;=19,"Older",qhkz_4dqm[[#This Row],[vehicle_age]]&gt;=20,"Very Old")</f>
        <v>Very Old</v>
      </c>
    </row>
    <row r="974" spans="1:10">
      <c r="A974" s="2">
        <v>24126875</v>
      </c>
      <c r="B974" s="2">
        <v>2412687501</v>
      </c>
      <c r="C974" s="2">
        <v>1</v>
      </c>
      <c r="D974" s="2">
        <v>2024</v>
      </c>
      <c r="E974" s="2">
        <v>1</v>
      </c>
      <c r="F974" s="2">
        <v>92.08</v>
      </c>
      <c r="G974" s="2">
        <v>484.42</v>
      </c>
      <c r="H974" s="2" t="str">
        <f>VLOOKUP(qhkz_4dqm[[#This Row],[fuel_type]],lookup!A:B,2,FALSE)</f>
        <v>Gasoline</v>
      </c>
      <c r="I974" s="2">
        <f ca="1">YEAR(TODAY())-qhkz_4dqm[[#This Row],[year]]</f>
        <v>2</v>
      </c>
      <c r="J974" s="2" t="str" cm="1">
        <f t="array" aca="1" ref="J974" ca="1">_xlfn.IFS(qhkz_4dqm[[#This Row],[vehicle_age]]&lt;=3,"Newer",qhkz_4dqm[[#This Row],[vehicle_age]]&lt;=9,"Mid-age",qhkz_4dqm[[#This Row],[vehicle_age]]&lt;=19,"Older",qhkz_4dqm[[#This Row],[vehicle_age]]&gt;=20,"Very Old")</f>
        <v>Newer</v>
      </c>
    </row>
    <row r="975" spans="1:10">
      <c r="A975" s="2">
        <v>24127283</v>
      </c>
      <c r="B975" s="2">
        <v>2412728301</v>
      </c>
      <c r="C975" s="2">
        <v>1</v>
      </c>
      <c r="D975" s="2">
        <v>2015</v>
      </c>
      <c r="E975" s="2">
        <v>1</v>
      </c>
      <c r="F975" s="2">
        <v>342.04</v>
      </c>
      <c r="G975" s="2">
        <v>726.3</v>
      </c>
      <c r="H975" s="2" t="str">
        <f>VLOOKUP(qhkz_4dqm[[#This Row],[fuel_type]],lookup!A:B,2,FALSE)</f>
        <v>Gasoline</v>
      </c>
      <c r="I975" s="2">
        <f ca="1">YEAR(TODAY())-qhkz_4dqm[[#This Row],[year]]</f>
        <v>11</v>
      </c>
      <c r="J975" s="2" t="str" cm="1">
        <f t="array" aca="1" ref="J975" ca="1">_xlfn.IFS(qhkz_4dqm[[#This Row],[vehicle_age]]&lt;=3,"Newer",qhkz_4dqm[[#This Row],[vehicle_age]]&lt;=9,"Mid-age",qhkz_4dqm[[#This Row],[vehicle_age]]&lt;=19,"Older",qhkz_4dqm[[#This Row],[vehicle_age]]&gt;=20,"Very Old")</f>
        <v>Older</v>
      </c>
    </row>
    <row r="976" spans="1:10">
      <c r="A976" s="2">
        <v>24127666</v>
      </c>
      <c r="B976" s="2">
        <v>2412766601</v>
      </c>
      <c r="C976" s="2">
        <v>1</v>
      </c>
      <c r="D976" s="2">
        <v>2019</v>
      </c>
      <c r="E976" s="2">
        <v>1</v>
      </c>
      <c r="F976" s="2">
        <v>214.36</v>
      </c>
      <c r="G976" s="2">
        <v>277.31</v>
      </c>
      <c r="H976" s="2" t="str">
        <f>VLOOKUP(qhkz_4dqm[[#This Row],[fuel_type]],lookup!A:B,2,FALSE)</f>
        <v>Gasoline</v>
      </c>
      <c r="I976" s="2">
        <f ca="1">YEAR(TODAY())-qhkz_4dqm[[#This Row],[year]]</f>
        <v>7</v>
      </c>
      <c r="J976" s="2" t="str" cm="1">
        <f t="array" aca="1" ref="J976" ca="1">_xlfn.IFS(qhkz_4dqm[[#This Row],[vehicle_age]]&lt;=3,"Newer",qhkz_4dqm[[#This Row],[vehicle_age]]&lt;=9,"Mid-age",qhkz_4dqm[[#This Row],[vehicle_age]]&lt;=19,"Older",qhkz_4dqm[[#This Row],[vehicle_age]]&gt;=20,"Very Old")</f>
        <v>Mid-age</v>
      </c>
    </row>
    <row r="977" spans="1:10">
      <c r="A977" s="2">
        <v>24128203</v>
      </c>
      <c r="B977" s="2">
        <v>2412820301</v>
      </c>
      <c r="C977" s="2">
        <v>1</v>
      </c>
      <c r="D977" s="2">
        <v>2018</v>
      </c>
      <c r="E977" s="2">
        <v>1</v>
      </c>
      <c r="F977" s="2">
        <v>406.9</v>
      </c>
      <c r="G977" s="2">
        <v>303.64999999999998</v>
      </c>
      <c r="H977" s="2" t="str">
        <f>VLOOKUP(qhkz_4dqm[[#This Row],[fuel_type]],lookup!A:B,2,FALSE)</f>
        <v>Gasoline</v>
      </c>
      <c r="I977" s="2">
        <f ca="1">YEAR(TODAY())-qhkz_4dqm[[#This Row],[year]]</f>
        <v>8</v>
      </c>
      <c r="J977" s="2" t="str" cm="1">
        <f t="array" aca="1" ref="J977" ca="1">_xlfn.IFS(qhkz_4dqm[[#This Row],[vehicle_age]]&lt;=3,"Newer",qhkz_4dqm[[#This Row],[vehicle_age]]&lt;=9,"Mid-age",qhkz_4dqm[[#This Row],[vehicle_age]]&lt;=19,"Older",qhkz_4dqm[[#This Row],[vehicle_age]]&gt;=20,"Very Old")</f>
        <v>Mid-age</v>
      </c>
    </row>
    <row r="978" spans="1:10">
      <c r="A978" s="2">
        <v>24128394</v>
      </c>
      <c r="B978" s="2">
        <v>2412839401</v>
      </c>
      <c r="C978" s="2">
        <v>1</v>
      </c>
      <c r="D978" s="2">
        <v>2003</v>
      </c>
      <c r="E978" s="2">
        <v>1</v>
      </c>
      <c r="F978" s="2">
        <v>24.42</v>
      </c>
      <c r="G978" s="2">
        <v>108.26</v>
      </c>
      <c r="H978" s="2" t="str">
        <f>VLOOKUP(qhkz_4dqm[[#This Row],[fuel_type]],lookup!A:B,2,FALSE)</f>
        <v>Gasoline</v>
      </c>
      <c r="I978" s="2">
        <f ca="1">YEAR(TODAY())-qhkz_4dqm[[#This Row],[year]]</f>
        <v>23</v>
      </c>
      <c r="J978" s="2" t="str" cm="1">
        <f t="array" aca="1" ref="J978" ca="1">_xlfn.IFS(qhkz_4dqm[[#This Row],[vehicle_age]]&lt;=3,"Newer",qhkz_4dqm[[#This Row],[vehicle_age]]&lt;=9,"Mid-age",qhkz_4dqm[[#This Row],[vehicle_age]]&lt;=19,"Older",qhkz_4dqm[[#This Row],[vehicle_age]]&gt;=20,"Very Old")</f>
        <v>Very Old</v>
      </c>
    </row>
    <row r="979" spans="1:10">
      <c r="A979" s="2">
        <v>24128500</v>
      </c>
      <c r="B979" s="2">
        <v>2412850001</v>
      </c>
      <c r="C979" s="2">
        <v>1</v>
      </c>
      <c r="D979" s="2">
        <v>2020</v>
      </c>
      <c r="E979" s="2">
        <v>1</v>
      </c>
      <c r="F979" s="2">
        <v>14.12</v>
      </c>
      <c r="G979" s="2">
        <v>128.66</v>
      </c>
      <c r="H979" s="2" t="str">
        <f>VLOOKUP(qhkz_4dqm[[#This Row],[fuel_type]],lookup!A:B,2,FALSE)</f>
        <v>Gasoline</v>
      </c>
      <c r="I979" s="2">
        <f ca="1">YEAR(TODAY())-qhkz_4dqm[[#This Row],[year]]</f>
        <v>6</v>
      </c>
      <c r="J979" s="2" t="str" cm="1">
        <f t="array" aca="1" ref="J979" ca="1">_xlfn.IFS(qhkz_4dqm[[#This Row],[vehicle_age]]&lt;=3,"Newer",qhkz_4dqm[[#This Row],[vehicle_age]]&lt;=9,"Mid-age",qhkz_4dqm[[#This Row],[vehicle_age]]&lt;=19,"Older",qhkz_4dqm[[#This Row],[vehicle_age]]&gt;=20,"Very Old")</f>
        <v>Mid-age</v>
      </c>
    </row>
    <row r="980" spans="1:10">
      <c r="A980" s="2">
        <v>24128640</v>
      </c>
      <c r="B980" s="2">
        <v>2412864001</v>
      </c>
      <c r="C980" s="2">
        <v>1</v>
      </c>
      <c r="D980" s="2">
        <v>2013</v>
      </c>
      <c r="E980" s="2">
        <v>1</v>
      </c>
      <c r="F980" s="2">
        <v>85.91</v>
      </c>
      <c r="G980" s="2">
        <v>277.47000000000003</v>
      </c>
      <c r="H980" s="2" t="str">
        <f>VLOOKUP(qhkz_4dqm[[#This Row],[fuel_type]],lookup!A:B,2,FALSE)</f>
        <v>Gasoline</v>
      </c>
      <c r="I980" s="2">
        <f ca="1">YEAR(TODAY())-qhkz_4dqm[[#This Row],[year]]</f>
        <v>13</v>
      </c>
      <c r="J980" s="2" t="str" cm="1">
        <f t="array" aca="1" ref="J980" ca="1">_xlfn.IFS(qhkz_4dqm[[#This Row],[vehicle_age]]&lt;=3,"Newer",qhkz_4dqm[[#This Row],[vehicle_age]]&lt;=9,"Mid-age",qhkz_4dqm[[#This Row],[vehicle_age]]&lt;=19,"Older",qhkz_4dqm[[#This Row],[vehicle_age]]&gt;=20,"Very Old")</f>
        <v>Older</v>
      </c>
    </row>
    <row r="981" spans="1:10">
      <c r="A981" s="2">
        <v>24128650</v>
      </c>
      <c r="B981" s="2">
        <v>2412865001</v>
      </c>
      <c r="C981" s="2">
        <v>1</v>
      </c>
      <c r="D981" s="2">
        <v>2024</v>
      </c>
      <c r="E981" s="2">
        <v>1</v>
      </c>
      <c r="F981" s="2">
        <v>810.56</v>
      </c>
      <c r="G981" s="2">
        <v>946.87</v>
      </c>
      <c r="H981" s="2" t="str">
        <f>VLOOKUP(qhkz_4dqm[[#This Row],[fuel_type]],lookup!A:B,2,FALSE)</f>
        <v>Gasoline</v>
      </c>
      <c r="I981" s="2">
        <f ca="1">YEAR(TODAY())-qhkz_4dqm[[#This Row],[year]]</f>
        <v>2</v>
      </c>
      <c r="J981" s="2" t="str" cm="1">
        <f t="array" aca="1" ref="J981" ca="1">_xlfn.IFS(qhkz_4dqm[[#This Row],[vehicle_age]]&lt;=3,"Newer",qhkz_4dqm[[#This Row],[vehicle_age]]&lt;=9,"Mid-age",qhkz_4dqm[[#This Row],[vehicle_age]]&lt;=19,"Older",qhkz_4dqm[[#This Row],[vehicle_age]]&gt;=20,"Very Old")</f>
        <v>Newer</v>
      </c>
    </row>
    <row r="982" spans="1:10">
      <c r="A982" s="2">
        <v>24128806</v>
      </c>
      <c r="B982" s="2">
        <v>2412880601</v>
      </c>
      <c r="C982" s="2">
        <v>1</v>
      </c>
      <c r="D982" s="2">
        <v>2002</v>
      </c>
      <c r="E982" s="2">
        <v>1</v>
      </c>
      <c r="F982" s="2">
        <v>59.64</v>
      </c>
      <c r="G982" s="2">
        <v>135.53</v>
      </c>
      <c r="H982" s="2" t="str">
        <f>VLOOKUP(qhkz_4dqm[[#This Row],[fuel_type]],lookup!A:B,2,FALSE)</f>
        <v>Gasoline</v>
      </c>
      <c r="I982" s="2">
        <f ca="1">YEAR(TODAY())-qhkz_4dqm[[#This Row],[year]]</f>
        <v>24</v>
      </c>
      <c r="J982" s="2" t="str" cm="1">
        <f t="array" aca="1" ref="J982" ca="1">_xlfn.IFS(qhkz_4dqm[[#This Row],[vehicle_age]]&lt;=3,"Newer",qhkz_4dqm[[#This Row],[vehicle_age]]&lt;=9,"Mid-age",qhkz_4dqm[[#This Row],[vehicle_age]]&lt;=19,"Older",qhkz_4dqm[[#This Row],[vehicle_age]]&gt;=20,"Very Old")</f>
        <v>Very Old</v>
      </c>
    </row>
    <row r="983" spans="1:10">
      <c r="A983" s="2">
        <v>24129021</v>
      </c>
      <c r="B983" s="2">
        <v>2412902101</v>
      </c>
      <c r="C983" s="2">
        <v>1</v>
      </c>
      <c r="D983" s="2">
        <v>2020</v>
      </c>
      <c r="E983" s="2">
        <v>1</v>
      </c>
      <c r="F983" s="2">
        <v>18.760000000000002</v>
      </c>
      <c r="G983" s="2">
        <v>104.32</v>
      </c>
      <c r="H983" s="2" t="str">
        <f>VLOOKUP(qhkz_4dqm[[#This Row],[fuel_type]],lookup!A:B,2,FALSE)</f>
        <v>Gasoline</v>
      </c>
      <c r="I983" s="2">
        <f ca="1">YEAR(TODAY())-qhkz_4dqm[[#This Row],[year]]</f>
        <v>6</v>
      </c>
      <c r="J983" s="2" t="str" cm="1">
        <f t="array" aca="1" ref="J983" ca="1">_xlfn.IFS(qhkz_4dqm[[#This Row],[vehicle_age]]&lt;=3,"Newer",qhkz_4dqm[[#This Row],[vehicle_age]]&lt;=9,"Mid-age",qhkz_4dqm[[#This Row],[vehicle_age]]&lt;=19,"Older",qhkz_4dqm[[#This Row],[vehicle_age]]&gt;=20,"Very Old")</f>
        <v>Mid-age</v>
      </c>
    </row>
    <row r="984" spans="1:10">
      <c r="A984" s="2">
        <v>24129160</v>
      </c>
      <c r="B984" s="2">
        <v>2412916001</v>
      </c>
      <c r="C984" s="2">
        <v>1</v>
      </c>
      <c r="D984" s="2">
        <v>2020</v>
      </c>
      <c r="E984" s="2">
        <v>1</v>
      </c>
      <c r="F984" s="2">
        <v>373.77</v>
      </c>
      <c r="G984" s="2">
        <v>465.03</v>
      </c>
      <c r="H984" s="2" t="str">
        <f>VLOOKUP(qhkz_4dqm[[#This Row],[fuel_type]],lookup!A:B,2,FALSE)</f>
        <v>Gasoline</v>
      </c>
      <c r="I984" s="2">
        <f ca="1">YEAR(TODAY())-qhkz_4dqm[[#This Row],[year]]</f>
        <v>6</v>
      </c>
      <c r="J984" s="2" t="str" cm="1">
        <f t="array" aca="1" ref="J984" ca="1">_xlfn.IFS(qhkz_4dqm[[#This Row],[vehicle_age]]&lt;=3,"Newer",qhkz_4dqm[[#This Row],[vehicle_age]]&lt;=9,"Mid-age",qhkz_4dqm[[#This Row],[vehicle_age]]&lt;=19,"Older",qhkz_4dqm[[#This Row],[vehicle_age]]&gt;=20,"Very Old")</f>
        <v>Mid-age</v>
      </c>
    </row>
    <row r="985" spans="1:10">
      <c r="A985" s="2">
        <v>24129391</v>
      </c>
      <c r="B985" s="2">
        <v>2412939101</v>
      </c>
      <c r="C985" s="2">
        <v>1</v>
      </c>
      <c r="D985" s="2">
        <v>2023</v>
      </c>
      <c r="E985" s="2">
        <v>1</v>
      </c>
      <c r="F985" s="2">
        <v>324.99</v>
      </c>
      <c r="G985" s="2">
        <v>382.37</v>
      </c>
      <c r="H985" s="2" t="str">
        <f>VLOOKUP(qhkz_4dqm[[#This Row],[fuel_type]],lookup!A:B,2,FALSE)</f>
        <v>Gasoline</v>
      </c>
      <c r="I985" s="2">
        <f ca="1">YEAR(TODAY())-qhkz_4dqm[[#This Row],[year]]</f>
        <v>3</v>
      </c>
      <c r="J985" s="2" t="str" cm="1">
        <f t="array" aca="1" ref="J985" ca="1">_xlfn.IFS(qhkz_4dqm[[#This Row],[vehicle_age]]&lt;=3,"Newer",qhkz_4dqm[[#This Row],[vehicle_age]]&lt;=9,"Mid-age",qhkz_4dqm[[#This Row],[vehicle_age]]&lt;=19,"Older",qhkz_4dqm[[#This Row],[vehicle_age]]&gt;=20,"Very Old")</f>
        <v>Newer</v>
      </c>
    </row>
    <row r="986" spans="1:10">
      <c r="A986" s="2">
        <v>24129530</v>
      </c>
      <c r="B986" s="2">
        <v>2412953001</v>
      </c>
      <c r="C986" s="2">
        <v>1</v>
      </c>
      <c r="D986" s="2">
        <v>2015</v>
      </c>
      <c r="E986" s="2">
        <v>1</v>
      </c>
      <c r="F986" s="2">
        <v>364.34</v>
      </c>
      <c r="G986" s="2">
        <v>233.07</v>
      </c>
      <c r="H986" s="2" t="str">
        <f>VLOOKUP(qhkz_4dqm[[#This Row],[fuel_type]],lookup!A:B,2,FALSE)</f>
        <v>Gasoline</v>
      </c>
      <c r="I986" s="2">
        <f ca="1">YEAR(TODAY())-qhkz_4dqm[[#This Row],[year]]</f>
        <v>11</v>
      </c>
      <c r="J986" s="2" t="str" cm="1">
        <f t="array" aca="1" ref="J986" ca="1">_xlfn.IFS(qhkz_4dqm[[#This Row],[vehicle_age]]&lt;=3,"Newer",qhkz_4dqm[[#This Row],[vehicle_age]]&lt;=9,"Mid-age",qhkz_4dqm[[#This Row],[vehicle_age]]&lt;=19,"Older",qhkz_4dqm[[#This Row],[vehicle_age]]&gt;=20,"Very Old")</f>
        <v>Older</v>
      </c>
    </row>
    <row r="987" spans="1:10">
      <c r="A987" s="2">
        <v>24129594</v>
      </c>
      <c r="B987" s="2">
        <v>2412959401</v>
      </c>
      <c r="C987" s="2">
        <v>1</v>
      </c>
      <c r="D987" s="2">
        <v>2017</v>
      </c>
      <c r="E987" s="2">
        <v>1</v>
      </c>
      <c r="F987" s="2">
        <v>1480.08</v>
      </c>
      <c r="G987" s="2">
        <v>1337.6</v>
      </c>
      <c r="H987" s="2" t="str">
        <f>VLOOKUP(qhkz_4dqm[[#This Row],[fuel_type]],lookup!A:B,2,FALSE)</f>
        <v>Gasoline</v>
      </c>
      <c r="I987" s="2">
        <f ca="1">YEAR(TODAY())-qhkz_4dqm[[#This Row],[year]]</f>
        <v>9</v>
      </c>
      <c r="J987" s="2" t="str" cm="1">
        <f t="array" aca="1" ref="J987" ca="1">_xlfn.IFS(qhkz_4dqm[[#This Row],[vehicle_age]]&lt;=3,"Newer",qhkz_4dqm[[#This Row],[vehicle_age]]&lt;=9,"Mid-age",qhkz_4dqm[[#This Row],[vehicle_age]]&lt;=19,"Older",qhkz_4dqm[[#This Row],[vehicle_age]]&gt;=20,"Very Old")</f>
        <v>Mid-age</v>
      </c>
    </row>
    <row r="988" spans="1:10">
      <c r="A988" s="2">
        <v>24129801</v>
      </c>
      <c r="B988" s="2">
        <v>2412980101</v>
      </c>
      <c r="C988" s="2">
        <v>1</v>
      </c>
      <c r="D988" s="2">
        <v>2023</v>
      </c>
      <c r="E988" s="2">
        <v>1</v>
      </c>
      <c r="F988" s="2">
        <v>45.18</v>
      </c>
      <c r="G988" s="2">
        <v>250.5</v>
      </c>
      <c r="H988" s="2" t="str">
        <f>VLOOKUP(qhkz_4dqm[[#This Row],[fuel_type]],lookup!A:B,2,FALSE)</f>
        <v>Gasoline</v>
      </c>
      <c r="I988" s="2">
        <f ca="1">YEAR(TODAY())-qhkz_4dqm[[#This Row],[year]]</f>
        <v>3</v>
      </c>
      <c r="J988" s="2" t="str" cm="1">
        <f t="array" aca="1" ref="J988" ca="1">_xlfn.IFS(qhkz_4dqm[[#This Row],[vehicle_age]]&lt;=3,"Newer",qhkz_4dqm[[#This Row],[vehicle_age]]&lt;=9,"Mid-age",qhkz_4dqm[[#This Row],[vehicle_age]]&lt;=19,"Older",qhkz_4dqm[[#This Row],[vehicle_age]]&gt;=20,"Very Old")</f>
        <v>Newer</v>
      </c>
    </row>
    <row r="989" spans="1:10">
      <c r="A989" s="2">
        <v>24129829</v>
      </c>
      <c r="B989" s="2">
        <v>2412982901</v>
      </c>
      <c r="C989" s="2">
        <v>1</v>
      </c>
      <c r="D989" s="2">
        <v>2021</v>
      </c>
      <c r="E989" s="2">
        <v>1</v>
      </c>
      <c r="F989" s="2">
        <v>2474.02</v>
      </c>
      <c r="G989" s="2">
        <v>2359.9</v>
      </c>
      <c r="H989" s="2" t="str">
        <f>VLOOKUP(qhkz_4dqm[[#This Row],[fuel_type]],lookup!A:B,2,FALSE)</f>
        <v>Gasoline</v>
      </c>
      <c r="I989" s="2">
        <f ca="1">YEAR(TODAY())-qhkz_4dqm[[#This Row],[year]]</f>
        <v>5</v>
      </c>
      <c r="J989" s="2" t="str" cm="1">
        <f t="array" aca="1" ref="J989" ca="1">_xlfn.IFS(qhkz_4dqm[[#This Row],[vehicle_age]]&lt;=3,"Newer",qhkz_4dqm[[#This Row],[vehicle_age]]&lt;=9,"Mid-age",qhkz_4dqm[[#This Row],[vehicle_age]]&lt;=19,"Older",qhkz_4dqm[[#This Row],[vehicle_age]]&gt;=20,"Very Old")</f>
        <v>Mid-age</v>
      </c>
    </row>
    <row r="990" spans="1:10">
      <c r="A990" s="2">
        <v>24129854</v>
      </c>
      <c r="B990" s="2">
        <v>2412985401</v>
      </c>
      <c r="C990" s="2">
        <v>1</v>
      </c>
      <c r="D990" s="2">
        <v>2013</v>
      </c>
      <c r="E990" s="2">
        <v>1</v>
      </c>
      <c r="F990" s="2">
        <v>85.12</v>
      </c>
      <c r="G990" s="2">
        <v>263.42</v>
      </c>
      <c r="H990" s="2" t="str">
        <f>VLOOKUP(qhkz_4dqm[[#This Row],[fuel_type]],lookup!A:B,2,FALSE)</f>
        <v>Gasoline</v>
      </c>
      <c r="I990" s="2">
        <f ca="1">YEAR(TODAY())-qhkz_4dqm[[#This Row],[year]]</f>
        <v>13</v>
      </c>
      <c r="J990" s="2" t="str" cm="1">
        <f t="array" aca="1" ref="J990" ca="1">_xlfn.IFS(qhkz_4dqm[[#This Row],[vehicle_age]]&lt;=3,"Newer",qhkz_4dqm[[#This Row],[vehicle_age]]&lt;=9,"Mid-age",qhkz_4dqm[[#This Row],[vehicle_age]]&lt;=19,"Older",qhkz_4dqm[[#This Row],[vehicle_age]]&gt;=20,"Very Old")</f>
        <v>Older</v>
      </c>
    </row>
    <row r="991" spans="1:10">
      <c r="A991" s="2">
        <v>24129971</v>
      </c>
      <c r="B991" s="2">
        <v>2412997101</v>
      </c>
      <c r="C991" s="2">
        <v>1</v>
      </c>
      <c r="D991" s="2">
        <v>2020</v>
      </c>
      <c r="E991" s="2">
        <v>1</v>
      </c>
      <c r="F991" s="2">
        <v>647.97</v>
      </c>
      <c r="G991" s="2">
        <v>312</v>
      </c>
      <c r="H991" s="2" t="str">
        <f>VLOOKUP(qhkz_4dqm[[#This Row],[fuel_type]],lookup!A:B,2,FALSE)</f>
        <v>Gasoline</v>
      </c>
      <c r="I991" s="2">
        <f ca="1">YEAR(TODAY())-qhkz_4dqm[[#This Row],[year]]</f>
        <v>6</v>
      </c>
      <c r="J991" s="2" t="str" cm="1">
        <f t="array" aca="1" ref="J991" ca="1">_xlfn.IFS(qhkz_4dqm[[#This Row],[vehicle_age]]&lt;=3,"Newer",qhkz_4dqm[[#This Row],[vehicle_age]]&lt;=9,"Mid-age",qhkz_4dqm[[#This Row],[vehicle_age]]&lt;=19,"Older",qhkz_4dqm[[#This Row],[vehicle_age]]&gt;=20,"Very Old")</f>
        <v>Mid-age</v>
      </c>
    </row>
    <row r="992" spans="1:10">
      <c r="A992" s="2">
        <v>24130031</v>
      </c>
      <c r="B992" s="2">
        <v>2413003101</v>
      </c>
      <c r="C992" s="2">
        <v>1</v>
      </c>
      <c r="D992" s="2">
        <v>2012</v>
      </c>
      <c r="E992" s="2">
        <v>1</v>
      </c>
      <c r="F992" s="2">
        <v>180.29</v>
      </c>
      <c r="G992" s="2">
        <v>152.47999999999999</v>
      </c>
      <c r="H992" s="2" t="str">
        <f>VLOOKUP(qhkz_4dqm[[#This Row],[fuel_type]],lookup!A:B,2,FALSE)</f>
        <v>Gasoline</v>
      </c>
      <c r="I992" s="2">
        <f ca="1">YEAR(TODAY())-qhkz_4dqm[[#This Row],[year]]</f>
        <v>14</v>
      </c>
      <c r="J992" s="2" t="str" cm="1">
        <f t="array" aca="1" ref="J992" ca="1">_xlfn.IFS(qhkz_4dqm[[#This Row],[vehicle_age]]&lt;=3,"Newer",qhkz_4dqm[[#This Row],[vehicle_age]]&lt;=9,"Mid-age",qhkz_4dqm[[#This Row],[vehicle_age]]&lt;=19,"Older",qhkz_4dqm[[#This Row],[vehicle_age]]&gt;=20,"Very Old")</f>
        <v>Older</v>
      </c>
    </row>
    <row r="993" spans="1:10">
      <c r="A993" s="2">
        <v>24130048</v>
      </c>
      <c r="B993" s="2">
        <v>2413004801</v>
      </c>
      <c r="C993" s="2">
        <v>1</v>
      </c>
      <c r="D993" s="2">
        <v>2017</v>
      </c>
      <c r="E993" s="2">
        <v>1</v>
      </c>
      <c r="F993" s="2">
        <v>19.3</v>
      </c>
      <c r="G993" s="2">
        <v>125.1</v>
      </c>
      <c r="H993" s="2" t="str">
        <f>VLOOKUP(qhkz_4dqm[[#This Row],[fuel_type]],lookup!A:B,2,FALSE)</f>
        <v>Gasoline</v>
      </c>
      <c r="I993" s="2">
        <f ca="1">YEAR(TODAY())-qhkz_4dqm[[#This Row],[year]]</f>
        <v>9</v>
      </c>
      <c r="J993" s="2" t="str" cm="1">
        <f t="array" aca="1" ref="J993" ca="1">_xlfn.IFS(qhkz_4dqm[[#This Row],[vehicle_age]]&lt;=3,"Newer",qhkz_4dqm[[#This Row],[vehicle_age]]&lt;=9,"Mid-age",qhkz_4dqm[[#This Row],[vehicle_age]]&lt;=19,"Older",qhkz_4dqm[[#This Row],[vehicle_age]]&gt;=20,"Very Old")</f>
        <v>Mid-age</v>
      </c>
    </row>
    <row r="994" spans="1:10">
      <c r="A994" s="2">
        <v>24130069</v>
      </c>
      <c r="B994" s="2">
        <v>2413006901</v>
      </c>
      <c r="C994" s="2">
        <v>1</v>
      </c>
      <c r="D994" s="2">
        <v>2023</v>
      </c>
      <c r="E994" s="2">
        <v>1</v>
      </c>
      <c r="F994" s="2">
        <v>32.82</v>
      </c>
      <c r="G994" s="2">
        <v>158.19999999999999</v>
      </c>
      <c r="H994" s="2" t="str">
        <f>VLOOKUP(qhkz_4dqm[[#This Row],[fuel_type]],lookup!A:B,2,FALSE)</f>
        <v>Gasoline</v>
      </c>
      <c r="I994" s="2">
        <f ca="1">YEAR(TODAY())-qhkz_4dqm[[#This Row],[year]]</f>
        <v>3</v>
      </c>
      <c r="J994" s="2" t="str" cm="1">
        <f t="array" aca="1" ref="J994" ca="1">_xlfn.IFS(qhkz_4dqm[[#This Row],[vehicle_age]]&lt;=3,"Newer",qhkz_4dqm[[#This Row],[vehicle_age]]&lt;=9,"Mid-age",qhkz_4dqm[[#This Row],[vehicle_age]]&lt;=19,"Older",qhkz_4dqm[[#This Row],[vehicle_age]]&gt;=20,"Very Old")</f>
        <v>Newer</v>
      </c>
    </row>
    <row r="995" spans="1:10">
      <c r="A995" s="2">
        <v>24130215</v>
      </c>
      <c r="B995" s="2">
        <v>2413021501</v>
      </c>
      <c r="C995" s="2">
        <v>1</v>
      </c>
      <c r="D995" s="2">
        <v>2023</v>
      </c>
      <c r="E995" s="2">
        <v>2</v>
      </c>
      <c r="F995" s="2">
        <v>104.25</v>
      </c>
      <c r="G995" s="2">
        <v>181.21</v>
      </c>
      <c r="H995" s="2" t="str">
        <f>VLOOKUP(qhkz_4dqm[[#This Row],[fuel_type]],lookup!A:B,2,FALSE)</f>
        <v>Diesel</v>
      </c>
      <c r="I995" s="2">
        <f ca="1">YEAR(TODAY())-qhkz_4dqm[[#This Row],[year]]</f>
        <v>3</v>
      </c>
      <c r="J995" s="2" t="str" cm="1">
        <f t="array" aca="1" ref="J995" ca="1">_xlfn.IFS(qhkz_4dqm[[#This Row],[vehicle_age]]&lt;=3,"Newer",qhkz_4dqm[[#This Row],[vehicle_age]]&lt;=9,"Mid-age",qhkz_4dqm[[#This Row],[vehicle_age]]&lt;=19,"Older",qhkz_4dqm[[#This Row],[vehicle_age]]&gt;=20,"Very Old")</f>
        <v>Newer</v>
      </c>
    </row>
    <row r="996" spans="1:10">
      <c r="A996" s="2">
        <v>24130233</v>
      </c>
      <c r="B996" s="2">
        <v>2413023301</v>
      </c>
      <c r="C996" s="2">
        <v>1</v>
      </c>
      <c r="D996" s="2">
        <v>2024</v>
      </c>
      <c r="E996" s="2">
        <v>1</v>
      </c>
      <c r="F996" s="2">
        <v>596.87</v>
      </c>
      <c r="G996" s="2">
        <v>784.67</v>
      </c>
      <c r="H996" s="2" t="str">
        <f>VLOOKUP(qhkz_4dqm[[#This Row],[fuel_type]],lookup!A:B,2,FALSE)</f>
        <v>Gasoline</v>
      </c>
      <c r="I996" s="2">
        <f ca="1">YEAR(TODAY())-qhkz_4dqm[[#This Row],[year]]</f>
        <v>2</v>
      </c>
      <c r="J996" s="2" t="str" cm="1">
        <f t="array" aca="1" ref="J996" ca="1">_xlfn.IFS(qhkz_4dqm[[#This Row],[vehicle_age]]&lt;=3,"Newer",qhkz_4dqm[[#This Row],[vehicle_age]]&lt;=9,"Mid-age",qhkz_4dqm[[#This Row],[vehicle_age]]&lt;=19,"Older",qhkz_4dqm[[#This Row],[vehicle_age]]&gt;=20,"Very Old")</f>
        <v>Newer</v>
      </c>
    </row>
    <row r="997" spans="1:10">
      <c r="A997" s="2">
        <v>24130321</v>
      </c>
      <c r="B997" s="2">
        <v>2413032101</v>
      </c>
      <c r="C997" s="2">
        <v>1</v>
      </c>
      <c r="D997" s="2">
        <v>2018</v>
      </c>
      <c r="E997" s="2">
        <v>2</v>
      </c>
      <c r="F997" s="2">
        <v>124.17</v>
      </c>
      <c r="G997" s="2">
        <v>218</v>
      </c>
      <c r="H997" s="2" t="str">
        <f>VLOOKUP(qhkz_4dqm[[#This Row],[fuel_type]],lookup!A:B,2,FALSE)</f>
        <v>Diesel</v>
      </c>
      <c r="I997" s="2">
        <f ca="1">YEAR(TODAY())-qhkz_4dqm[[#This Row],[year]]</f>
        <v>8</v>
      </c>
      <c r="J997" s="2" t="str" cm="1">
        <f t="array" aca="1" ref="J997" ca="1">_xlfn.IFS(qhkz_4dqm[[#This Row],[vehicle_age]]&lt;=3,"Newer",qhkz_4dqm[[#This Row],[vehicle_age]]&lt;=9,"Mid-age",qhkz_4dqm[[#This Row],[vehicle_age]]&lt;=19,"Older",qhkz_4dqm[[#This Row],[vehicle_age]]&gt;=20,"Very Old")</f>
        <v>Mid-age</v>
      </c>
    </row>
    <row r="998" spans="1:10">
      <c r="A998" s="2">
        <v>24130329</v>
      </c>
      <c r="B998" s="2">
        <v>2413032901</v>
      </c>
      <c r="C998" s="2">
        <v>1</v>
      </c>
      <c r="D998" s="2">
        <v>2010</v>
      </c>
      <c r="E998" s="2">
        <v>2</v>
      </c>
      <c r="F998" s="2">
        <v>374.69</v>
      </c>
      <c r="G998" s="2">
        <v>370.8</v>
      </c>
      <c r="H998" s="2" t="str">
        <f>VLOOKUP(qhkz_4dqm[[#This Row],[fuel_type]],lookup!A:B,2,FALSE)</f>
        <v>Diesel</v>
      </c>
      <c r="I998" s="2">
        <f ca="1">YEAR(TODAY())-qhkz_4dqm[[#This Row],[year]]</f>
        <v>16</v>
      </c>
      <c r="J998" s="2" t="str" cm="1">
        <f t="array" aca="1" ref="J998" ca="1">_xlfn.IFS(qhkz_4dqm[[#This Row],[vehicle_age]]&lt;=3,"Newer",qhkz_4dqm[[#This Row],[vehicle_age]]&lt;=9,"Mid-age",qhkz_4dqm[[#This Row],[vehicle_age]]&lt;=19,"Older",qhkz_4dqm[[#This Row],[vehicle_age]]&gt;=20,"Very Old")</f>
        <v>Older</v>
      </c>
    </row>
    <row r="999" spans="1:10">
      <c r="A999" s="2">
        <v>24130463</v>
      </c>
      <c r="B999" s="2">
        <v>2413046301</v>
      </c>
      <c r="C999" s="2">
        <v>1</v>
      </c>
      <c r="D999" s="2">
        <v>2013</v>
      </c>
      <c r="E999" s="2">
        <v>1</v>
      </c>
      <c r="F999" s="2">
        <v>2220.59</v>
      </c>
      <c r="G999" s="2">
        <v>4240.46</v>
      </c>
      <c r="H999" s="2" t="str">
        <f>VLOOKUP(qhkz_4dqm[[#This Row],[fuel_type]],lookup!A:B,2,FALSE)</f>
        <v>Gasoline</v>
      </c>
      <c r="I999" s="2">
        <f ca="1">YEAR(TODAY())-qhkz_4dqm[[#This Row],[year]]</f>
        <v>13</v>
      </c>
      <c r="J999" s="2" t="str" cm="1">
        <f t="array" aca="1" ref="J999" ca="1">_xlfn.IFS(qhkz_4dqm[[#This Row],[vehicle_age]]&lt;=3,"Newer",qhkz_4dqm[[#This Row],[vehicle_age]]&lt;=9,"Mid-age",qhkz_4dqm[[#This Row],[vehicle_age]]&lt;=19,"Older",qhkz_4dqm[[#This Row],[vehicle_age]]&gt;=20,"Very Old")</f>
        <v>Older</v>
      </c>
    </row>
    <row r="1000" spans="1:10">
      <c r="A1000" s="2">
        <v>24130476</v>
      </c>
      <c r="B1000" s="2">
        <v>2413047601</v>
      </c>
      <c r="C1000" s="2">
        <v>1</v>
      </c>
      <c r="D1000" s="2">
        <v>2007</v>
      </c>
      <c r="E1000" s="2">
        <v>1</v>
      </c>
      <c r="F1000" s="2">
        <v>8197.33</v>
      </c>
      <c r="G1000" s="2">
        <v>7862.84</v>
      </c>
      <c r="H1000" s="2" t="str">
        <f>VLOOKUP(qhkz_4dqm[[#This Row],[fuel_type]],lookup!A:B,2,FALSE)</f>
        <v>Gasoline</v>
      </c>
      <c r="I1000" s="2">
        <f ca="1">YEAR(TODAY())-qhkz_4dqm[[#This Row],[year]]</f>
        <v>19</v>
      </c>
      <c r="J1000" s="2" t="str" cm="1">
        <f t="array" aca="1" ref="J1000" ca="1">_xlfn.IFS(qhkz_4dqm[[#This Row],[vehicle_age]]&lt;=3,"Newer",qhkz_4dqm[[#This Row],[vehicle_age]]&lt;=9,"Mid-age",qhkz_4dqm[[#This Row],[vehicle_age]]&lt;=19,"Older",qhkz_4dqm[[#This Row],[vehicle_age]]&gt;=20,"Very Old")</f>
        <v>Older</v>
      </c>
    </row>
    <row r="1001" spans="1:10">
      <c r="A1001" s="2">
        <v>24130773</v>
      </c>
      <c r="B1001" s="2">
        <v>2413077301</v>
      </c>
      <c r="C1001" s="2">
        <v>1</v>
      </c>
      <c r="D1001" s="2">
        <v>2021</v>
      </c>
      <c r="E1001" s="2">
        <v>1</v>
      </c>
      <c r="F1001" s="2">
        <v>104.91</v>
      </c>
      <c r="G1001" s="2">
        <v>296.88</v>
      </c>
      <c r="H1001" s="2" t="str">
        <f>VLOOKUP(qhkz_4dqm[[#This Row],[fuel_type]],lookup!A:B,2,FALSE)</f>
        <v>Gasoline</v>
      </c>
      <c r="I1001" s="2">
        <f ca="1">YEAR(TODAY())-qhkz_4dqm[[#This Row],[year]]</f>
        <v>5</v>
      </c>
      <c r="J1001" s="2" t="str" cm="1">
        <f t="array" aca="1" ref="J1001" ca="1">_xlfn.IFS(qhkz_4dqm[[#This Row],[vehicle_age]]&lt;=3,"Newer",qhkz_4dqm[[#This Row],[vehicle_age]]&lt;=9,"Mid-age",qhkz_4dqm[[#This Row],[vehicle_age]]&lt;=19,"Older",qhkz_4dqm[[#This Row],[vehicle_age]]&gt;=20,"Very Old")</f>
        <v>Mid-age</v>
      </c>
    </row>
    <row r="1002" spans="1:10">
      <c r="A1002" s="2">
        <v>24130789</v>
      </c>
      <c r="B1002" s="2">
        <v>2413078901</v>
      </c>
      <c r="C1002" s="2">
        <v>1</v>
      </c>
      <c r="D1002" s="2">
        <v>2021</v>
      </c>
      <c r="E1002" s="2">
        <v>1</v>
      </c>
      <c r="F1002" s="2">
        <v>21.91</v>
      </c>
      <c r="G1002" s="2">
        <v>137.31</v>
      </c>
      <c r="H1002" s="2" t="str">
        <f>VLOOKUP(qhkz_4dqm[[#This Row],[fuel_type]],lookup!A:B,2,FALSE)</f>
        <v>Gasoline</v>
      </c>
      <c r="I1002" s="2">
        <f ca="1">YEAR(TODAY())-qhkz_4dqm[[#This Row],[year]]</f>
        <v>5</v>
      </c>
      <c r="J1002" s="2" t="str" cm="1">
        <f t="array" aca="1" ref="J1002" ca="1">_xlfn.IFS(qhkz_4dqm[[#This Row],[vehicle_age]]&lt;=3,"Newer",qhkz_4dqm[[#This Row],[vehicle_age]]&lt;=9,"Mid-age",qhkz_4dqm[[#This Row],[vehicle_age]]&lt;=19,"Older",qhkz_4dqm[[#This Row],[vehicle_age]]&gt;=20,"Very Old")</f>
        <v>Mid-age</v>
      </c>
    </row>
    <row r="1003" spans="1:10">
      <c r="A1003" s="2">
        <v>24131041</v>
      </c>
      <c r="B1003" s="2">
        <v>2413104101</v>
      </c>
      <c r="C1003" s="2">
        <v>1</v>
      </c>
      <c r="D1003" s="2">
        <v>2013</v>
      </c>
      <c r="E1003" s="2">
        <v>2</v>
      </c>
      <c r="F1003" s="2">
        <v>104.91</v>
      </c>
      <c r="G1003" s="2">
        <v>296.88</v>
      </c>
      <c r="H1003" s="2" t="str">
        <f>VLOOKUP(qhkz_4dqm[[#This Row],[fuel_type]],lookup!A:B,2,FALSE)</f>
        <v>Diesel</v>
      </c>
      <c r="I1003" s="2">
        <f ca="1">YEAR(TODAY())-qhkz_4dqm[[#This Row],[year]]</f>
        <v>13</v>
      </c>
      <c r="J1003" s="2" t="str" cm="1">
        <f t="array" aca="1" ref="J1003" ca="1">_xlfn.IFS(qhkz_4dqm[[#This Row],[vehicle_age]]&lt;=3,"Newer",qhkz_4dqm[[#This Row],[vehicle_age]]&lt;=9,"Mid-age",qhkz_4dqm[[#This Row],[vehicle_age]]&lt;=19,"Older",qhkz_4dqm[[#This Row],[vehicle_age]]&gt;=20,"Very Old")</f>
        <v>Older</v>
      </c>
    </row>
    <row r="1004" spans="1:10">
      <c r="A1004" s="2">
        <v>24131096</v>
      </c>
      <c r="B1004" s="2">
        <v>2413109601</v>
      </c>
      <c r="C1004" s="2">
        <v>1</v>
      </c>
      <c r="D1004" s="2">
        <v>2004</v>
      </c>
      <c r="E1004" s="2">
        <v>1</v>
      </c>
      <c r="F1004" s="2">
        <v>14.12</v>
      </c>
      <c r="G1004" s="2">
        <v>128.66</v>
      </c>
      <c r="H1004" s="2" t="str">
        <f>VLOOKUP(qhkz_4dqm[[#This Row],[fuel_type]],lookup!A:B,2,FALSE)</f>
        <v>Gasoline</v>
      </c>
      <c r="I1004" s="2">
        <f ca="1">YEAR(TODAY())-qhkz_4dqm[[#This Row],[year]]</f>
        <v>22</v>
      </c>
      <c r="J1004" s="2" t="str" cm="1">
        <f t="array" aca="1" ref="J1004" ca="1">_xlfn.IFS(qhkz_4dqm[[#This Row],[vehicle_age]]&lt;=3,"Newer",qhkz_4dqm[[#This Row],[vehicle_age]]&lt;=9,"Mid-age",qhkz_4dqm[[#This Row],[vehicle_age]]&lt;=19,"Older",qhkz_4dqm[[#This Row],[vehicle_age]]&gt;=20,"Very Old")</f>
        <v>Very Old</v>
      </c>
    </row>
    <row r="1005" spans="1:10">
      <c r="A1005" s="2">
        <v>24131118</v>
      </c>
      <c r="B1005" s="2">
        <v>2413111801</v>
      </c>
      <c r="C1005" s="2">
        <v>1</v>
      </c>
      <c r="D1005" s="2">
        <v>2015</v>
      </c>
      <c r="E1005" s="2">
        <v>1</v>
      </c>
      <c r="F1005" s="2">
        <v>1650.59</v>
      </c>
      <c r="G1005" s="2">
        <v>1582.83</v>
      </c>
      <c r="H1005" s="2" t="str">
        <f>VLOOKUP(qhkz_4dqm[[#This Row],[fuel_type]],lookup!A:B,2,FALSE)</f>
        <v>Gasoline</v>
      </c>
      <c r="I1005" s="2">
        <f ca="1">YEAR(TODAY())-qhkz_4dqm[[#This Row],[year]]</f>
        <v>11</v>
      </c>
      <c r="J1005" s="2" t="str" cm="1">
        <f t="array" aca="1" ref="J1005" ca="1">_xlfn.IFS(qhkz_4dqm[[#This Row],[vehicle_age]]&lt;=3,"Newer",qhkz_4dqm[[#This Row],[vehicle_age]]&lt;=9,"Mid-age",qhkz_4dqm[[#This Row],[vehicle_age]]&lt;=19,"Older",qhkz_4dqm[[#This Row],[vehicle_age]]&gt;=20,"Very Old")</f>
        <v>Older</v>
      </c>
    </row>
    <row r="1006" spans="1:10">
      <c r="A1006" s="2">
        <v>24131436</v>
      </c>
      <c r="B1006" s="2">
        <v>2413143601</v>
      </c>
      <c r="C1006" s="2">
        <v>1</v>
      </c>
      <c r="D1006" s="2">
        <v>2012</v>
      </c>
      <c r="E1006" s="2">
        <v>1</v>
      </c>
      <c r="F1006" s="2">
        <v>44.06</v>
      </c>
      <c r="G1006" s="2">
        <v>130.65</v>
      </c>
      <c r="H1006" s="2" t="str">
        <f>VLOOKUP(qhkz_4dqm[[#This Row],[fuel_type]],lookup!A:B,2,FALSE)</f>
        <v>Gasoline</v>
      </c>
      <c r="I1006" s="2">
        <f ca="1">YEAR(TODAY())-qhkz_4dqm[[#This Row],[year]]</f>
        <v>14</v>
      </c>
      <c r="J1006" s="2" t="str" cm="1">
        <f t="array" aca="1" ref="J1006" ca="1">_xlfn.IFS(qhkz_4dqm[[#This Row],[vehicle_age]]&lt;=3,"Newer",qhkz_4dqm[[#This Row],[vehicle_age]]&lt;=9,"Mid-age",qhkz_4dqm[[#This Row],[vehicle_age]]&lt;=19,"Older",qhkz_4dqm[[#This Row],[vehicle_age]]&gt;=20,"Very Old")</f>
        <v>Older</v>
      </c>
    </row>
    <row r="1007" spans="1:10">
      <c r="A1007" s="2">
        <v>24131751</v>
      </c>
      <c r="B1007" s="2">
        <v>2413175101</v>
      </c>
      <c r="C1007" s="2">
        <v>1</v>
      </c>
      <c r="D1007" s="2">
        <v>2018</v>
      </c>
      <c r="E1007" s="2">
        <v>1</v>
      </c>
      <c r="F1007" s="2">
        <v>740</v>
      </c>
      <c r="G1007" s="2">
        <v>617.98</v>
      </c>
      <c r="H1007" s="2" t="str">
        <f>VLOOKUP(qhkz_4dqm[[#This Row],[fuel_type]],lookup!A:B,2,FALSE)</f>
        <v>Gasoline</v>
      </c>
      <c r="I1007" s="2">
        <f ca="1">YEAR(TODAY())-qhkz_4dqm[[#This Row],[year]]</f>
        <v>8</v>
      </c>
      <c r="J1007" s="2" t="str" cm="1">
        <f t="array" aca="1" ref="J1007" ca="1">_xlfn.IFS(qhkz_4dqm[[#This Row],[vehicle_age]]&lt;=3,"Newer",qhkz_4dqm[[#This Row],[vehicle_age]]&lt;=9,"Mid-age",qhkz_4dqm[[#This Row],[vehicle_age]]&lt;=19,"Older",qhkz_4dqm[[#This Row],[vehicle_age]]&gt;=20,"Very Old")</f>
        <v>Mid-age</v>
      </c>
    </row>
    <row r="1008" spans="1:10">
      <c r="A1008" s="2">
        <v>24131858</v>
      </c>
      <c r="B1008" s="2">
        <v>2413185801</v>
      </c>
      <c r="C1008" s="2">
        <v>1</v>
      </c>
      <c r="D1008" s="2">
        <v>2022</v>
      </c>
      <c r="E1008" s="2">
        <v>1</v>
      </c>
      <c r="F1008" s="2">
        <v>632.57000000000005</v>
      </c>
      <c r="G1008" s="2">
        <v>1318.27</v>
      </c>
      <c r="H1008" s="2" t="str">
        <f>VLOOKUP(qhkz_4dqm[[#This Row],[fuel_type]],lookup!A:B,2,FALSE)</f>
        <v>Gasoline</v>
      </c>
      <c r="I1008" s="2">
        <f ca="1">YEAR(TODAY())-qhkz_4dqm[[#This Row],[year]]</f>
        <v>4</v>
      </c>
      <c r="J1008" s="2" t="str" cm="1">
        <f t="array" aca="1" ref="J1008" ca="1">_xlfn.IFS(qhkz_4dqm[[#This Row],[vehicle_age]]&lt;=3,"Newer",qhkz_4dqm[[#This Row],[vehicle_age]]&lt;=9,"Mid-age",qhkz_4dqm[[#This Row],[vehicle_age]]&lt;=19,"Older",qhkz_4dqm[[#This Row],[vehicle_age]]&gt;=20,"Very Old")</f>
        <v>Mid-age</v>
      </c>
    </row>
    <row r="1009" spans="1:10">
      <c r="A1009" s="2">
        <v>24131940</v>
      </c>
      <c r="B1009" s="2">
        <v>2413194001</v>
      </c>
      <c r="C1009" s="2">
        <v>1</v>
      </c>
      <c r="D1009" s="2">
        <v>2023</v>
      </c>
      <c r="E1009" s="2">
        <v>1</v>
      </c>
      <c r="F1009" s="2">
        <v>1652.92</v>
      </c>
      <c r="G1009" s="2">
        <v>321.8</v>
      </c>
      <c r="H1009" s="2" t="str">
        <f>VLOOKUP(qhkz_4dqm[[#This Row],[fuel_type]],lookup!A:B,2,FALSE)</f>
        <v>Gasoline</v>
      </c>
      <c r="I1009" s="2">
        <f ca="1">YEAR(TODAY())-qhkz_4dqm[[#This Row],[year]]</f>
        <v>3</v>
      </c>
      <c r="J1009" s="2" t="str" cm="1">
        <f t="array" aca="1" ref="J1009" ca="1">_xlfn.IFS(qhkz_4dqm[[#This Row],[vehicle_age]]&lt;=3,"Newer",qhkz_4dqm[[#This Row],[vehicle_age]]&lt;=9,"Mid-age",qhkz_4dqm[[#This Row],[vehicle_age]]&lt;=19,"Older",qhkz_4dqm[[#This Row],[vehicle_age]]&gt;=20,"Very Old")</f>
        <v>Newer</v>
      </c>
    </row>
    <row r="1010" spans="1:10">
      <c r="A1010" s="2">
        <v>24134083</v>
      </c>
      <c r="B1010" s="2">
        <v>2413408301</v>
      </c>
      <c r="C1010" s="2">
        <v>1</v>
      </c>
      <c r="D1010" s="2">
        <v>2022</v>
      </c>
      <c r="E1010" s="2">
        <v>1</v>
      </c>
      <c r="F1010" s="2">
        <v>443.67</v>
      </c>
      <c r="G1010" s="2">
        <v>247.91</v>
      </c>
      <c r="H1010" s="2" t="str">
        <f>VLOOKUP(qhkz_4dqm[[#This Row],[fuel_type]],lookup!A:B,2,FALSE)</f>
        <v>Gasoline</v>
      </c>
      <c r="I1010" s="2">
        <f ca="1">YEAR(TODAY())-qhkz_4dqm[[#This Row],[year]]</f>
        <v>4</v>
      </c>
      <c r="J1010" s="2" t="str" cm="1">
        <f t="array" aca="1" ref="J1010" ca="1">_xlfn.IFS(qhkz_4dqm[[#This Row],[vehicle_age]]&lt;=3,"Newer",qhkz_4dqm[[#This Row],[vehicle_age]]&lt;=9,"Mid-age",qhkz_4dqm[[#This Row],[vehicle_age]]&lt;=19,"Older",qhkz_4dqm[[#This Row],[vehicle_age]]&gt;=20,"Very Old")</f>
        <v>Mid-age</v>
      </c>
    </row>
    <row r="1011" spans="1:10">
      <c r="A1011" s="2">
        <v>24134331</v>
      </c>
      <c r="B1011" s="2">
        <v>2413433101</v>
      </c>
      <c r="C1011" s="2">
        <v>1</v>
      </c>
      <c r="D1011" s="2">
        <v>2015</v>
      </c>
      <c r="E1011" s="2">
        <v>1</v>
      </c>
      <c r="F1011" s="2">
        <v>218.12</v>
      </c>
      <c r="G1011" s="2">
        <v>241.8</v>
      </c>
      <c r="H1011" s="2" t="str">
        <f>VLOOKUP(qhkz_4dqm[[#This Row],[fuel_type]],lookup!A:B,2,FALSE)</f>
        <v>Gasoline</v>
      </c>
      <c r="I1011" s="2">
        <f ca="1">YEAR(TODAY())-qhkz_4dqm[[#This Row],[year]]</f>
        <v>11</v>
      </c>
      <c r="J1011" s="2" t="str" cm="1">
        <f t="array" aca="1" ref="J1011" ca="1">_xlfn.IFS(qhkz_4dqm[[#This Row],[vehicle_age]]&lt;=3,"Newer",qhkz_4dqm[[#This Row],[vehicle_age]]&lt;=9,"Mid-age",qhkz_4dqm[[#This Row],[vehicle_age]]&lt;=19,"Older",qhkz_4dqm[[#This Row],[vehicle_age]]&gt;=20,"Very Old")</f>
        <v>Older</v>
      </c>
    </row>
    <row r="1012" spans="1:10">
      <c r="A1012" s="2">
        <v>24134846</v>
      </c>
      <c r="B1012" s="2">
        <v>2413484601</v>
      </c>
      <c r="C1012" s="2">
        <v>1</v>
      </c>
      <c r="D1012" s="2">
        <v>2016</v>
      </c>
      <c r="E1012" s="2">
        <v>1</v>
      </c>
      <c r="F1012" s="2">
        <v>1405.94</v>
      </c>
      <c r="G1012" s="2">
        <v>1324.1</v>
      </c>
      <c r="H1012" s="2" t="str">
        <f>VLOOKUP(qhkz_4dqm[[#This Row],[fuel_type]],lookup!A:B,2,FALSE)</f>
        <v>Gasoline</v>
      </c>
      <c r="I1012" s="2">
        <f ca="1">YEAR(TODAY())-qhkz_4dqm[[#This Row],[year]]</f>
        <v>10</v>
      </c>
      <c r="J1012" s="2" t="str" cm="1">
        <f t="array" aca="1" ref="J1012" ca="1">_xlfn.IFS(qhkz_4dqm[[#This Row],[vehicle_age]]&lt;=3,"Newer",qhkz_4dqm[[#This Row],[vehicle_age]]&lt;=9,"Mid-age",qhkz_4dqm[[#This Row],[vehicle_age]]&lt;=19,"Older",qhkz_4dqm[[#This Row],[vehicle_age]]&gt;=20,"Very Old")</f>
        <v>Older</v>
      </c>
    </row>
    <row r="1013" spans="1:10">
      <c r="A1013" s="2">
        <v>24134849</v>
      </c>
      <c r="B1013" s="2">
        <v>2413484901</v>
      </c>
      <c r="C1013" s="2">
        <v>1</v>
      </c>
      <c r="D1013" s="2">
        <v>2016</v>
      </c>
      <c r="E1013" s="2">
        <v>1</v>
      </c>
      <c r="F1013" s="2">
        <v>396.72</v>
      </c>
      <c r="G1013" s="2">
        <v>588.57000000000005</v>
      </c>
      <c r="H1013" s="2" t="str">
        <f>VLOOKUP(qhkz_4dqm[[#This Row],[fuel_type]],lookup!A:B,2,FALSE)</f>
        <v>Gasoline</v>
      </c>
      <c r="I1013" s="2">
        <f ca="1">YEAR(TODAY())-qhkz_4dqm[[#This Row],[year]]</f>
        <v>10</v>
      </c>
      <c r="J1013" s="2" t="str" cm="1">
        <f t="array" aca="1" ref="J1013" ca="1">_xlfn.IFS(qhkz_4dqm[[#This Row],[vehicle_age]]&lt;=3,"Newer",qhkz_4dqm[[#This Row],[vehicle_age]]&lt;=9,"Mid-age",qhkz_4dqm[[#This Row],[vehicle_age]]&lt;=19,"Older",qhkz_4dqm[[#This Row],[vehicle_age]]&gt;=20,"Very Old")</f>
        <v>Older</v>
      </c>
    </row>
    <row r="1014" spans="1:10">
      <c r="A1014" s="2">
        <v>24134897</v>
      </c>
      <c r="B1014" s="2">
        <v>2413489701</v>
      </c>
      <c r="C1014" s="2">
        <v>1</v>
      </c>
      <c r="D1014" s="2">
        <v>2024</v>
      </c>
      <c r="E1014" s="2">
        <v>2</v>
      </c>
      <c r="F1014" s="2">
        <v>388.29</v>
      </c>
      <c r="G1014" s="2">
        <v>990.49</v>
      </c>
      <c r="H1014" s="2" t="str">
        <f>VLOOKUP(qhkz_4dqm[[#This Row],[fuel_type]],lookup!A:B,2,FALSE)</f>
        <v>Diesel</v>
      </c>
      <c r="I1014" s="2">
        <f ca="1">YEAR(TODAY())-qhkz_4dqm[[#This Row],[year]]</f>
        <v>2</v>
      </c>
      <c r="J1014" s="2" t="str" cm="1">
        <f t="array" aca="1" ref="J1014" ca="1">_xlfn.IFS(qhkz_4dqm[[#This Row],[vehicle_age]]&lt;=3,"Newer",qhkz_4dqm[[#This Row],[vehicle_age]]&lt;=9,"Mid-age",qhkz_4dqm[[#This Row],[vehicle_age]]&lt;=19,"Older",qhkz_4dqm[[#This Row],[vehicle_age]]&gt;=20,"Very Old")</f>
        <v>Newer</v>
      </c>
    </row>
    <row r="1015" spans="1:10">
      <c r="A1015" s="2">
        <v>24135118</v>
      </c>
      <c r="B1015" s="2">
        <v>2413511801</v>
      </c>
      <c r="C1015" s="2">
        <v>1</v>
      </c>
      <c r="D1015" s="2">
        <v>2020</v>
      </c>
      <c r="E1015" s="2">
        <v>3</v>
      </c>
      <c r="F1015" s="2">
        <v>138.81</v>
      </c>
      <c r="G1015" s="2">
        <v>124.71</v>
      </c>
      <c r="H1015" s="2" t="str">
        <f>VLOOKUP(qhkz_4dqm[[#This Row],[fuel_type]],lookup!A:B,2,FALSE)</f>
        <v>Hybrid</v>
      </c>
      <c r="I1015" s="2">
        <f ca="1">YEAR(TODAY())-qhkz_4dqm[[#This Row],[year]]</f>
        <v>6</v>
      </c>
      <c r="J1015" s="2" t="str" cm="1">
        <f t="array" aca="1" ref="J1015" ca="1">_xlfn.IFS(qhkz_4dqm[[#This Row],[vehicle_age]]&lt;=3,"Newer",qhkz_4dqm[[#This Row],[vehicle_age]]&lt;=9,"Mid-age",qhkz_4dqm[[#This Row],[vehicle_age]]&lt;=19,"Older",qhkz_4dqm[[#This Row],[vehicle_age]]&gt;=20,"Very Old")</f>
        <v>Mid-age</v>
      </c>
    </row>
    <row r="1016" spans="1:10">
      <c r="A1016" s="2">
        <v>24135125</v>
      </c>
      <c r="B1016" s="2">
        <v>2413512501</v>
      </c>
      <c r="C1016" s="2">
        <v>1</v>
      </c>
      <c r="D1016" s="2">
        <v>2020</v>
      </c>
      <c r="E1016" s="2">
        <v>1</v>
      </c>
      <c r="F1016" s="2">
        <v>115.3</v>
      </c>
      <c r="G1016" s="2">
        <v>168.73</v>
      </c>
      <c r="H1016" s="2" t="str">
        <f>VLOOKUP(qhkz_4dqm[[#This Row],[fuel_type]],lookup!A:B,2,FALSE)</f>
        <v>Gasoline</v>
      </c>
      <c r="I1016" s="2">
        <f ca="1">YEAR(TODAY())-qhkz_4dqm[[#This Row],[year]]</f>
        <v>6</v>
      </c>
      <c r="J1016" s="2" t="str" cm="1">
        <f t="array" aca="1" ref="J1016" ca="1">_xlfn.IFS(qhkz_4dqm[[#This Row],[vehicle_age]]&lt;=3,"Newer",qhkz_4dqm[[#This Row],[vehicle_age]]&lt;=9,"Mid-age",qhkz_4dqm[[#This Row],[vehicle_age]]&lt;=19,"Older",qhkz_4dqm[[#This Row],[vehicle_age]]&gt;=20,"Very Old")</f>
        <v>Mid-age</v>
      </c>
    </row>
    <row r="1017" spans="1:10">
      <c r="A1017" s="2">
        <v>24135152</v>
      </c>
      <c r="B1017" s="2">
        <v>2413515201</v>
      </c>
      <c r="C1017" s="2">
        <v>1</v>
      </c>
      <c r="D1017" s="2">
        <v>2017</v>
      </c>
      <c r="E1017" s="2">
        <v>1</v>
      </c>
      <c r="F1017" s="2">
        <v>787.89</v>
      </c>
      <c r="G1017" s="2">
        <v>165.9</v>
      </c>
      <c r="H1017" s="2" t="str">
        <f>VLOOKUP(qhkz_4dqm[[#This Row],[fuel_type]],lookup!A:B,2,FALSE)</f>
        <v>Gasoline</v>
      </c>
      <c r="I1017" s="2">
        <f ca="1">YEAR(TODAY())-qhkz_4dqm[[#This Row],[year]]</f>
        <v>9</v>
      </c>
      <c r="J1017" s="2" t="str" cm="1">
        <f t="array" aca="1" ref="J1017" ca="1">_xlfn.IFS(qhkz_4dqm[[#This Row],[vehicle_age]]&lt;=3,"Newer",qhkz_4dqm[[#This Row],[vehicle_age]]&lt;=9,"Mid-age",qhkz_4dqm[[#This Row],[vehicle_age]]&lt;=19,"Older",qhkz_4dqm[[#This Row],[vehicle_age]]&gt;=20,"Very Old")</f>
        <v>Mid-age</v>
      </c>
    </row>
    <row r="1018" spans="1:10">
      <c r="A1018" s="2">
        <v>24135194</v>
      </c>
      <c r="B1018" s="2">
        <v>2413519401</v>
      </c>
      <c r="C1018" s="2">
        <v>1</v>
      </c>
      <c r="D1018" s="2">
        <v>2019</v>
      </c>
      <c r="E1018" s="2">
        <v>1</v>
      </c>
      <c r="F1018" s="2">
        <v>946.06</v>
      </c>
      <c r="G1018" s="2">
        <v>1718.84</v>
      </c>
      <c r="H1018" s="2" t="str">
        <f>VLOOKUP(qhkz_4dqm[[#This Row],[fuel_type]],lookup!A:B,2,FALSE)</f>
        <v>Gasoline</v>
      </c>
      <c r="I1018" s="2">
        <f ca="1">YEAR(TODAY())-qhkz_4dqm[[#This Row],[year]]</f>
        <v>7</v>
      </c>
      <c r="J1018" s="2" t="str" cm="1">
        <f t="array" aca="1" ref="J1018" ca="1">_xlfn.IFS(qhkz_4dqm[[#This Row],[vehicle_age]]&lt;=3,"Newer",qhkz_4dqm[[#This Row],[vehicle_age]]&lt;=9,"Mid-age",qhkz_4dqm[[#This Row],[vehicle_age]]&lt;=19,"Older",qhkz_4dqm[[#This Row],[vehicle_age]]&gt;=20,"Very Old")</f>
        <v>Mid-age</v>
      </c>
    </row>
    <row r="1019" spans="1:10">
      <c r="A1019" s="2">
        <v>24135195</v>
      </c>
      <c r="B1019" s="2">
        <v>2413519501</v>
      </c>
      <c r="C1019" s="2">
        <v>1</v>
      </c>
      <c r="D1019" s="2">
        <v>2021</v>
      </c>
      <c r="E1019" s="2">
        <v>1</v>
      </c>
      <c r="F1019" s="2">
        <v>49.66</v>
      </c>
      <c r="G1019" s="2">
        <v>87.38</v>
      </c>
      <c r="H1019" s="2" t="str">
        <f>VLOOKUP(qhkz_4dqm[[#This Row],[fuel_type]],lookup!A:B,2,FALSE)</f>
        <v>Gasoline</v>
      </c>
      <c r="I1019" s="2">
        <f ca="1">YEAR(TODAY())-qhkz_4dqm[[#This Row],[year]]</f>
        <v>5</v>
      </c>
      <c r="J1019" s="2" t="str" cm="1">
        <f t="array" aca="1" ref="J1019" ca="1">_xlfn.IFS(qhkz_4dqm[[#This Row],[vehicle_age]]&lt;=3,"Newer",qhkz_4dqm[[#This Row],[vehicle_age]]&lt;=9,"Mid-age",qhkz_4dqm[[#This Row],[vehicle_age]]&lt;=19,"Older",qhkz_4dqm[[#This Row],[vehicle_age]]&gt;=20,"Very Old")</f>
        <v>Mid-age</v>
      </c>
    </row>
    <row r="1020" spans="1:10">
      <c r="A1020" s="2">
        <v>24135205</v>
      </c>
      <c r="B1020" s="2">
        <v>2413520501</v>
      </c>
      <c r="C1020" s="2">
        <v>1</v>
      </c>
      <c r="D1020" s="2">
        <v>2022</v>
      </c>
      <c r="E1020" s="2">
        <v>1</v>
      </c>
      <c r="F1020" s="2">
        <v>326.33999999999997</v>
      </c>
      <c r="G1020" s="2">
        <v>345.63</v>
      </c>
      <c r="H1020" s="2" t="str">
        <f>VLOOKUP(qhkz_4dqm[[#This Row],[fuel_type]],lookup!A:B,2,FALSE)</f>
        <v>Gasoline</v>
      </c>
      <c r="I1020" s="2">
        <f ca="1">YEAR(TODAY())-qhkz_4dqm[[#This Row],[year]]</f>
        <v>4</v>
      </c>
      <c r="J1020" s="2" t="str" cm="1">
        <f t="array" aca="1" ref="J1020" ca="1">_xlfn.IFS(qhkz_4dqm[[#This Row],[vehicle_age]]&lt;=3,"Newer",qhkz_4dqm[[#This Row],[vehicle_age]]&lt;=9,"Mid-age",qhkz_4dqm[[#This Row],[vehicle_age]]&lt;=19,"Older",qhkz_4dqm[[#This Row],[vehicle_age]]&gt;=20,"Very Old")</f>
        <v>Mid-age</v>
      </c>
    </row>
    <row r="1021" spans="1:10">
      <c r="A1021" s="2">
        <v>24135258</v>
      </c>
      <c r="B1021" s="2">
        <v>2413525801</v>
      </c>
      <c r="C1021" s="2">
        <v>1</v>
      </c>
      <c r="D1021" s="2">
        <v>2017</v>
      </c>
      <c r="E1021" s="2">
        <v>1</v>
      </c>
      <c r="F1021" s="2">
        <v>267.16000000000003</v>
      </c>
      <c r="G1021" s="2">
        <v>707.8</v>
      </c>
      <c r="H1021" s="2" t="str">
        <f>VLOOKUP(qhkz_4dqm[[#This Row],[fuel_type]],lookup!A:B,2,FALSE)</f>
        <v>Gasoline</v>
      </c>
      <c r="I1021" s="2">
        <f ca="1">YEAR(TODAY())-qhkz_4dqm[[#This Row],[year]]</f>
        <v>9</v>
      </c>
      <c r="J1021" s="2" t="str" cm="1">
        <f t="array" aca="1" ref="J1021" ca="1">_xlfn.IFS(qhkz_4dqm[[#This Row],[vehicle_age]]&lt;=3,"Newer",qhkz_4dqm[[#This Row],[vehicle_age]]&lt;=9,"Mid-age",qhkz_4dqm[[#This Row],[vehicle_age]]&lt;=19,"Older",qhkz_4dqm[[#This Row],[vehicle_age]]&gt;=20,"Very Old")</f>
        <v>Mid-age</v>
      </c>
    </row>
    <row r="1022" spans="1:10">
      <c r="A1022" s="2">
        <v>24135288</v>
      </c>
      <c r="B1022" s="2">
        <v>2413528801</v>
      </c>
      <c r="C1022" s="2">
        <v>1</v>
      </c>
      <c r="D1022" s="2">
        <v>2020</v>
      </c>
      <c r="E1022" s="2">
        <v>1</v>
      </c>
      <c r="F1022" s="2">
        <v>217.94</v>
      </c>
      <c r="G1022" s="2">
        <v>432.03</v>
      </c>
      <c r="H1022" s="2" t="str">
        <f>VLOOKUP(qhkz_4dqm[[#This Row],[fuel_type]],lookup!A:B,2,FALSE)</f>
        <v>Gasoline</v>
      </c>
      <c r="I1022" s="2">
        <f ca="1">YEAR(TODAY())-qhkz_4dqm[[#This Row],[year]]</f>
        <v>6</v>
      </c>
      <c r="J1022" s="2" t="str" cm="1">
        <f t="array" aca="1" ref="J1022" ca="1">_xlfn.IFS(qhkz_4dqm[[#This Row],[vehicle_age]]&lt;=3,"Newer",qhkz_4dqm[[#This Row],[vehicle_age]]&lt;=9,"Mid-age",qhkz_4dqm[[#This Row],[vehicle_age]]&lt;=19,"Older",qhkz_4dqm[[#This Row],[vehicle_age]]&gt;=20,"Very Old")</f>
        <v>Mid-age</v>
      </c>
    </row>
    <row r="1023" spans="1:10">
      <c r="A1023" s="2">
        <v>24135376</v>
      </c>
      <c r="B1023" s="2">
        <v>2413537601</v>
      </c>
      <c r="C1023" s="2">
        <v>1</v>
      </c>
      <c r="D1023" s="2">
        <v>2023</v>
      </c>
      <c r="E1023" s="2">
        <v>1</v>
      </c>
      <c r="F1023" s="2">
        <v>1096.0999999999999</v>
      </c>
      <c r="G1023" s="2">
        <v>1282.9100000000001</v>
      </c>
      <c r="H1023" s="2" t="str">
        <f>VLOOKUP(qhkz_4dqm[[#This Row],[fuel_type]],lookup!A:B,2,FALSE)</f>
        <v>Gasoline</v>
      </c>
      <c r="I1023" s="2">
        <f ca="1">YEAR(TODAY())-qhkz_4dqm[[#This Row],[year]]</f>
        <v>3</v>
      </c>
      <c r="J1023" s="2" t="str" cm="1">
        <f t="array" aca="1" ref="J1023" ca="1">_xlfn.IFS(qhkz_4dqm[[#This Row],[vehicle_age]]&lt;=3,"Newer",qhkz_4dqm[[#This Row],[vehicle_age]]&lt;=9,"Mid-age",qhkz_4dqm[[#This Row],[vehicle_age]]&lt;=19,"Older",qhkz_4dqm[[#This Row],[vehicle_age]]&gt;=20,"Very Old")</f>
        <v>Newer</v>
      </c>
    </row>
    <row r="1024" spans="1:10">
      <c r="A1024" s="2">
        <v>24135394</v>
      </c>
      <c r="B1024" s="2">
        <v>2413539401</v>
      </c>
      <c r="C1024" s="2">
        <v>1</v>
      </c>
      <c r="D1024" s="2">
        <v>2015</v>
      </c>
      <c r="E1024" s="2">
        <v>1</v>
      </c>
      <c r="F1024" s="2">
        <v>85.37</v>
      </c>
      <c r="G1024" s="2">
        <v>171.8</v>
      </c>
      <c r="H1024" s="2" t="str">
        <f>VLOOKUP(qhkz_4dqm[[#This Row],[fuel_type]],lookup!A:B,2,FALSE)</f>
        <v>Gasoline</v>
      </c>
      <c r="I1024" s="2">
        <f ca="1">YEAR(TODAY())-qhkz_4dqm[[#This Row],[year]]</f>
        <v>11</v>
      </c>
      <c r="J1024" s="2" t="str" cm="1">
        <f t="array" aca="1" ref="J1024" ca="1">_xlfn.IFS(qhkz_4dqm[[#This Row],[vehicle_age]]&lt;=3,"Newer",qhkz_4dqm[[#This Row],[vehicle_age]]&lt;=9,"Mid-age",qhkz_4dqm[[#This Row],[vehicle_age]]&lt;=19,"Older",qhkz_4dqm[[#This Row],[vehicle_age]]&gt;=20,"Very Old")</f>
        <v>Older</v>
      </c>
    </row>
    <row r="1025" spans="1:10">
      <c r="A1025" s="2">
        <v>24135595</v>
      </c>
      <c r="B1025" s="2">
        <v>2413559501</v>
      </c>
      <c r="C1025" s="2">
        <v>1</v>
      </c>
      <c r="D1025" s="2">
        <v>2016</v>
      </c>
      <c r="E1025" s="2">
        <v>1</v>
      </c>
      <c r="F1025" s="2">
        <v>268.13</v>
      </c>
      <c r="G1025" s="2">
        <v>164.31</v>
      </c>
      <c r="H1025" s="2" t="str">
        <f>VLOOKUP(qhkz_4dqm[[#This Row],[fuel_type]],lookup!A:B,2,FALSE)</f>
        <v>Gasoline</v>
      </c>
      <c r="I1025" s="2">
        <f ca="1">YEAR(TODAY())-qhkz_4dqm[[#This Row],[year]]</f>
        <v>10</v>
      </c>
      <c r="J1025" s="2" t="str" cm="1">
        <f t="array" aca="1" ref="J1025" ca="1">_xlfn.IFS(qhkz_4dqm[[#This Row],[vehicle_age]]&lt;=3,"Newer",qhkz_4dqm[[#This Row],[vehicle_age]]&lt;=9,"Mid-age",qhkz_4dqm[[#This Row],[vehicle_age]]&lt;=19,"Older",qhkz_4dqm[[#This Row],[vehicle_age]]&gt;=20,"Very Old")</f>
        <v>Older</v>
      </c>
    </row>
    <row r="1026" spans="1:10">
      <c r="A1026" s="2">
        <v>24135900</v>
      </c>
      <c r="B1026" s="2">
        <v>2413590001</v>
      </c>
      <c r="C1026" s="2">
        <v>1</v>
      </c>
      <c r="D1026" s="2">
        <v>2024</v>
      </c>
      <c r="E1026" s="2">
        <v>1</v>
      </c>
      <c r="F1026" s="2">
        <v>485.82</v>
      </c>
      <c r="G1026" s="2">
        <v>928.27</v>
      </c>
      <c r="H1026" s="2" t="str">
        <f>VLOOKUP(qhkz_4dqm[[#This Row],[fuel_type]],lookup!A:B,2,FALSE)</f>
        <v>Gasoline</v>
      </c>
      <c r="I1026" s="2">
        <f ca="1">YEAR(TODAY())-qhkz_4dqm[[#This Row],[year]]</f>
        <v>2</v>
      </c>
      <c r="J1026" s="2" t="str" cm="1">
        <f t="array" aca="1" ref="J1026" ca="1">_xlfn.IFS(qhkz_4dqm[[#This Row],[vehicle_age]]&lt;=3,"Newer",qhkz_4dqm[[#This Row],[vehicle_age]]&lt;=9,"Mid-age",qhkz_4dqm[[#This Row],[vehicle_age]]&lt;=19,"Older",qhkz_4dqm[[#This Row],[vehicle_age]]&gt;=20,"Very Old")</f>
        <v>Newer</v>
      </c>
    </row>
    <row r="1027" spans="1:10">
      <c r="A1027" s="2">
        <v>24135928</v>
      </c>
      <c r="B1027" s="2">
        <v>2413592801</v>
      </c>
      <c r="C1027" s="2">
        <v>1</v>
      </c>
      <c r="D1027" s="2">
        <v>2006</v>
      </c>
      <c r="E1027" s="2">
        <v>1</v>
      </c>
      <c r="F1027" s="2">
        <v>561.79</v>
      </c>
      <c r="G1027" s="2">
        <v>647.30999999999995</v>
      </c>
      <c r="H1027" s="2" t="str">
        <f>VLOOKUP(qhkz_4dqm[[#This Row],[fuel_type]],lookup!A:B,2,FALSE)</f>
        <v>Gasoline</v>
      </c>
      <c r="I1027" s="2">
        <f ca="1">YEAR(TODAY())-qhkz_4dqm[[#This Row],[year]]</f>
        <v>20</v>
      </c>
      <c r="J1027" s="2" t="str" cm="1">
        <f t="array" aca="1" ref="J1027" ca="1">_xlfn.IFS(qhkz_4dqm[[#This Row],[vehicle_age]]&lt;=3,"Newer",qhkz_4dqm[[#This Row],[vehicle_age]]&lt;=9,"Mid-age",qhkz_4dqm[[#This Row],[vehicle_age]]&lt;=19,"Older",qhkz_4dqm[[#This Row],[vehicle_age]]&gt;=20,"Very Old")</f>
        <v>Very Old</v>
      </c>
    </row>
    <row r="1028" spans="1:10">
      <c r="A1028" s="2">
        <v>24136078</v>
      </c>
      <c r="B1028" s="2">
        <v>2413607801</v>
      </c>
      <c r="C1028" s="2">
        <v>1</v>
      </c>
      <c r="D1028" s="2">
        <v>2024</v>
      </c>
      <c r="E1028" s="2">
        <v>3</v>
      </c>
      <c r="F1028" s="2">
        <v>322.08</v>
      </c>
      <c r="G1028" s="2">
        <v>333.06</v>
      </c>
      <c r="H1028" s="2" t="str">
        <f>VLOOKUP(qhkz_4dqm[[#This Row],[fuel_type]],lookup!A:B,2,FALSE)</f>
        <v>Hybrid</v>
      </c>
      <c r="I1028" s="2">
        <f ca="1">YEAR(TODAY())-qhkz_4dqm[[#This Row],[year]]</f>
        <v>2</v>
      </c>
      <c r="J1028" s="2" t="str" cm="1">
        <f t="array" aca="1" ref="J1028" ca="1">_xlfn.IFS(qhkz_4dqm[[#This Row],[vehicle_age]]&lt;=3,"Newer",qhkz_4dqm[[#This Row],[vehicle_age]]&lt;=9,"Mid-age",qhkz_4dqm[[#This Row],[vehicle_age]]&lt;=19,"Older",qhkz_4dqm[[#This Row],[vehicle_age]]&gt;=20,"Very Old")</f>
        <v>Newer</v>
      </c>
    </row>
    <row r="1029" spans="1:10">
      <c r="A1029" s="2">
        <v>24136114</v>
      </c>
      <c r="B1029" s="2">
        <v>2413611401</v>
      </c>
      <c r="C1029" s="2">
        <v>1</v>
      </c>
      <c r="D1029" s="2">
        <v>2006</v>
      </c>
      <c r="E1029" s="2">
        <v>1</v>
      </c>
      <c r="F1029" s="2">
        <v>143.31</v>
      </c>
      <c r="G1029" s="2">
        <v>325.56</v>
      </c>
      <c r="H1029" s="2" t="str">
        <f>VLOOKUP(qhkz_4dqm[[#This Row],[fuel_type]],lookup!A:B,2,FALSE)</f>
        <v>Gasoline</v>
      </c>
      <c r="I1029" s="2">
        <f ca="1">YEAR(TODAY())-qhkz_4dqm[[#This Row],[year]]</f>
        <v>20</v>
      </c>
      <c r="J1029" s="2" t="str" cm="1">
        <f t="array" aca="1" ref="J1029" ca="1">_xlfn.IFS(qhkz_4dqm[[#This Row],[vehicle_age]]&lt;=3,"Newer",qhkz_4dqm[[#This Row],[vehicle_age]]&lt;=9,"Mid-age",qhkz_4dqm[[#This Row],[vehicle_age]]&lt;=19,"Older",qhkz_4dqm[[#This Row],[vehicle_age]]&gt;=20,"Very Old")</f>
        <v>Very Old</v>
      </c>
    </row>
    <row r="1030" spans="1:10">
      <c r="A1030" s="2">
        <v>24136119</v>
      </c>
      <c r="B1030" s="2">
        <v>2413611901</v>
      </c>
      <c r="C1030" s="2">
        <v>1</v>
      </c>
      <c r="D1030" s="2">
        <v>2020</v>
      </c>
      <c r="E1030" s="2">
        <v>1</v>
      </c>
      <c r="F1030" s="2">
        <v>322.58</v>
      </c>
      <c r="G1030" s="2">
        <v>525.72</v>
      </c>
      <c r="H1030" s="2" t="str">
        <f>VLOOKUP(qhkz_4dqm[[#This Row],[fuel_type]],lookup!A:B,2,FALSE)</f>
        <v>Gasoline</v>
      </c>
      <c r="I1030" s="2">
        <f ca="1">YEAR(TODAY())-qhkz_4dqm[[#This Row],[year]]</f>
        <v>6</v>
      </c>
      <c r="J1030" s="2" t="str" cm="1">
        <f t="array" aca="1" ref="J1030" ca="1">_xlfn.IFS(qhkz_4dqm[[#This Row],[vehicle_age]]&lt;=3,"Newer",qhkz_4dqm[[#This Row],[vehicle_age]]&lt;=9,"Mid-age",qhkz_4dqm[[#This Row],[vehicle_age]]&lt;=19,"Older",qhkz_4dqm[[#This Row],[vehicle_age]]&gt;=20,"Very Old")</f>
        <v>Mid-age</v>
      </c>
    </row>
    <row r="1031" spans="1:10">
      <c r="A1031" s="2">
        <v>24136194</v>
      </c>
      <c r="B1031" s="2">
        <v>2413619401</v>
      </c>
      <c r="C1031" s="2">
        <v>1</v>
      </c>
      <c r="D1031" s="2">
        <v>2014</v>
      </c>
      <c r="E1031" s="2">
        <v>1</v>
      </c>
      <c r="F1031" s="2">
        <v>68.290000000000006</v>
      </c>
      <c r="G1031" s="2">
        <v>124.67</v>
      </c>
      <c r="H1031" s="2" t="str">
        <f>VLOOKUP(qhkz_4dqm[[#This Row],[fuel_type]],lookup!A:B,2,FALSE)</f>
        <v>Gasoline</v>
      </c>
      <c r="I1031" s="2">
        <f ca="1">YEAR(TODAY())-qhkz_4dqm[[#This Row],[year]]</f>
        <v>12</v>
      </c>
      <c r="J1031" s="2" t="str" cm="1">
        <f t="array" aca="1" ref="J1031" ca="1">_xlfn.IFS(qhkz_4dqm[[#This Row],[vehicle_age]]&lt;=3,"Newer",qhkz_4dqm[[#This Row],[vehicle_age]]&lt;=9,"Mid-age",qhkz_4dqm[[#This Row],[vehicle_age]]&lt;=19,"Older",qhkz_4dqm[[#This Row],[vehicle_age]]&gt;=20,"Very Old")</f>
        <v>Older</v>
      </c>
    </row>
    <row r="1032" spans="1:10">
      <c r="A1032" s="2">
        <v>24136228</v>
      </c>
      <c r="B1032" s="2">
        <v>2413622801</v>
      </c>
      <c r="C1032" s="2">
        <v>1</v>
      </c>
      <c r="D1032" s="2">
        <v>2022</v>
      </c>
      <c r="E1032" s="2">
        <v>1</v>
      </c>
      <c r="F1032" s="2">
        <v>115.44</v>
      </c>
      <c r="G1032" s="2">
        <v>256.77999999999997</v>
      </c>
      <c r="H1032" s="2" t="str">
        <f>VLOOKUP(qhkz_4dqm[[#This Row],[fuel_type]],lookup!A:B,2,FALSE)</f>
        <v>Gasoline</v>
      </c>
      <c r="I1032" s="2">
        <f ca="1">YEAR(TODAY())-qhkz_4dqm[[#This Row],[year]]</f>
        <v>4</v>
      </c>
      <c r="J1032" s="2" t="str" cm="1">
        <f t="array" aca="1" ref="J1032" ca="1">_xlfn.IFS(qhkz_4dqm[[#This Row],[vehicle_age]]&lt;=3,"Newer",qhkz_4dqm[[#This Row],[vehicle_age]]&lt;=9,"Mid-age",qhkz_4dqm[[#This Row],[vehicle_age]]&lt;=19,"Older",qhkz_4dqm[[#This Row],[vehicle_age]]&gt;=20,"Very Old")</f>
        <v>Mid-age</v>
      </c>
    </row>
    <row r="1033" spans="1:10">
      <c r="A1033" s="2">
        <v>24136322</v>
      </c>
      <c r="B1033" s="2">
        <v>2413632201</v>
      </c>
      <c r="C1033" s="2">
        <v>1</v>
      </c>
      <c r="D1033" s="2">
        <v>2018</v>
      </c>
      <c r="E1033" s="2">
        <v>1</v>
      </c>
      <c r="F1033" s="2">
        <v>547.15</v>
      </c>
      <c r="G1033" s="2">
        <v>703.5</v>
      </c>
      <c r="H1033" s="2" t="str">
        <f>VLOOKUP(qhkz_4dqm[[#This Row],[fuel_type]],lookup!A:B,2,FALSE)</f>
        <v>Gasoline</v>
      </c>
      <c r="I1033" s="2">
        <f ca="1">YEAR(TODAY())-qhkz_4dqm[[#This Row],[year]]</f>
        <v>8</v>
      </c>
      <c r="J1033" s="2" t="str" cm="1">
        <f t="array" aca="1" ref="J1033" ca="1">_xlfn.IFS(qhkz_4dqm[[#This Row],[vehicle_age]]&lt;=3,"Newer",qhkz_4dqm[[#This Row],[vehicle_age]]&lt;=9,"Mid-age",qhkz_4dqm[[#This Row],[vehicle_age]]&lt;=19,"Older",qhkz_4dqm[[#This Row],[vehicle_age]]&gt;=20,"Very Old")</f>
        <v>Mid-age</v>
      </c>
    </row>
    <row r="1034" spans="1:10">
      <c r="A1034" s="2">
        <v>24136426</v>
      </c>
      <c r="B1034" s="2">
        <v>2413642601</v>
      </c>
      <c r="C1034" s="2">
        <v>1</v>
      </c>
      <c r="D1034" s="2">
        <v>2017</v>
      </c>
      <c r="E1034" s="2">
        <v>1</v>
      </c>
      <c r="F1034" s="2">
        <v>380.64</v>
      </c>
      <c r="G1034" s="2">
        <v>309.42</v>
      </c>
      <c r="H1034" s="2" t="str">
        <f>VLOOKUP(qhkz_4dqm[[#This Row],[fuel_type]],lookup!A:B,2,FALSE)</f>
        <v>Gasoline</v>
      </c>
      <c r="I1034" s="2">
        <f ca="1">YEAR(TODAY())-qhkz_4dqm[[#This Row],[year]]</f>
        <v>9</v>
      </c>
      <c r="J1034" s="2" t="str" cm="1">
        <f t="array" aca="1" ref="J1034" ca="1">_xlfn.IFS(qhkz_4dqm[[#This Row],[vehicle_age]]&lt;=3,"Newer",qhkz_4dqm[[#This Row],[vehicle_age]]&lt;=9,"Mid-age",qhkz_4dqm[[#This Row],[vehicle_age]]&lt;=19,"Older",qhkz_4dqm[[#This Row],[vehicle_age]]&gt;=20,"Very Old")</f>
        <v>Mid-age</v>
      </c>
    </row>
    <row r="1035" spans="1:10">
      <c r="A1035" s="2">
        <v>24136449</v>
      </c>
      <c r="B1035" s="2">
        <v>2413644901</v>
      </c>
      <c r="C1035" s="2">
        <v>1</v>
      </c>
      <c r="D1035" s="2">
        <v>2012</v>
      </c>
      <c r="E1035" s="2">
        <v>1</v>
      </c>
      <c r="F1035" s="2">
        <v>252.14</v>
      </c>
      <c r="G1035" s="2">
        <v>241.15</v>
      </c>
      <c r="H1035" s="2" t="str">
        <f>VLOOKUP(qhkz_4dqm[[#This Row],[fuel_type]],lookup!A:B,2,FALSE)</f>
        <v>Gasoline</v>
      </c>
      <c r="I1035" s="2">
        <f ca="1">YEAR(TODAY())-qhkz_4dqm[[#This Row],[year]]</f>
        <v>14</v>
      </c>
      <c r="J1035" s="2" t="str" cm="1">
        <f t="array" aca="1" ref="J1035" ca="1">_xlfn.IFS(qhkz_4dqm[[#This Row],[vehicle_age]]&lt;=3,"Newer",qhkz_4dqm[[#This Row],[vehicle_age]]&lt;=9,"Mid-age",qhkz_4dqm[[#This Row],[vehicle_age]]&lt;=19,"Older",qhkz_4dqm[[#This Row],[vehicle_age]]&gt;=20,"Very Old")</f>
        <v>Older</v>
      </c>
    </row>
    <row r="1036" spans="1:10">
      <c r="A1036" s="2">
        <v>24136467</v>
      </c>
      <c r="B1036" s="2">
        <v>2413646701</v>
      </c>
      <c r="C1036" s="2">
        <v>1</v>
      </c>
      <c r="D1036" s="2">
        <v>2021</v>
      </c>
      <c r="E1036" s="2">
        <v>1</v>
      </c>
      <c r="F1036" s="2">
        <v>964.94</v>
      </c>
      <c r="G1036" s="2">
        <v>1142.83</v>
      </c>
      <c r="H1036" s="2" t="str">
        <f>VLOOKUP(qhkz_4dqm[[#This Row],[fuel_type]],lookup!A:B,2,FALSE)</f>
        <v>Gasoline</v>
      </c>
      <c r="I1036" s="2">
        <f ca="1">YEAR(TODAY())-qhkz_4dqm[[#This Row],[year]]</f>
        <v>5</v>
      </c>
      <c r="J1036" s="2" t="str" cm="1">
        <f t="array" aca="1" ref="J1036" ca="1">_xlfn.IFS(qhkz_4dqm[[#This Row],[vehicle_age]]&lt;=3,"Newer",qhkz_4dqm[[#This Row],[vehicle_age]]&lt;=9,"Mid-age",qhkz_4dqm[[#This Row],[vehicle_age]]&lt;=19,"Older",qhkz_4dqm[[#This Row],[vehicle_age]]&gt;=20,"Very Old")</f>
        <v>Mid-age</v>
      </c>
    </row>
    <row r="1037" spans="1:10">
      <c r="A1037" s="2">
        <v>24136496</v>
      </c>
      <c r="B1037" s="2">
        <v>2413649601</v>
      </c>
      <c r="C1037" s="2">
        <v>1</v>
      </c>
      <c r="D1037" s="2">
        <v>2023</v>
      </c>
      <c r="E1037" s="2">
        <v>1</v>
      </c>
      <c r="F1037" s="2">
        <v>235.87</v>
      </c>
      <c r="G1037" s="2">
        <v>434.12</v>
      </c>
      <c r="H1037" s="2" t="str">
        <f>VLOOKUP(qhkz_4dqm[[#This Row],[fuel_type]],lookup!A:B,2,FALSE)</f>
        <v>Gasoline</v>
      </c>
      <c r="I1037" s="2">
        <f ca="1">YEAR(TODAY())-qhkz_4dqm[[#This Row],[year]]</f>
        <v>3</v>
      </c>
      <c r="J1037" s="2" t="str" cm="1">
        <f t="array" aca="1" ref="J1037" ca="1">_xlfn.IFS(qhkz_4dqm[[#This Row],[vehicle_age]]&lt;=3,"Newer",qhkz_4dqm[[#This Row],[vehicle_age]]&lt;=9,"Mid-age",qhkz_4dqm[[#This Row],[vehicle_age]]&lt;=19,"Older",qhkz_4dqm[[#This Row],[vehicle_age]]&gt;=20,"Very Old")</f>
        <v>Newer</v>
      </c>
    </row>
    <row r="1038" spans="1:10">
      <c r="A1038" s="2">
        <v>24136543</v>
      </c>
      <c r="B1038" s="2">
        <v>2413654301</v>
      </c>
      <c r="C1038" s="2">
        <v>1</v>
      </c>
      <c r="D1038" s="2">
        <v>2019</v>
      </c>
      <c r="E1038" s="2">
        <v>1</v>
      </c>
      <c r="F1038" s="2">
        <v>65.64</v>
      </c>
      <c r="G1038" s="2">
        <v>173.06</v>
      </c>
      <c r="H1038" s="2" t="str">
        <f>VLOOKUP(qhkz_4dqm[[#This Row],[fuel_type]],lookup!A:B,2,FALSE)</f>
        <v>Gasoline</v>
      </c>
      <c r="I1038" s="2">
        <f ca="1">YEAR(TODAY())-qhkz_4dqm[[#This Row],[year]]</f>
        <v>7</v>
      </c>
      <c r="J1038" s="2" t="str" cm="1">
        <f t="array" aca="1" ref="J1038" ca="1">_xlfn.IFS(qhkz_4dqm[[#This Row],[vehicle_age]]&lt;=3,"Newer",qhkz_4dqm[[#This Row],[vehicle_age]]&lt;=9,"Mid-age",qhkz_4dqm[[#This Row],[vehicle_age]]&lt;=19,"Older",qhkz_4dqm[[#This Row],[vehicle_age]]&gt;=20,"Very Old")</f>
        <v>Mid-age</v>
      </c>
    </row>
    <row r="1039" spans="1:10">
      <c r="A1039" s="2">
        <v>24136751</v>
      </c>
      <c r="B1039" s="2">
        <v>2413675101</v>
      </c>
      <c r="C1039" s="2">
        <v>1</v>
      </c>
      <c r="D1039" s="2">
        <v>2018</v>
      </c>
      <c r="E1039" s="2">
        <v>1</v>
      </c>
      <c r="F1039" s="2">
        <v>118.58</v>
      </c>
      <c r="G1039" s="2">
        <v>320.5</v>
      </c>
      <c r="H1039" s="2" t="str">
        <f>VLOOKUP(qhkz_4dqm[[#This Row],[fuel_type]],lookup!A:B,2,FALSE)</f>
        <v>Gasoline</v>
      </c>
      <c r="I1039" s="2">
        <f ca="1">YEAR(TODAY())-qhkz_4dqm[[#This Row],[year]]</f>
        <v>8</v>
      </c>
      <c r="J1039" s="2" t="str" cm="1">
        <f t="array" aca="1" ref="J1039" ca="1">_xlfn.IFS(qhkz_4dqm[[#This Row],[vehicle_age]]&lt;=3,"Newer",qhkz_4dqm[[#This Row],[vehicle_age]]&lt;=9,"Mid-age",qhkz_4dqm[[#This Row],[vehicle_age]]&lt;=19,"Older",qhkz_4dqm[[#This Row],[vehicle_age]]&gt;=20,"Very Old")</f>
        <v>Mid-age</v>
      </c>
    </row>
    <row r="1040" spans="1:10">
      <c r="A1040" s="2">
        <v>24136885</v>
      </c>
      <c r="B1040" s="2">
        <v>2413688501</v>
      </c>
      <c r="C1040" s="2">
        <v>1</v>
      </c>
      <c r="D1040" s="2">
        <v>2012</v>
      </c>
      <c r="E1040" s="2">
        <v>1</v>
      </c>
      <c r="F1040" s="2">
        <v>510.4</v>
      </c>
      <c r="G1040" s="2">
        <v>333.81</v>
      </c>
      <c r="H1040" s="2" t="str">
        <f>VLOOKUP(qhkz_4dqm[[#This Row],[fuel_type]],lookup!A:B,2,FALSE)</f>
        <v>Gasoline</v>
      </c>
      <c r="I1040" s="2">
        <f ca="1">YEAR(TODAY())-qhkz_4dqm[[#This Row],[year]]</f>
        <v>14</v>
      </c>
      <c r="J1040" s="2" t="str" cm="1">
        <f t="array" aca="1" ref="J1040" ca="1">_xlfn.IFS(qhkz_4dqm[[#This Row],[vehicle_age]]&lt;=3,"Newer",qhkz_4dqm[[#This Row],[vehicle_age]]&lt;=9,"Mid-age",qhkz_4dqm[[#This Row],[vehicle_age]]&lt;=19,"Older",qhkz_4dqm[[#This Row],[vehicle_age]]&gt;=20,"Very Old")</f>
        <v>Older</v>
      </c>
    </row>
    <row r="1041" spans="1:10">
      <c r="A1041" s="2">
        <v>24137008</v>
      </c>
      <c r="B1041" s="2">
        <v>2413700801</v>
      </c>
      <c r="C1041" s="2">
        <v>1</v>
      </c>
      <c r="D1041" s="2">
        <v>2013</v>
      </c>
      <c r="E1041" s="2">
        <v>1</v>
      </c>
      <c r="F1041" s="2">
        <v>50.04</v>
      </c>
      <c r="G1041" s="2">
        <v>73.489999999999995</v>
      </c>
      <c r="H1041" s="2" t="str">
        <f>VLOOKUP(qhkz_4dqm[[#This Row],[fuel_type]],lookup!A:B,2,FALSE)</f>
        <v>Gasoline</v>
      </c>
      <c r="I1041" s="2">
        <f ca="1">YEAR(TODAY())-qhkz_4dqm[[#This Row],[year]]</f>
        <v>13</v>
      </c>
      <c r="J1041" s="2" t="str" cm="1">
        <f t="array" aca="1" ref="J1041" ca="1">_xlfn.IFS(qhkz_4dqm[[#This Row],[vehicle_age]]&lt;=3,"Newer",qhkz_4dqm[[#This Row],[vehicle_age]]&lt;=9,"Mid-age",qhkz_4dqm[[#This Row],[vehicle_age]]&lt;=19,"Older",qhkz_4dqm[[#This Row],[vehicle_age]]&gt;=20,"Very Old")</f>
        <v>Older</v>
      </c>
    </row>
    <row r="1042" spans="1:10">
      <c r="A1042" s="2">
        <v>24137029</v>
      </c>
      <c r="B1042" s="2">
        <v>2413702901</v>
      </c>
      <c r="C1042" s="2">
        <v>1</v>
      </c>
      <c r="D1042" s="2">
        <v>2004</v>
      </c>
      <c r="E1042" s="2">
        <v>1</v>
      </c>
      <c r="F1042" s="2">
        <v>856.38</v>
      </c>
      <c r="G1042" s="2">
        <v>480.89</v>
      </c>
      <c r="H1042" s="2" t="str">
        <f>VLOOKUP(qhkz_4dqm[[#This Row],[fuel_type]],lookup!A:B,2,FALSE)</f>
        <v>Gasoline</v>
      </c>
      <c r="I1042" s="2">
        <f ca="1">YEAR(TODAY())-qhkz_4dqm[[#This Row],[year]]</f>
        <v>22</v>
      </c>
      <c r="J1042" s="2" t="str" cm="1">
        <f t="array" aca="1" ref="J1042" ca="1">_xlfn.IFS(qhkz_4dqm[[#This Row],[vehicle_age]]&lt;=3,"Newer",qhkz_4dqm[[#This Row],[vehicle_age]]&lt;=9,"Mid-age",qhkz_4dqm[[#This Row],[vehicle_age]]&lt;=19,"Older",qhkz_4dqm[[#This Row],[vehicle_age]]&gt;=20,"Very Old")</f>
        <v>Very Old</v>
      </c>
    </row>
    <row r="1043" spans="1:10">
      <c r="A1043" s="2">
        <v>24137153</v>
      </c>
      <c r="B1043" s="2">
        <v>2413715301</v>
      </c>
      <c r="C1043" s="2">
        <v>1</v>
      </c>
      <c r="D1043" s="2">
        <v>2011</v>
      </c>
      <c r="E1043" s="2">
        <v>1</v>
      </c>
      <c r="F1043" s="2">
        <v>550.16999999999996</v>
      </c>
      <c r="G1043" s="2">
        <v>2470.2199999999998</v>
      </c>
      <c r="H1043" s="2" t="str">
        <f>VLOOKUP(qhkz_4dqm[[#This Row],[fuel_type]],lookup!A:B,2,FALSE)</f>
        <v>Gasoline</v>
      </c>
      <c r="I1043" s="2">
        <f ca="1">YEAR(TODAY())-qhkz_4dqm[[#This Row],[year]]</f>
        <v>15</v>
      </c>
      <c r="J1043" s="2" t="str" cm="1">
        <f t="array" aca="1" ref="J1043" ca="1">_xlfn.IFS(qhkz_4dqm[[#This Row],[vehicle_age]]&lt;=3,"Newer",qhkz_4dqm[[#This Row],[vehicle_age]]&lt;=9,"Mid-age",qhkz_4dqm[[#This Row],[vehicle_age]]&lt;=19,"Older",qhkz_4dqm[[#This Row],[vehicle_age]]&gt;=20,"Very Old")</f>
        <v>Older</v>
      </c>
    </row>
    <row r="1044" spans="1:10">
      <c r="A1044" s="2">
        <v>24137231</v>
      </c>
      <c r="B1044" s="2">
        <v>2413723101</v>
      </c>
      <c r="C1044" s="2">
        <v>1</v>
      </c>
      <c r="D1044" s="2">
        <v>2023</v>
      </c>
      <c r="E1044" s="2">
        <v>1</v>
      </c>
      <c r="F1044" s="2">
        <v>140.41</v>
      </c>
      <c r="G1044" s="2">
        <v>140.31</v>
      </c>
      <c r="H1044" s="2" t="str">
        <f>VLOOKUP(qhkz_4dqm[[#This Row],[fuel_type]],lookup!A:B,2,FALSE)</f>
        <v>Gasoline</v>
      </c>
      <c r="I1044" s="2">
        <f ca="1">YEAR(TODAY())-qhkz_4dqm[[#This Row],[year]]</f>
        <v>3</v>
      </c>
      <c r="J1044" s="2" t="str" cm="1">
        <f t="array" aca="1" ref="J1044" ca="1">_xlfn.IFS(qhkz_4dqm[[#This Row],[vehicle_age]]&lt;=3,"Newer",qhkz_4dqm[[#This Row],[vehicle_age]]&lt;=9,"Mid-age",qhkz_4dqm[[#This Row],[vehicle_age]]&lt;=19,"Older",qhkz_4dqm[[#This Row],[vehicle_age]]&gt;=20,"Very Old")</f>
        <v>Newer</v>
      </c>
    </row>
    <row r="1045" spans="1:10">
      <c r="A1045" s="2">
        <v>24137283</v>
      </c>
      <c r="B1045" s="2">
        <v>2413728301</v>
      </c>
      <c r="C1045" s="2">
        <v>1</v>
      </c>
      <c r="D1045" s="2">
        <v>2021</v>
      </c>
      <c r="E1045" s="2">
        <v>1</v>
      </c>
      <c r="F1045" s="2">
        <v>118.58</v>
      </c>
      <c r="G1045" s="2">
        <v>127.92</v>
      </c>
      <c r="H1045" s="2" t="str">
        <f>VLOOKUP(qhkz_4dqm[[#This Row],[fuel_type]],lookup!A:B,2,FALSE)</f>
        <v>Gasoline</v>
      </c>
      <c r="I1045" s="2">
        <f ca="1">YEAR(TODAY())-qhkz_4dqm[[#This Row],[year]]</f>
        <v>5</v>
      </c>
      <c r="J1045" s="2" t="str" cm="1">
        <f t="array" aca="1" ref="J1045" ca="1">_xlfn.IFS(qhkz_4dqm[[#This Row],[vehicle_age]]&lt;=3,"Newer",qhkz_4dqm[[#This Row],[vehicle_age]]&lt;=9,"Mid-age",qhkz_4dqm[[#This Row],[vehicle_age]]&lt;=19,"Older",qhkz_4dqm[[#This Row],[vehicle_age]]&gt;=20,"Very Old")</f>
        <v>Mid-age</v>
      </c>
    </row>
    <row r="1046" spans="1:10">
      <c r="A1046" s="2">
        <v>24137305</v>
      </c>
      <c r="B1046" s="2">
        <v>2413730501</v>
      </c>
      <c r="C1046" s="2">
        <v>1</v>
      </c>
      <c r="D1046" s="2">
        <v>2023</v>
      </c>
      <c r="E1046" s="2">
        <v>1</v>
      </c>
      <c r="F1046" s="2">
        <v>2505.19</v>
      </c>
      <c r="G1046" s="2">
        <v>1805.14</v>
      </c>
      <c r="H1046" s="2" t="str">
        <f>VLOOKUP(qhkz_4dqm[[#This Row],[fuel_type]],lookup!A:B,2,FALSE)</f>
        <v>Gasoline</v>
      </c>
      <c r="I1046" s="2">
        <f ca="1">YEAR(TODAY())-qhkz_4dqm[[#This Row],[year]]</f>
        <v>3</v>
      </c>
      <c r="J1046" s="2" t="str" cm="1">
        <f t="array" aca="1" ref="J1046" ca="1">_xlfn.IFS(qhkz_4dqm[[#This Row],[vehicle_age]]&lt;=3,"Newer",qhkz_4dqm[[#This Row],[vehicle_age]]&lt;=9,"Mid-age",qhkz_4dqm[[#This Row],[vehicle_age]]&lt;=19,"Older",qhkz_4dqm[[#This Row],[vehicle_age]]&gt;=20,"Very Old")</f>
        <v>Newer</v>
      </c>
    </row>
    <row r="1047" spans="1:10">
      <c r="A1047" s="2">
        <v>24137333</v>
      </c>
      <c r="B1047" s="2">
        <v>2413733301</v>
      </c>
      <c r="C1047" s="2">
        <v>1</v>
      </c>
      <c r="D1047" s="2">
        <v>2018</v>
      </c>
      <c r="E1047" s="2">
        <v>1</v>
      </c>
      <c r="F1047" s="2">
        <v>487.86</v>
      </c>
      <c r="G1047" s="2">
        <v>609.85</v>
      </c>
      <c r="H1047" s="2" t="str">
        <f>VLOOKUP(qhkz_4dqm[[#This Row],[fuel_type]],lookup!A:B,2,FALSE)</f>
        <v>Gasoline</v>
      </c>
      <c r="I1047" s="2">
        <f ca="1">YEAR(TODAY())-qhkz_4dqm[[#This Row],[year]]</f>
        <v>8</v>
      </c>
      <c r="J1047" s="2" t="str" cm="1">
        <f t="array" aca="1" ref="J1047" ca="1">_xlfn.IFS(qhkz_4dqm[[#This Row],[vehicle_age]]&lt;=3,"Newer",qhkz_4dqm[[#This Row],[vehicle_age]]&lt;=9,"Mid-age",qhkz_4dqm[[#This Row],[vehicle_age]]&lt;=19,"Older",qhkz_4dqm[[#This Row],[vehicle_age]]&gt;=20,"Very Old")</f>
        <v>Mid-age</v>
      </c>
    </row>
    <row r="1048" spans="1:10">
      <c r="A1048" s="2">
        <v>24137346</v>
      </c>
      <c r="B1048" s="2">
        <v>2413734601</v>
      </c>
      <c r="C1048" s="2">
        <v>1</v>
      </c>
      <c r="D1048" s="2">
        <v>2015</v>
      </c>
      <c r="E1048" s="2">
        <v>1</v>
      </c>
      <c r="F1048" s="2">
        <v>318.55</v>
      </c>
      <c r="G1048" s="2">
        <v>410.53</v>
      </c>
      <c r="H1048" s="2" t="str">
        <f>VLOOKUP(qhkz_4dqm[[#This Row],[fuel_type]],lookup!A:B,2,FALSE)</f>
        <v>Gasoline</v>
      </c>
      <c r="I1048" s="2">
        <f ca="1">YEAR(TODAY())-qhkz_4dqm[[#This Row],[year]]</f>
        <v>11</v>
      </c>
      <c r="J1048" s="2" t="str" cm="1">
        <f t="array" aca="1" ref="J1048" ca="1">_xlfn.IFS(qhkz_4dqm[[#This Row],[vehicle_age]]&lt;=3,"Newer",qhkz_4dqm[[#This Row],[vehicle_age]]&lt;=9,"Mid-age",qhkz_4dqm[[#This Row],[vehicle_age]]&lt;=19,"Older",qhkz_4dqm[[#This Row],[vehicle_age]]&gt;=20,"Very Old")</f>
        <v>Older</v>
      </c>
    </row>
    <row r="1049" spans="1:10">
      <c r="A1049" s="2">
        <v>24137412</v>
      </c>
      <c r="B1049" s="2">
        <v>2413741201</v>
      </c>
      <c r="C1049" s="2">
        <v>1</v>
      </c>
      <c r="D1049" s="2">
        <v>2005</v>
      </c>
      <c r="E1049" s="2">
        <v>1</v>
      </c>
      <c r="F1049" s="2">
        <v>85</v>
      </c>
      <c r="G1049" s="2">
        <v>172.37</v>
      </c>
      <c r="H1049" s="2" t="str">
        <f>VLOOKUP(qhkz_4dqm[[#This Row],[fuel_type]],lookup!A:B,2,FALSE)</f>
        <v>Gasoline</v>
      </c>
      <c r="I1049" s="2">
        <f ca="1">YEAR(TODAY())-qhkz_4dqm[[#This Row],[year]]</f>
        <v>21</v>
      </c>
      <c r="J1049" s="2" t="str" cm="1">
        <f t="array" aca="1" ref="J1049" ca="1">_xlfn.IFS(qhkz_4dqm[[#This Row],[vehicle_age]]&lt;=3,"Newer",qhkz_4dqm[[#This Row],[vehicle_age]]&lt;=9,"Mid-age",qhkz_4dqm[[#This Row],[vehicle_age]]&lt;=19,"Older",qhkz_4dqm[[#This Row],[vehicle_age]]&gt;=20,"Very Old")</f>
        <v>Very Old</v>
      </c>
    </row>
    <row r="1050" spans="1:10">
      <c r="A1050" s="2">
        <v>24137485</v>
      </c>
      <c r="B1050" s="2">
        <v>2413748501</v>
      </c>
      <c r="C1050" s="2">
        <v>1</v>
      </c>
      <c r="D1050" s="2">
        <v>2014</v>
      </c>
      <c r="E1050" s="2">
        <v>1</v>
      </c>
      <c r="F1050" s="2">
        <v>1605.48</v>
      </c>
      <c r="G1050" s="2">
        <v>1768.41</v>
      </c>
      <c r="H1050" s="2" t="str">
        <f>VLOOKUP(qhkz_4dqm[[#This Row],[fuel_type]],lookup!A:B,2,FALSE)</f>
        <v>Gasoline</v>
      </c>
      <c r="I1050" s="2">
        <f ca="1">YEAR(TODAY())-qhkz_4dqm[[#This Row],[year]]</f>
        <v>12</v>
      </c>
      <c r="J1050" s="2" t="str" cm="1">
        <f t="array" aca="1" ref="J1050" ca="1">_xlfn.IFS(qhkz_4dqm[[#This Row],[vehicle_age]]&lt;=3,"Newer",qhkz_4dqm[[#This Row],[vehicle_age]]&lt;=9,"Mid-age",qhkz_4dqm[[#This Row],[vehicle_age]]&lt;=19,"Older",qhkz_4dqm[[#This Row],[vehicle_age]]&gt;=20,"Very Old")</f>
        <v>Older</v>
      </c>
    </row>
    <row r="1051" spans="1:10">
      <c r="A1051" s="2">
        <v>24137536</v>
      </c>
      <c r="B1051" s="2">
        <v>2413753601</v>
      </c>
      <c r="C1051" s="2">
        <v>1</v>
      </c>
      <c r="D1051" s="2">
        <v>2019</v>
      </c>
      <c r="E1051" s="2">
        <v>1</v>
      </c>
      <c r="F1051" s="2">
        <v>68.31</v>
      </c>
      <c r="G1051" s="2">
        <v>130.24</v>
      </c>
      <c r="H1051" s="2" t="str">
        <f>VLOOKUP(qhkz_4dqm[[#This Row],[fuel_type]],lookup!A:B,2,FALSE)</f>
        <v>Gasoline</v>
      </c>
      <c r="I1051" s="2">
        <f ca="1">YEAR(TODAY())-qhkz_4dqm[[#This Row],[year]]</f>
        <v>7</v>
      </c>
      <c r="J1051" s="2" t="str" cm="1">
        <f t="array" aca="1" ref="J1051" ca="1">_xlfn.IFS(qhkz_4dqm[[#This Row],[vehicle_age]]&lt;=3,"Newer",qhkz_4dqm[[#This Row],[vehicle_age]]&lt;=9,"Mid-age",qhkz_4dqm[[#This Row],[vehicle_age]]&lt;=19,"Older",qhkz_4dqm[[#This Row],[vehicle_age]]&gt;=20,"Very Old")</f>
        <v>Mid-age</v>
      </c>
    </row>
    <row r="1052" spans="1:10">
      <c r="A1052" s="2">
        <v>24137559</v>
      </c>
      <c r="B1052" s="2">
        <v>2413755901</v>
      </c>
      <c r="C1052" s="2">
        <v>1</v>
      </c>
      <c r="D1052" s="2">
        <v>2019</v>
      </c>
      <c r="E1052" s="2">
        <v>1</v>
      </c>
      <c r="F1052" s="2">
        <v>138.79</v>
      </c>
      <c r="G1052" s="2">
        <v>213.42</v>
      </c>
      <c r="H1052" s="2" t="str">
        <f>VLOOKUP(qhkz_4dqm[[#This Row],[fuel_type]],lookup!A:B,2,FALSE)</f>
        <v>Gasoline</v>
      </c>
      <c r="I1052" s="2">
        <f ca="1">YEAR(TODAY())-qhkz_4dqm[[#This Row],[year]]</f>
        <v>7</v>
      </c>
      <c r="J1052" s="2" t="str" cm="1">
        <f t="array" aca="1" ref="J1052" ca="1">_xlfn.IFS(qhkz_4dqm[[#This Row],[vehicle_age]]&lt;=3,"Newer",qhkz_4dqm[[#This Row],[vehicle_age]]&lt;=9,"Mid-age",qhkz_4dqm[[#This Row],[vehicle_age]]&lt;=19,"Older",qhkz_4dqm[[#This Row],[vehicle_age]]&gt;=20,"Very Old")</f>
        <v>Mid-age</v>
      </c>
    </row>
    <row r="1053" spans="1:10">
      <c r="A1053" s="2">
        <v>24137585</v>
      </c>
      <c r="B1053" s="2">
        <v>2413758501</v>
      </c>
      <c r="C1053" s="2">
        <v>1</v>
      </c>
      <c r="D1053" s="2">
        <v>2023</v>
      </c>
      <c r="E1053" s="2">
        <v>1</v>
      </c>
      <c r="F1053" s="2">
        <v>158.05000000000001</v>
      </c>
      <c r="G1053" s="2">
        <v>459.47</v>
      </c>
      <c r="H1053" s="2" t="str">
        <f>VLOOKUP(qhkz_4dqm[[#This Row],[fuel_type]],lookup!A:B,2,FALSE)</f>
        <v>Gasoline</v>
      </c>
      <c r="I1053" s="2">
        <f ca="1">YEAR(TODAY())-qhkz_4dqm[[#This Row],[year]]</f>
        <v>3</v>
      </c>
      <c r="J1053" s="2" t="str" cm="1">
        <f t="array" aca="1" ref="J1053" ca="1">_xlfn.IFS(qhkz_4dqm[[#This Row],[vehicle_age]]&lt;=3,"Newer",qhkz_4dqm[[#This Row],[vehicle_age]]&lt;=9,"Mid-age",qhkz_4dqm[[#This Row],[vehicle_age]]&lt;=19,"Older",qhkz_4dqm[[#This Row],[vehicle_age]]&gt;=20,"Very Old")</f>
        <v>Newer</v>
      </c>
    </row>
    <row r="1054" spans="1:10">
      <c r="A1054" s="2">
        <v>24137739</v>
      </c>
      <c r="B1054" s="2">
        <v>2413773901</v>
      </c>
      <c r="C1054" s="2">
        <v>1</v>
      </c>
      <c r="D1054" s="2">
        <v>2010</v>
      </c>
      <c r="E1054" s="2">
        <v>1</v>
      </c>
      <c r="F1054" s="2">
        <v>67.819999999999993</v>
      </c>
      <c r="G1054" s="2">
        <v>205.06</v>
      </c>
      <c r="H1054" s="2" t="str">
        <f>VLOOKUP(qhkz_4dqm[[#This Row],[fuel_type]],lookup!A:B,2,FALSE)</f>
        <v>Gasoline</v>
      </c>
      <c r="I1054" s="2">
        <f ca="1">YEAR(TODAY())-qhkz_4dqm[[#This Row],[year]]</f>
        <v>16</v>
      </c>
      <c r="J1054" s="2" t="str" cm="1">
        <f t="array" aca="1" ref="J1054" ca="1">_xlfn.IFS(qhkz_4dqm[[#This Row],[vehicle_age]]&lt;=3,"Newer",qhkz_4dqm[[#This Row],[vehicle_age]]&lt;=9,"Mid-age",qhkz_4dqm[[#This Row],[vehicle_age]]&lt;=19,"Older",qhkz_4dqm[[#This Row],[vehicle_age]]&gt;=20,"Very Old")</f>
        <v>Older</v>
      </c>
    </row>
    <row r="1055" spans="1:10">
      <c r="A1055" s="2">
        <v>24137794</v>
      </c>
      <c r="B1055" s="2">
        <v>2413779401</v>
      </c>
      <c r="C1055" s="2">
        <v>1</v>
      </c>
      <c r="D1055" s="2">
        <v>2018</v>
      </c>
      <c r="E1055" s="2">
        <v>1</v>
      </c>
      <c r="F1055" s="2">
        <v>471.93</v>
      </c>
      <c r="G1055" s="2">
        <v>1239.72</v>
      </c>
      <c r="H1055" s="2" t="str">
        <f>VLOOKUP(qhkz_4dqm[[#This Row],[fuel_type]],lookup!A:B,2,FALSE)</f>
        <v>Gasoline</v>
      </c>
      <c r="I1055" s="2">
        <f ca="1">YEAR(TODAY())-qhkz_4dqm[[#This Row],[year]]</f>
        <v>8</v>
      </c>
      <c r="J1055" s="2" t="str" cm="1">
        <f t="array" aca="1" ref="J1055" ca="1">_xlfn.IFS(qhkz_4dqm[[#This Row],[vehicle_age]]&lt;=3,"Newer",qhkz_4dqm[[#This Row],[vehicle_age]]&lt;=9,"Mid-age",qhkz_4dqm[[#This Row],[vehicle_age]]&lt;=19,"Older",qhkz_4dqm[[#This Row],[vehicle_age]]&gt;=20,"Very Old")</f>
        <v>Mid-age</v>
      </c>
    </row>
    <row r="1056" spans="1:10">
      <c r="A1056" s="2">
        <v>24137807</v>
      </c>
      <c r="B1056" s="2">
        <v>2413780701</v>
      </c>
      <c r="C1056" s="2">
        <v>1</v>
      </c>
      <c r="D1056" s="2">
        <v>2019</v>
      </c>
      <c r="E1056" s="2">
        <v>1</v>
      </c>
      <c r="F1056" s="2">
        <v>219.23</v>
      </c>
      <c r="G1056" s="2">
        <v>403.2</v>
      </c>
      <c r="H1056" s="2" t="str">
        <f>VLOOKUP(qhkz_4dqm[[#This Row],[fuel_type]],lookup!A:B,2,FALSE)</f>
        <v>Gasoline</v>
      </c>
      <c r="I1056" s="2">
        <f ca="1">YEAR(TODAY())-qhkz_4dqm[[#This Row],[year]]</f>
        <v>7</v>
      </c>
      <c r="J1056" s="2" t="str" cm="1">
        <f t="array" aca="1" ref="J1056" ca="1">_xlfn.IFS(qhkz_4dqm[[#This Row],[vehicle_age]]&lt;=3,"Newer",qhkz_4dqm[[#This Row],[vehicle_age]]&lt;=9,"Mid-age",qhkz_4dqm[[#This Row],[vehicle_age]]&lt;=19,"Older",qhkz_4dqm[[#This Row],[vehicle_age]]&gt;=20,"Very Old")</f>
        <v>Mid-age</v>
      </c>
    </row>
    <row r="1057" spans="1:10">
      <c r="A1057" s="2">
        <v>24137824</v>
      </c>
      <c r="B1057" s="2">
        <v>2413782401</v>
      </c>
      <c r="C1057" s="2">
        <v>1</v>
      </c>
      <c r="D1057" s="2">
        <v>2015</v>
      </c>
      <c r="E1057" s="2">
        <v>1</v>
      </c>
      <c r="F1057" s="2">
        <v>1749.47</v>
      </c>
      <c r="G1057" s="2">
        <v>2182.77</v>
      </c>
      <c r="H1057" s="2" t="str">
        <f>VLOOKUP(qhkz_4dqm[[#This Row],[fuel_type]],lookup!A:B,2,FALSE)</f>
        <v>Gasoline</v>
      </c>
      <c r="I1057" s="2">
        <f ca="1">YEAR(TODAY())-qhkz_4dqm[[#This Row],[year]]</f>
        <v>11</v>
      </c>
      <c r="J1057" s="2" t="str" cm="1">
        <f t="array" aca="1" ref="J1057" ca="1">_xlfn.IFS(qhkz_4dqm[[#This Row],[vehicle_age]]&lt;=3,"Newer",qhkz_4dqm[[#This Row],[vehicle_age]]&lt;=9,"Mid-age",qhkz_4dqm[[#This Row],[vehicle_age]]&lt;=19,"Older",qhkz_4dqm[[#This Row],[vehicle_age]]&gt;=20,"Very Old")</f>
        <v>Older</v>
      </c>
    </row>
    <row r="1058" spans="1:10">
      <c r="A1058" s="2">
        <v>24137889</v>
      </c>
      <c r="B1058" s="2">
        <v>2413788901</v>
      </c>
      <c r="C1058" s="2">
        <v>1</v>
      </c>
      <c r="D1058" s="2">
        <v>2013</v>
      </c>
      <c r="E1058" s="2">
        <v>1</v>
      </c>
      <c r="F1058" s="2">
        <v>117.25</v>
      </c>
      <c r="G1058" s="2">
        <v>152.03</v>
      </c>
      <c r="H1058" s="2" t="str">
        <f>VLOOKUP(qhkz_4dqm[[#This Row],[fuel_type]],lookup!A:B,2,FALSE)</f>
        <v>Gasoline</v>
      </c>
      <c r="I1058" s="2">
        <f ca="1">YEAR(TODAY())-qhkz_4dqm[[#This Row],[year]]</f>
        <v>13</v>
      </c>
      <c r="J1058" s="2" t="str" cm="1">
        <f t="array" aca="1" ref="J1058" ca="1">_xlfn.IFS(qhkz_4dqm[[#This Row],[vehicle_age]]&lt;=3,"Newer",qhkz_4dqm[[#This Row],[vehicle_age]]&lt;=9,"Mid-age",qhkz_4dqm[[#This Row],[vehicle_age]]&lt;=19,"Older",qhkz_4dqm[[#This Row],[vehicle_age]]&gt;=20,"Very Old")</f>
        <v>Older</v>
      </c>
    </row>
    <row r="1059" spans="1:10">
      <c r="A1059" s="2">
        <v>24137906</v>
      </c>
      <c r="B1059" s="2">
        <v>2413790601</v>
      </c>
      <c r="C1059" s="2">
        <v>1</v>
      </c>
      <c r="D1059" s="2">
        <v>2019</v>
      </c>
      <c r="E1059" s="2">
        <v>1</v>
      </c>
      <c r="F1059" s="2">
        <v>138.83000000000001</v>
      </c>
      <c r="G1059" s="2">
        <v>166.75</v>
      </c>
      <c r="H1059" s="2" t="str">
        <f>VLOOKUP(qhkz_4dqm[[#This Row],[fuel_type]],lookup!A:B,2,FALSE)</f>
        <v>Gasoline</v>
      </c>
      <c r="I1059" s="2">
        <f ca="1">YEAR(TODAY())-qhkz_4dqm[[#This Row],[year]]</f>
        <v>7</v>
      </c>
      <c r="J1059" s="2" t="str" cm="1">
        <f t="array" aca="1" ref="J1059" ca="1">_xlfn.IFS(qhkz_4dqm[[#This Row],[vehicle_age]]&lt;=3,"Newer",qhkz_4dqm[[#This Row],[vehicle_age]]&lt;=9,"Mid-age",qhkz_4dqm[[#This Row],[vehicle_age]]&lt;=19,"Older",qhkz_4dqm[[#This Row],[vehicle_age]]&gt;=20,"Very Old")</f>
        <v>Mid-age</v>
      </c>
    </row>
    <row r="1060" spans="1:10">
      <c r="A1060" s="2">
        <v>24137909</v>
      </c>
      <c r="B1060" s="2">
        <v>2413790901</v>
      </c>
      <c r="C1060" s="2">
        <v>1</v>
      </c>
      <c r="D1060" s="2">
        <v>2018</v>
      </c>
      <c r="E1060" s="2">
        <v>1</v>
      </c>
      <c r="F1060" s="2">
        <v>101.95</v>
      </c>
      <c r="G1060" s="2">
        <v>73.16</v>
      </c>
      <c r="H1060" s="2" t="str">
        <f>VLOOKUP(qhkz_4dqm[[#This Row],[fuel_type]],lookup!A:B,2,FALSE)</f>
        <v>Gasoline</v>
      </c>
      <c r="I1060" s="2">
        <f ca="1">YEAR(TODAY())-qhkz_4dqm[[#This Row],[year]]</f>
        <v>8</v>
      </c>
      <c r="J1060" s="2" t="str" cm="1">
        <f t="array" aca="1" ref="J1060" ca="1">_xlfn.IFS(qhkz_4dqm[[#This Row],[vehicle_age]]&lt;=3,"Newer",qhkz_4dqm[[#This Row],[vehicle_age]]&lt;=9,"Mid-age",qhkz_4dqm[[#This Row],[vehicle_age]]&lt;=19,"Older",qhkz_4dqm[[#This Row],[vehicle_age]]&gt;=20,"Very Old")</f>
        <v>Mid-age</v>
      </c>
    </row>
    <row r="1061" spans="1:10">
      <c r="A1061" s="2">
        <v>24137915</v>
      </c>
      <c r="B1061" s="2">
        <v>2413791501</v>
      </c>
      <c r="C1061" s="2">
        <v>1</v>
      </c>
      <c r="D1061" s="2">
        <v>2015</v>
      </c>
      <c r="E1061" s="2">
        <v>1</v>
      </c>
      <c r="F1061" s="2">
        <v>220.42</v>
      </c>
      <c r="G1061" s="2">
        <v>363.53</v>
      </c>
      <c r="H1061" s="2" t="str">
        <f>VLOOKUP(qhkz_4dqm[[#This Row],[fuel_type]],lookup!A:B,2,FALSE)</f>
        <v>Gasoline</v>
      </c>
      <c r="I1061" s="2">
        <f ca="1">YEAR(TODAY())-qhkz_4dqm[[#This Row],[year]]</f>
        <v>11</v>
      </c>
      <c r="J1061" s="2" t="str" cm="1">
        <f t="array" aca="1" ref="J1061" ca="1">_xlfn.IFS(qhkz_4dqm[[#This Row],[vehicle_age]]&lt;=3,"Newer",qhkz_4dqm[[#This Row],[vehicle_age]]&lt;=9,"Mid-age",qhkz_4dqm[[#This Row],[vehicle_age]]&lt;=19,"Older",qhkz_4dqm[[#This Row],[vehicle_age]]&gt;=20,"Very Old")</f>
        <v>Older</v>
      </c>
    </row>
    <row r="1062" spans="1:10">
      <c r="A1062" s="2">
        <v>24138120</v>
      </c>
      <c r="B1062" s="2">
        <v>2413812001</v>
      </c>
      <c r="C1062" s="2">
        <v>1</v>
      </c>
      <c r="D1062" s="2">
        <v>2018</v>
      </c>
      <c r="E1062" s="2">
        <v>1</v>
      </c>
      <c r="F1062" s="2">
        <v>309.39999999999998</v>
      </c>
      <c r="G1062" s="2">
        <v>410.05</v>
      </c>
      <c r="H1062" s="2" t="str">
        <f>VLOOKUP(qhkz_4dqm[[#This Row],[fuel_type]],lookup!A:B,2,FALSE)</f>
        <v>Gasoline</v>
      </c>
      <c r="I1062" s="2">
        <f ca="1">YEAR(TODAY())-qhkz_4dqm[[#This Row],[year]]</f>
        <v>8</v>
      </c>
      <c r="J1062" s="2" t="str" cm="1">
        <f t="array" aca="1" ref="J1062" ca="1">_xlfn.IFS(qhkz_4dqm[[#This Row],[vehicle_age]]&lt;=3,"Newer",qhkz_4dqm[[#This Row],[vehicle_age]]&lt;=9,"Mid-age",qhkz_4dqm[[#This Row],[vehicle_age]]&lt;=19,"Older",qhkz_4dqm[[#This Row],[vehicle_age]]&gt;=20,"Very Old")</f>
        <v>Mid-age</v>
      </c>
    </row>
    <row r="1063" spans="1:10">
      <c r="A1063" s="2">
        <v>24138179</v>
      </c>
      <c r="B1063" s="2">
        <v>2413817901</v>
      </c>
      <c r="C1063" s="2">
        <v>1</v>
      </c>
      <c r="D1063" s="2">
        <v>2006</v>
      </c>
      <c r="E1063" s="2">
        <v>1</v>
      </c>
      <c r="F1063" s="2">
        <v>578.17999999999995</v>
      </c>
      <c r="G1063" s="2">
        <v>1408.14</v>
      </c>
      <c r="H1063" s="2" t="str">
        <f>VLOOKUP(qhkz_4dqm[[#This Row],[fuel_type]],lookup!A:B,2,FALSE)</f>
        <v>Gasoline</v>
      </c>
      <c r="I1063" s="2">
        <f ca="1">YEAR(TODAY())-qhkz_4dqm[[#This Row],[year]]</f>
        <v>20</v>
      </c>
      <c r="J1063" s="2" t="str" cm="1">
        <f t="array" aca="1" ref="J1063" ca="1">_xlfn.IFS(qhkz_4dqm[[#This Row],[vehicle_age]]&lt;=3,"Newer",qhkz_4dqm[[#This Row],[vehicle_age]]&lt;=9,"Mid-age",qhkz_4dqm[[#This Row],[vehicle_age]]&lt;=19,"Older",qhkz_4dqm[[#This Row],[vehicle_age]]&gt;=20,"Very Old")</f>
        <v>Very Old</v>
      </c>
    </row>
    <row r="1064" spans="1:10">
      <c r="A1064" s="2">
        <v>24138330</v>
      </c>
      <c r="B1064" s="2">
        <v>2413833001</v>
      </c>
      <c r="C1064" s="2">
        <v>1</v>
      </c>
      <c r="D1064" s="2">
        <v>2022</v>
      </c>
      <c r="E1064" s="2">
        <v>1</v>
      </c>
      <c r="F1064" s="2">
        <v>1495.62</v>
      </c>
      <c r="G1064" s="2">
        <v>449.8</v>
      </c>
      <c r="H1064" s="2" t="str">
        <f>VLOOKUP(qhkz_4dqm[[#This Row],[fuel_type]],lookup!A:B,2,FALSE)</f>
        <v>Gasoline</v>
      </c>
      <c r="I1064" s="2">
        <f ca="1">YEAR(TODAY())-qhkz_4dqm[[#This Row],[year]]</f>
        <v>4</v>
      </c>
      <c r="J1064" s="2" t="str" cm="1">
        <f t="array" aca="1" ref="J1064" ca="1">_xlfn.IFS(qhkz_4dqm[[#This Row],[vehicle_age]]&lt;=3,"Newer",qhkz_4dqm[[#This Row],[vehicle_age]]&lt;=9,"Mid-age",qhkz_4dqm[[#This Row],[vehicle_age]]&lt;=19,"Older",qhkz_4dqm[[#This Row],[vehicle_age]]&gt;=20,"Very Old")</f>
        <v>Mid-age</v>
      </c>
    </row>
    <row r="1065" spans="1:10">
      <c r="A1065" s="2">
        <v>24138345</v>
      </c>
      <c r="B1065" s="2">
        <v>2413834501</v>
      </c>
      <c r="C1065" s="2">
        <v>1</v>
      </c>
      <c r="D1065" s="2">
        <v>2024</v>
      </c>
      <c r="E1065" s="2">
        <v>1</v>
      </c>
      <c r="F1065" s="2">
        <v>277.14</v>
      </c>
      <c r="G1065" s="2">
        <v>330.05</v>
      </c>
      <c r="H1065" s="2" t="str">
        <f>VLOOKUP(qhkz_4dqm[[#This Row],[fuel_type]],lookup!A:B,2,FALSE)</f>
        <v>Gasoline</v>
      </c>
      <c r="I1065" s="2">
        <f ca="1">YEAR(TODAY())-qhkz_4dqm[[#This Row],[year]]</f>
        <v>2</v>
      </c>
      <c r="J1065" s="2" t="str" cm="1">
        <f t="array" aca="1" ref="J1065" ca="1">_xlfn.IFS(qhkz_4dqm[[#This Row],[vehicle_age]]&lt;=3,"Newer",qhkz_4dqm[[#This Row],[vehicle_age]]&lt;=9,"Mid-age",qhkz_4dqm[[#This Row],[vehicle_age]]&lt;=19,"Older",qhkz_4dqm[[#This Row],[vehicle_age]]&gt;=20,"Very Old")</f>
        <v>Newer</v>
      </c>
    </row>
    <row r="1066" spans="1:10">
      <c r="A1066" s="2">
        <v>24138578</v>
      </c>
      <c r="B1066" s="2">
        <v>2413857801</v>
      </c>
      <c r="C1066" s="2">
        <v>1</v>
      </c>
      <c r="D1066" s="2">
        <v>2022</v>
      </c>
      <c r="E1066" s="2">
        <v>1</v>
      </c>
      <c r="F1066" s="2">
        <v>318.5</v>
      </c>
      <c r="G1066" s="2">
        <v>307.02999999999997</v>
      </c>
      <c r="H1066" s="2" t="str">
        <f>VLOOKUP(qhkz_4dqm[[#This Row],[fuel_type]],lookup!A:B,2,FALSE)</f>
        <v>Gasoline</v>
      </c>
      <c r="I1066" s="2">
        <f ca="1">YEAR(TODAY())-qhkz_4dqm[[#This Row],[year]]</f>
        <v>4</v>
      </c>
      <c r="J1066" s="2" t="str" cm="1">
        <f t="array" aca="1" ref="J1066" ca="1">_xlfn.IFS(qhkz_4dqm[[#This Row],[vehicle_age]]&lt;=3,"Newer",qhkz_4dqm[[#This Row],[vehicle_age]]&lt;=9,"Mid-age",qhkz_4dqm[[#This Row],[vehicle_age]]&lt;=19,"Older",qhkz_4dqm[[#This Row],[vehicle_age]]&gt;=20,"Very Old")</f>
        <v>Mid-age</v>
      </c>
    </row>
    <row r="1067" spans="1:10">
      <c r="A1067" s="2">
        <v>24138597</v>
      </c>
      <c r="B1067" s="2">
        <v>2413859701</v>
      </c>
      <c r="C1067" s="2">
        <v>1</v>
      </c>
      <c r="D1067" s="2">
        <v>2021</v>
      </c>
      <c r="E1067" s="2">
        <v>1</v>
      </c>
      <c r="F1067" s="2">
        <v>115.84</v>
      </c>
      <c r="G1067" s="2">
        <v>223.06</v>
      </c>
      <c r="H1067" s="2" t="str">
        <f>VLOOKUP(qhkz_4dqm[[#This Row],[fuel_type]],lookup!A:B,2,FALSE)</f>
        <v>Gasoline</v>
      </c>
      <c r="I1067" s="2">
        <f ca="1">YEAR(TODAY())-qhkz_4dqm[[#This Row],[year]]</f>
        <v>5</v>
      </c>
      <c r="J1067" s="2" t="str" cm="1">
        <f t="array" aca="1" ref="J1067" ca="1">_xlfn.IFS(qhkz_4dqm[[#This Row],[vehicle_age]]&lt;=3,"Newer",qhkz_4dqm[[#This Row],[vehicle_age]]&lt;=9,"Mid-age",qhkz_4dqm[[#This Row],[vehicle_age]]&lt;=19,"Older",qhkz_4dqm[[#This Row],[vehicle_age]]&gt;=20,"Very Old")</f>
        <v>Mid-age</v>
      </c>
    </row>
    <row r="1068" spans="1:10">
      <c r="A1068" s="2">
        <v>24138599</v>
      </c>
      <c r="B1068" s="2">
        <v>2413859901</v>
      </c>
      <c r="C1068" s="2">
        <v>1</v>
      </c>
      <c r="D1068" s="2">
        <v>2020</v>
      </c>
      <c r="E1068" s="2">
        <v>1</v>
      </c>
      <c r="F1068" s="2">
        <v>3716.47</v>
      </c>
      <c r="G1068" s="2">
        <v>3932.91</v>
      </c>
      <c r="H1068" s="2" t="str">
        <f>VLOOKUP(qhkz_4dqm[[#This Row],[fuel_type]],lookup!A:B,2,FALSE)</f>
        <v>Gasoline</v>
      </c>
      <c r="I1068" s="2">
        <f ca="1">YEAR(TODAY())-qhkz_4dqm[[#This Row],[year]]</f>
        <v>6</v>
      </c>
      <c r="J1068" s="2" t="str" cm="1">
        <f t="array" aca="1" ref="J1068" ca="1">_xlfn.IFS(qhkz_4dqm[[#This Row],[vehicle_age]]&lt;=3,"Newer",qhkz_4dqm[[#This Row],[vehicle_age]]&lt;=9,"Mid-age",qhkz_4dqm[[#This Row],[vehicle_age]]&lt;=19,"Older",qhkz_4dqm[[#This Row],[vehicle_age]]&gt;=20,"Very Old")</f>
        <v>Mid-age</v>
      </c>
    </row>
    <row r="1069" spans="1:10">
      <c r="A1069" s="2">
        <v>24138607</v>
      </c>
      <c r="B1069" s="2">
        <v>2413860701</v>
      </c>
      <c r="C1069" s="2">
        <v>1</v>
      </c>
      <c r="D1069" s="2">
        <v>2023</v>
      </c>
      <c r="E1069" s="2">
        <v>1</v>
      </c>
      <c r="F1069" s="2">
        <v>304.37</v>
      </c>
      <c r="G1069" s="2">
        <v>211.36</v>
      </c>
      <c r="H1069" s="2" t="str">
        <f>VLOOKUP(qhkz_4dqm[[#This Row],[fuel_type]],lookup!A:B,2,FALSE)</f>
        <v>Gasoline</v>
      </c>
      <c r="I1069" s="2">
        <f ca="1">YEAR(TODAY())-qhkz_4dqm[[#This Row],[year]]</f>
        <v>3</v>
      </c>
      <c r="J1069" s="2" t="str" cm="1">
        <f t="array" aca="1" ref="J1069" ca="1">_xlfn.IFS(qhkz_4dqm[[#This Row],[vehicle_age]]&lt;=3,"Newer",qhkz_4dqm[[#This Row],[vehicle_age]]&lt;=9,"Mid-age",qhkz_4dqm[[#This Row],[vehicle_age]]&lt;=19,"Older",qhkz_4dqm[[#This Row],[vehicle_age]]&gt;=20,"Very Old")</f>
        <v>Newer</v>
      </c>
    </row>
    <row r="1070" spans="1:10">
      <c r="A1070" s="2">
        <v>24138733</v>
      </c>
      <c r="B1070" s="2">
        <v>2413873301</v>
      </c>
      <c r="C1070" s="2">
        <v>1</v>
      </c>
      <c r="D1070" s="2">
        <v>2007</v>
      </c>
      <c r="E1070" s="2">
        <v>1</v>
      </c>
      <c r="F1070" s="2">
        <v>1847.8</v>
      </c>
      <c r="G1070" s="2">
        <v>1766.02</v>
      </c>
      <c r="H1070" s="2" t="str">
        <f>VLOOKUP(qhkz_4dqm[[#This Row],[fuel_type]],lookup!A:B,2,FALSE)</f>
        <v>Gasoline</v>
      </c>
      <c r="I1070" s="2">
        <f ca="1">YEAR(TODAY())-qhkz_4dqm[[#This Row],[year]]</f>
        <v>19</v>
      </c>
      <c r="J1070" s="2" t="str" cm="1">
        <f t="array" aca="1" ref="J1070" ca="1">_xlfn.IFS(qhkz_4dqm[[#This Row],[vehicle_age]]&lt;=3,"Newer",qhkz_4dqm[[#This Row],[vehicle_age]]&lt;=9,"Mid-age",qhkz_4dqm[[#This Row],[vehicle_age]]&lt;=19,"Older",qhkz_4dqm[[#This Row],[vehicle_age]]&gt;=20,"Very Old")</f>
        <v>Older</v>
      </c>
    </row>
    <row r="1071" spans="1:10">
      <c r="A1071" s="2">
        <v>24138893</v>
      </c>
      <c r="B1071" s="2">
        <v>2413889301</v>
      </c>
      <c r="C1071" s="2">
        <v>1</v>
      </c>
      <c r="D1071" s="2">
        <v>2020</v>
      </c>
      <c r="E1071" s="2">
        <v>1</v>
      </c>
      <c r="F1071" s="2">
        <v>736.23</v>
      </c>
      <c r="G1071" s="2">
        <v>763.03</v>
      </c>
      <c r="H1071" s="2" t="str">
        <f>VLOOKUP(qhkz_4dqm[[#This Row],[fuel_type]],lookup!A:B,2,FALSE)</f>
        <v>Gasoline</v>
      </c>
      <c r="I1071" s="2">
        <f ca="1">YEAR(TODAY())-qhkz_4dqm[[#This Row],[year]]</f>
        <v>6</v>
      </c>
      <c r="J1071" s="2" t="str" cm="1">
        <f t="array" aca="1" ref="J1071" ca="1">_xlfn.IFS(qhkz_4dqm[[#This Row],[vehicle_age]]&lt;=3,"Newer",qhkz_4dqm[[#This Row],[vehicle_age]]&lt;=9,"Mid-age",qhkz_4dqm[[#This Row],[vehicle_age]]&lt;=19,"Older",qhkz_4dqm[[#This Row],[vehicle_age]]&gt;=20,"Very Old")</f>
        <v>Mid-age</v>
      </c>
    </row>
    <row r="1072" spans="1:10">
      <c r="A1072" s="2">
        <v>24139014</v>
      </c>
      <c r="B1072" s="2">
        <v>2413901401</v>
      </c>
      <c r="C1072" s="2">
        <v>1</v>
      </c>
      <c r="D1072" s="2">
        <v>2020</v>
      </c>
      <c r="E1072" s="2">
        <v>1</v>
      </c>
      <c r="F1072" s="2">
        <v>866.65</v>
      </c>
      <c r="G1072" s="2">
        <v>431.57</v>
      </c>
      <c r="H1072" s="2" t="str">
        <f>VLOOKUP(qhkz_4dqm[[#This Row],[fuel_type]],lookup!A:B,2,FALSE)</f>
        <v>Gasoline</v>
      </c>
      <c r="I1072" s="2">
        <f ca="1">YEAR(TODAY())-qhkz_4dqm[[#This Row],[year]]</f>
        <v>6</v>
      </c>
      <c r="J1072" s="2" t="str" cm="1">
        <f t="array" aca="1" ref="J1072" ca="1">_xlfn.IFS(qhkz_4dqm[[#This Row],[vehicle_age]]&lt;=3,"Newer",qhkz_4dqm[[#This Row],[vehicle_age]]&lt;=9,"Mid-age",qhkz_4dqm[[#This Row],[vehicle_age]]&lt;=19,"Older",qhkz_4dqm[[#This Row],[vehicle_age]]&gt;=20,"Very Old")</f>
        <v>Mid-age</v>
      </c>
    </row>
    <row r="1073" spans="1:10">
      <c r="A1073" s="2">
        <v>24139017</v>
      </c>
      <c r="B1073" s="2">
        <v>2413901701</v>
      </c>
      <c r="C1073" s="2">
        <v>1</v>
      </c>
      <c r="D1073" s="2">
        <v>2021</v>
      </c>
      <c r="E1073" s="2">
        <v>1</v>
      </c>
      <c r="F1073" s="2">
        <v>1659.58</v>
      </c>
      <c r="G1073" s="2">
        <v>261</v>
      </c>
      <c r="H1073" s="2" t="str">
        <f>VLOOKUP(qhkz_4dqm[[#This Row],[fuel_type]],lookup!A:B,2,FALSE)</f>
        <v>Gasoline</v>
      </c>
      <c r="I1073" s="2">
        <f ca="1">YEAR(TODAY())-qhkz_4dqm[[#This Row],[year]]</f>
        <v>5</v>
      </c>
      <c r="J1073" s="2" t="str" cm="1">
        <f t="array" aca="1" ref="J1073" ca="1">_xlfn.IFS(qhkz_4dqm[[#This Row],[vehicle_age]]&lt;=3,"Newer",qhkz_4dqm[[#This Row],[vehicle_age]]&lt;=9,"Mid-age",qhkz_4dqm[[#This Row],[vehicle_age]]&lt;=19,"Older",qhkz_4dqm[[#This Row],[vehicle_age]]&gt;=20,"Very Old")</f>
        <v>Mid-age</v>
      </c>
    </row>
    <row r="1074" spans="1:10">
      <c r="A1074" s="2">
        <v>24139052</v>
      </c>
      <c r="B1074" s="2">
        <v>2413905201</v>
      </c>
      <c r="C1074" s="2">
        <v>1</v>
      </c>
      <c r="D1074" s="2">
        <v>2023</v>
      </c>
      <c r="E1074" s="2">
        <v>1</v>
      </c>
      <c r="F1074" s="2">
        <v>238.28</v>
      </c>
      <c r="G1074" s="2">
        <v>194.64</v>
      </c>
      <c r="H1074" s="2" t="str">
        <f>VLOOKUP(qhkz_4dqm[[#This Row],[fuel_type]],lookup!A:B,2,FALSE)</f>
        <v>Gasoline</v>
      </c>
      <c r="I1074" s="2">
        <f ca="1">YEAR(TODAY())-qhkz_4dqm[[#This Row],[year]]</f>
        <v>3</v>
      </c>
      <c r="J1074" s="2" t="str" cm="1">
        <f t="array" aca="1" ref="J1074" ca="1">_xlfn.IFS(qhkz_4dqm[[#This Row],[vehicle_age]]&lt;=3,"Newer",qhkz_4dqm[[#This Row],[vehicle_age]]&lt;=9,"Mid-age",qhkz_4dqm[[#This Row],[vehicle_age]]&lt;=19,"Older",qhkz_4dqm[[#This Row],[vehicle_age]]&gt;=20,"Very Old")</f>
        <v>Newer</v>
      </c>
    </row>
    <row r="1075" spans="1:10">
      <c r="A1075" s="2">
        <v>24139053</v>
      </c>
      <c r="B1075" s="2">
        <v>2413905301</v>
      </c>
      <c r="C1075" s="2">
        <v>1</v>
      </c>
      <c r="D1075" s="2">
        <v>2019</v>
      </c>
      <c r="E1075" s="2">
        <v>1</v>
      </c>
      <c r="F1075" s="2">
        <v>219.29</v>
      </c>
      <c r="G1075" s="2">
        <v>315.02999999999997</v>
      </c>
      <c r="H1075" s="2" t="str">
        <f>VLOOKUP(qhkz_4dqm[[#This Row],[fuel_type]],lookup!A:B,2,FALSE)</f>
        <v>Gasoline</v>
      </c>
      <c r="I1075" s="2">
        <f ca="1">YEAR(TODAY())-qhkz_4dqm[[#This Row],[year]]</f>
        <v>7</v>
      </c>
      <c r="J1075" s="2" t="str" cm="1">
        <f t="array" aca="1" ref="J1075" ca="1">_xlfn.IFS(qhkz_4dqm[[#This Row],[vehicle_age]]&lt;=3,"Newer",qhkz_4dqm[[#This Row],[vehicle_age]]&lt;=9,"Mid-age",qhkz_4dqm[[#This Row],[vehicle_age]]&lt;=19,"Older",qhkz_4dqm[[#This Row],[vehicle_age]]&gt;=20,"Very Old")</f>
        <v>Mid-age</v>
      </c>
    </row>
    <row r="1076" spans="1:10">
      <c r="A1076" s="2">
        <v>24139065</v>
      </c>
      <c r="B1076" s="2">
        <v>2413906501</v>
      </c>
      <c r="C1076" s="2">
        <v>1</v>
      </c>
      <c r="D1076" s="2">
        <v>2024</v>
      </c>
      <c r="E1076" s="2">
        <v>1</v>
      </c>
      <c r="F1076" s="2">
        <v>322.18</v>
      </c>
      <c r="G1076" s="2">
        <v>345.44</v>
      </c>
      <c r="H1076" s="2" t="str">
        <f>VLOOKUP(qhkz_4dqm[[#This Row],[fuel_type]],lookup!A:B,2,FALSE)</f>
        <v>Gasoline</v>
      </c>
      <c r="I1076" s="2">
        <f ca="1">YEAR(TODAY())-qhkz_4dqm[[#This Row],[year]]</f>
        <v>2</v>
      </c>
      <c r="J1076" s="2" t="str" cm="1">
        <f t="array" aca="1" ref="J1076" ca="1">_xlfn.IFS(qhkz_4dqm[[#This Row],[vehicle_age]]&lt;=3,"Newer",qhkz_4dqm[[#This Row],[vehicle_age]]&lt;=9,"Mid-age",qhkz_4dqm[[#This Row],[vehicle_age]]&lt;=19,"Older",qhkz_4dqm[[#This Row],[vehicle_age]]&gt;=20,"Very Old")</f>
        <v>Newer</v>
      </c>
    </row>
    <row r="1077" spans="1:10">
      <c r="A1077" s="2">
        <v>24139089</v>
      </c>
      <c r="B1077" s="2">
        <v>2413908901</v>
      </c>
      <c r="C1077" s="2">
        <v>1</v>
      </c>
      <c r="D1077" s="2">
        <v>2024</v>
      </c>
      <c r="E1077" s="2">
        <v>1</v>
      </c>
      <c r="F1077" s="2">
        <v>547.23</v>
      </c>
      <c r="G1077" s="2">
        <v>940.65</v>
      </c>
      <c r="H1077" s="2" t="str">
        <f>VLOOKUP(qhkz_4dqm[[#This Row],[fuel_type]],lookup!A:B,2,FALSE)</f>
        <v>Gasoline</v>
      </c>
      <c r="I1077" s="2">
        <f ca="1">YEAR(TODAY())-qhkz_4dqm[[#This Row],[year]]</f>
        <v>2</v>
      </c>
      <c r="J1077" s="2" t="str" cm="1">
        <f t="array" aca="1" ref="J1077" ca="1">_xlfn.IFS(qhkz_4dqm[[#This Row],[vehicle_age]]&lt;=3,"Newer",qhkz_4dqm[[#This Row],[vehicle_age]]&lt;=9,"Mid-age",qhkz_4dqm[[#This Row],[vehicle_age]]&lt;=19,"Older",qhkz_4dqm[[#This Row],[vehicle_age]]&gt;=20,"Very Old")</f>
        <v>Newer</v>
      </c>
    </row>
    <row r="1078" spans="1:10">
      <c r="A1078" s="2">
        <v>24139123</v>
      </c>
      <c r="B1078" s="2">
        <v>2413912301</v>
      </c>
      <c r="C1078" s="2">
        <v>1</v>
      </c>
      <c r="D1078" s="2">
        <v>2018</v>
      </c>
      <c r="E1078" s="2">
        <v>1</v>
      </c>
      <c r="F1078" s="2">
        <v>117.23</v>
      </c>
      <c r="G1078" s="2">
        <v>113.7</v>
      </c>
      <c r="H1078" s="2" t="str">
        <f>VLOOKUP(qhkz_4dqm[[#This Row],[fuel_type]],lookup!A:B,2,FALSE)</f>
        <v>Gasoline</v>
      </c>
      <c r="I1078" s="2">
        <f ca="1">YEAR(TODAY())-qhkz_4dqm[[#This Row],[year]]</f>
        <v>8</v>
      </c>
      <c r="J1078" s="2" t="str" cm="1">
        <f t="array" aca="1" ref="J1078" ca="1">_xlfn.IFS(qhkz_4dqm[[#This Row],[vehicle_age]]&lt;=3,"Newer",qhkz_4dqm[[#This Row],[vehicle_age]]&lt;=9,"Mid-age",qhkz_4dqm[[#This Row],[vehicle_age]]&lt;=19,"Older",qhkz_4dqm[[#This Row],[vehicle_age]]&gt;=20,"Very Old")</f>
        <v>Mid-age</v>
      </c>
    </row>
    <row r="1079" spans="1:10">
      <c r="A1079" s="2">
        <v>24139167</v>
      </c>
      <c r="B1079" s="2">
        <v>2413916701</v>
      </c>
      <c r="C1079" s="2">
        <v>1</v>
      </c>
      <c r="D1079" s="2">
        <v>2017</v>
      </c>
      <c r="E1079" s="2">
        <v>1</v>
      </c>
      <c r="F1079" s="2">
        <v>238.24</v>
      </c>
      <c r="G1079" s="2">
        <v>145.57</v>
      </c>
      <c r="H1079" s="2" t="str">
        <f>VLOOKUP(qhkz_4dqm[[#This Row],[fuel_type]],lookup!A:B,2,FALSE)</f>
        <v>Gasoline</v>
      </c>
      <c r="I1079" s="2">
        <f ca="1">YEAR(TODAY())-qhkz_4dqm[[#This Row],[year]]</f>
        <v>9</v>
      </c>
      <c r="J1079" s="2" t="str" cm="1">
        <f t="array" aca="1" ref="J1079" ca="1">_xlfn.IFS(qhkz_4dqm[[#This Row],[vehicle_age]]&lt;=3,"Newer",qhkz_4dqm[[#This Row],[vehicle_age]]&lt;=9,"Mid-age",qhkz_4dqm[[#This Row],[vehicle_age]]&lt;=19,"Older",qhkz_4dqm[[#This Row],[vehicle_age]]&gt;=20,"Very Old")</f>
        <v>Mid-age</v>
      </c>
    </row>
    <row r="1080" spans="1:10">
      <c r="A1080" s="2">
        <v>24139170</v>
      </c>
      <c r="B1080" s="2">
        <v>2413917001</v>
      </c>
      <c r="C1080" s="2">
        <v>1</v>
      </c>
      <c r="D1080" s="2">
        <v>2017</v>
      </c>
      <c r="E1080" s="2">
        <v>1</v>
      </c>
      <c r="F1080" s="2">
        <v>122.25</v>
      </c>
      <c r="G1080" s="2">
        <v>166.09</v>
      </c>
      <c r="H1080" s="2" t="str">
        <f>VLOOKUP(qhkz_4dqm[[#This Row],[fuel_type]],lookup!A:B,2,FALSE)</f>
        <v>Gasoline</v>
      </c>
      <c r="I1080" s="2">
        <f ca="1">YEAR(TODAY())-qhkz_4dqm[[#This Row],[year]]</f>
        <v>9</v>
      </c>
      <c r="J1080" s="2" t="str" cm="1">
        <f t="array" aca="1" ref="J1080" ca="1">_xlfn.IFS(qhkz_4dqm[[#This Row],[vehicle_age]]&lt;=3,"Newer",qhkz_4dqm[[#This Row],[vehicle_age]]&lt;=9,"Mid-age",qhkz_4dqm[[#This Row],[vehicle_age]]&lt;=19,"Older",qhkz_4dqm[[#This Row],[vehicle_age]]&gt;=20,"Very Old")</f>
        <v>Mid-age</v>
      </c>
    </row>
    <row r="1081" spans="1:10">
      <c r="A1081" s="2">
        <v>24139227</v>
      </c>
      <c r="B1081" s="2">
        <v>2413922701</v>
      </c>
      <c r="C1081" s="2">
        <v>1</v>
      </c>
      <c r="D1081" s="2">
        <v>2023</v>
      </c>
      <c r="E1081" s="2">
        <v>2</v>
      </c>
      <c r="F1081" s="2">
        <v>1162.08</v>
      </c>
      <c r="G1081" s="2">
        <v>1742.61</v>
      </c>
      <c r="H1081" s="2" t="str">
        <f>VLOOKUP(qhkz_4dqm[[#This Row],[fuel_type]],lookup!A:B,2,FALSE)</f>
        <v>Diesel</v>
      </c>
      <c r="I1081" s="2">
        <f ca="1">YEAR(TODAY())-qhkz_4dqm[[#This Row],[year]]</f>
        <v>3</v>
      </c>
      <c r="J1081" s="2" t="str" cm="1">
        <f t="array" aca="1" ref="J1081" ca="1">_xlfn.IFS(qhkz_4dqm[[#This Row],[vehicle_age]]&lt;=3,"Newer",qhkz_4dqm[[#This Row],[vehicle_age]]&lt;=9,"Mid-age",qhkz_4dqm[[#This Row],[vehicle_age]]&lt;=19,"Older",qhkz_4dqm[[#This Row],[vehicle_age]]&gt;=20,"Very Old")</f>
        <v>Newer</v>
      </c>
    </row>
    <row r="1082" spans="1:10">
      <c r="A1082" s="2">
        <v>24139236</v>
      </c>
      <c r="B1082" s="2">
        <v>2413923601</v>
      </c>
      <c r="C1082" s="2">
        <v>1</v>
      </c>
      <c r="D1082" s="2">
        <v>2023</v>
      </c>
      <c r="E1082" s="2">
        <v>1</v>
      </c>
      <c r="F1082" s="2">
        <v>245.63</v>
      </c>
      <c r="G1082" s="2">
        <v>118.25</v>
      </c>
      <c r="H1082" s="2" t="str">
        <f>VLOOKUP(qhkz_4dqm[[#This Row],[fuel_type]],lookup!A:B,2,FALSE)</f>
        <v>Gasoline</v>
      </c>
      <c r="I1082" s="2">
        <f ca="1">YEAR(TODAY())-qhkz_4dqm[[#This Row],[year]]</f>
        <v>3</v>
      </c>
      <c r="J1082" s="2" t="str" cm="1">
        <f t="array" aca="1" ref="J1082" ca="1">_xlfn.IFS(qhkz_4dqm[[#This Row],[vehicle_age]]&lt;=3,"Newer",qhkz_4dqm[[#This Row],[vehicle_age]]&lt;=9,"Mid-age",qhkz_4dqm[[#This Row],[vehicle_age]]&lt;=19,"Older",qhkz_4dqm[[#This Row],[vehicle_age]]&gt;=20,"Very Old")</f>
        <v>Newer</v>
      </c>
    </row>
    <row r="1083" spans="1:10">
      <c r="A1083" s="2">
        <v>24139263</v>
      </c>
      <c r="B1083" s="2">
        <v>2413926301</v>
      </c>
      <c r="C1083" s="2">
        <v>1</v>
      </c>
      <c r="D1083" s="2">
        <v>2021</v>
      </c>
      <c r="E1083" s="2">
        <v>1</v>
      </c>
      <c r="F1083" s="2">
        <v>338.61</v>
      </c>
      <c r="G1083" s="2">
        <v>238.47</v>
      </c>
      <c r="H1083" s="2" t="str">
        <f>VLOOKUP(qhkz_4dqm[[#This Row],[fuel_type]],lookup!A:B,2,FALSE)</f>
        <v>Gasoline</v>
      </c>
      <c r="I1083" s="2">
        <f ca="1">YEAR(TODAY())-qhkz_4dqm[[#This Row],[year]]</f>
        <v>5</v>
      </c>
      <c r="J1083" s="2" t="str" cm="1">
        <f t="array" aca="1" ref="J1083" ca="1">_xlfn.IFS(qhkz_4dqm[[#This Row],[vehicle_age]]&lt;=3,"Newer",qhkz_4dqm[[#This Row],[vehicle_age]]&lt;=9,"Mid-age",qhkz_4dqm[[#This Row],[vehicle_age]]&lt;=19,"Older",qhkz_4dqm[[#This Row],[vehicle_age]]&gt;=20,"Very Old")</f>
        <v>Mid-age</v>
      </c>
    </row>
    <row r="1084" spans="1:10">
      <c r="A1084" s="2">
        <v>24139318</v>
      </c>
      <c r="B1084" s="2">
        <v>2413931801</v>
      </c>
      <c r="C1084" s="2">
        <v>1</v>
      </c>
      <c r="D1084" s="2">
        <v>2021</v>
      </c>
      <c r="E1084" s="2">
        <v>1</v>
      </c>
      <c r="F1084" s="2">
        <v>217.88</v>
      </c>
      <c r="G1084" s="2">
        <v>552.94000000000005</v>
      </c>
      <c r="H1084" s="2" t="str">
        <f>VLOOKUP(qhkz_4dqm[[#This Row],[fuel_type]],lookup!A:B,2,FALSE)</f>
        <v>Gasoline</v>
      </c>
      <c r="I1084" s="2">
        <f ca="1">YEAR(TODAY())-qhkz_4dqm[[#This Row],[year]]</f>
        <v>5</v>
      </c>
      <c r="J1084" s="2" t="str" cm="1">
        <f t="array" aca="1" ref="J1084" ca="1">_xlfn.IFS(qhkz_4dqm[[#This Row],[vehicle_age]]&lt;=3,"Newer",qhkz_4dqm[[#This Row],[vehicle_age]]&lt;=9,"Mid-age",qhkz_4dqm[[#This Row],[vehicle_age]]&lt;=19,"Older",qhkz_4dqm[[#This Row],[vehicle_age]]&gt;=20,"Very Old")</f>
        <v>Mid-age</v>
      </c>
    </row>
    <row r="1085" spans="1:10">
      <c r="A1085" s="2">
        <v>24139348</v>
      </c>
      <c r="B1085" s="2">
        <v>2413934801</v>
      </c>
      <c r="C1085" s="2">
        <v>1</v>
      </c>
      <c r="D1085" s="2">
        <v>2021</v>
      </c>
      <c r="E1085" s="2">
        <v>1</v>
      </c>
      <c r="F1085" s="2">
        <v>931.3</v>
      </c>
      <c r="G1085" s="2">
        <v>376.81</v>
      </c>
      <c r="H1085" s="2" t="str">
        <f>VLOOKUP(qhkz_4dqm[[#This Row],[fuel_type]],lookup!A:B,2,FALSE)</f>
        <v>Gasoline</v>
      </c>
      <c r="I1085" s="2">
        <f ca="1">YEAR(TODAY())-qhkz_4dqm[[#This Row],[year]]</f>
        <v>5</v>
      </c>
      <c r="J1085" s="2" t="str" cm="1">
        <f t="array" aca="1" ref="J1085" ca="1">_xlfn.IFS(qhkz_4dqm[[#This Row],[vehicle_age]]&lt;=3,"Newer",qhkz_4dqm[[#This Row],[vehicle_age]]&lt;=9,"Mid-age",qhkz_4dqm[[#This Row],[vehicle_age]]&lt;=19,"Older",qhkz_4dqm[[#This Row],[vehicle_age]]&gt;=20,"Very Old")</f>
        <v>Mid-age</v>
      </c>
    </row>
    <row r="1086" spans="1:10">
      <c r="A1086" s="2">
        <v>24139368</v>
      </c>
      <c r="B1086" s="2">
        <v>2413936801</v>
      </c>
      <c r="C1086" s="2">
        <v>1</v>
      </c>
      <c r="D1086" s="2">
        <v>2013</v>
      </c>
      <c r="E1086" s="2">
        <v>1</v>
      </c>
      <c r="F1086" s="2">
        <v>492.73</v>
      </c>
      <c r="G1086" s="2">
        <v>1767.14</v>
      </c>
      <c r="H1086" s="2" t="str">
        <f>VLOOKUP(qhkz_4dqm[[#This Row],[fuel_type]],lookup!A:B,2,FALSE)</f>
        <v>Gasoline</v>
      </c>
      <c r="I1086" s="2">
        <f ca="1">YEAR(TODAY())-qhkz_4dqm[[#This Row],[year]]</f>
        <v>13</v>
      </c>
      <c r="J1086" s="2" t="str" cm="1">
        <f t="array" aca="1" ref="J1086" ca="1">_xlfn.IFS(qhkz_4dqm[[#This Row],[vehicle_age]]&lt;=3,"Newer",qhkz_4dqm[[#This Row],[vehicle_age]]&lt;=9,"Mid-age",qhkz_4dqm[[#This Row],[vehicle_age]]&lt;=19,"Older",qhkz_4dqm[[#This Row],[vehicle_age]]&gt;=20,"Very Old")</f>
        <v>Older</v>
      </c>
    </row>
    <row r="1087" spans="1:10">
      <c r="A1087" s="2">
        <v>24139535</v>
      </c>
      <c r="B1087" s="2">
        <v>2413953501</v>
      </c>
      <c r="C1087" s="2">
        <v>1</v>
      </c>
      <c r="D1087" s="2">
        <v>2015</v>
      </c>
      <c r="E1087" s="2">
        <v>1</v>
      </c>
      <c r="F1087" s="2">
        <v>341.9</v>
      </c>
      <c r="G1087" s="2">
        <v>558.15</v>
      </c>
      <c r="H1087" s="2" t="str">
        <f>VLOOKUP(qhkz_4dqm[[#This Row],[fuel_type]],lookup!A:B,2,FALSE)</f>
        <v>Gasoline</v>
      </c>
      <c r="I1087" s="2">
        <f ca="1">YEAR(TODAY())-qhkz_4dqm[[#This Row],[year]]</f>
        <v>11</v>
      </c>
      <c r="J1087" s="2" t="str" cm="1">
        <f t="array" aca="1" ref="J1087" ca="1">_xlfn.IFS(qhkz_4dqm[[#This Row],[vehicle_age]]&lt;=3,"Newer",qhkz_4dqm[[#This Row],[vehicle_age]]&lt;=9,"Mid-age",qhkz_4dqm[[#This Row],[vehicle_age]]&lt;=19,"Older",qhkz_4dqm[[#This Row],[vehicle_age]]&gt;=20,"Very Old")</f>
        <v>Older</v>
      </c>
    </row>
    <row r="1088" spans="1:10">
      <c r="A1088" s="2">
        <v>24139730</v>
      </c>
      <c r="B1088" s="2">
        <v>2413973001</v>
      </c>
      <c r="C1088" s="2">
        <v>1</v>
      </c>
      <c r="D1088" s="2">
        <v>2020</v>
      </c>
      <c r="E1088" s="2">
        <v>1</v>
      </c>
      <c r="F1088" s="2">
        <v>104.83</v>
      </c>
      <c r="G1088" s="2">
        <v>177.93</v>
      </c>
      <c r="H1088" s="2" t="str">
        <f>VLOOKUP(qhkz_4dqm[[#This Row],[fuel_type]],lookup!A:B,2,FALSE)</f>
        <v>Gasoline</v>
      </c>
      <c r="I1088" s="2">
        <f ca="1">YEAR(TODAY())-qhkz_4dqm[[#This Row],[year]]</f>
        <v>6</v>
      </c>
      <c r="J1088" s="2" t="str" cm="1">
        <f t="array" aca="1" ref="J1088" ca="1">_xlfn.IFS(qhkz_4dqm[[#This Row],[vehicle_age]]&lt;=3,"Newer",qhkz_4dqm[[#This Row],[vehicle_age]]&lt;=9,"Mid-age",qhkz_4dqm[[#This Row],[vehicle_age]]&lt;=19,"Older",qhkz_4dqm[[#This Row],[vehicle_age]]&gt;=20,"Very Old")</f>
        <v>Mid-age</v>
      </c>
    </row>
    <row r="1089" spans="1:10">
      <c r="A1089" s="2">
        <v>24139831</v>
      </c>
      <c r="B1089" s="2">
        <v>2413983101</v>
      </c>
      <c r="C1089" s="2">
        <v>1</v>
      </c>
      <c r="D1089" s="2">
        <v>2022</v>
      </c>
      <c r="E1089" s="2">
        <v>1</v>
      </c>
      <c r="F1089" s="2">
        <v>791.75</v>
      </c>
      <c r="G1089" s="2">
        <v>753.43</v>
      </c>
      <c r="H1089" s="2" t="str">
        <f>VLOOKUP(qhkz_4dqm[[#This Row],[fuel_type]],lookup!A:B,2,FALSE)</f>
        <v>Gasoline</v>
      </c>
      <c r="I1089" s="2">
        <f ca="1">YEAR(TODAY())-qhkz_4dqm[[#This Row],[year]]</f>
        <v>4</v>
      </c>
      <c r="J1089" s="2" t="str" cm="1">
        <f t="array" aca="1" ref="J1089" ca="1">_xlfn.IFS(qhkz_4dqm[[#This Row],[vehicle_age]]&lt;=3,"Newer",qhkz_4dqm[[#This Row],[vehicle_age]]&lt;=9,"Mid-age",qhkz_4dqm[[#This Row],[vehicle_age]]&lt;=19,"Older",qhkz_4dqm[[#This Row],[vehicle_age]]&gt;=20,"Very Old")</f>
        <v>Mid-age</v>
      </c>
    </row>
    <row r="1090" spans="1:10">
      <c r="A1090" s="2">
        <v>24139877</v>
      </c>
      <c r="B1090" s="2">
        <v>2413987701</v>
      </c>
      <c r="C1090" s="2">
        <v>1</v>
      </c>
      <c r="D1090" s="2">
        <v>2009</v>
      </c>
      <c r="E1090" s="2">
        <v>1</v>
      </c>
      <c r="F1090" s="2">
        <v>232.39</v>
      </c>
      <c r="G1090" s="2">
        <v>86.11</v>
      </c>
      <c r="H1090" s="2" t="str">
        <f>VLOOKUP(qhkz_4dqm[[#This Row],[fuel_type]],lookup!A:B,2,FALSE)</f>
        <v>Gasoline</v>
      </c>
      <c r="I1090" s="2">
        <f ca="1">YEAR(TODAY())-qhkz_4dqm[[#This Row],[year]]</f>
        <v>17</v>
      </c>
      <c r="J1090" s="2" t="str" cm="1">
        <f t="array" aca="1" ref="J1090" ca="1">_xlfn.IFS(qhkz_4dqm[[#This Row],[vehicle_age]]&lt;=3,"Newer",qhkz_4dqm[[#This Row],[vehicle_age]]&lt;=9,"Mid-age",qhkz_4dqm[[#This Row],[vehicle_age]]&lt;=19,"Older",qhkz_4dqm[[#This Row],[vehicle_age]]&gt;=20,"Very Old")</f>
        <v>Older</v>
      </c>
    </row>
    <row r="1091" spans="1:10">
      <c r="A1091" s="2">
        <v>24140058</v>
      </c>
      <c r="B1091" s="2">
        <v>2414005801</v>
      </c>
      <c r="C1091" s="2">
        <v>1</v>
      </c>
      <c r="D1091" s="2">
        <v>2021</v>
      </c>
      <c r="E1091" s="2">
        <v>1</v>
      </c>
      <c r="F1091" s="2">
        <v>312.88</v>
      </c>
      <c r="G1091" s="2">
        <v>258.05</v>
      </c>
      <c r="H1091" s="2" t="str">
        <f>VLOOKUP(qhkz_4dqm[[#This Row],[fuel_type]],lookup!A:B,2,FALSE)</f>
        <v>Gasoline</v>
      </c>
      <c r="I1091" s="2">
        <f ca="1">YEAR(TODAY())-qhkz_4dqm[[#This Row],[year]]</f>
        <v>5</v>
      </c>
      <c r="J1091" s="2" t="str" cm="1">
        <f t="array" aca="1" ref="J1091" ca="1">_xlfn.IFS(qhkz_4dqm[[#This Row],[vehicle_age]]&lt;=3,"Newer",qhkz_4dqm[[#This Row],[vehicle_age]]&lt;=9,"Mid-age",qhkz_4dqm[[#This Row],[vehicle_age]]&lt;=19,"Older",qhkz_4dqm[[#This Row],[vehicle_age]]&gt;=20,"Very Old")</f>
        <v>Mid-age</v>
      </c>
    </row>
    <row r="1092" spans="1:10">
      <c r="A1092" s="2">
        <v>24140182</v>
      </c>
      <c r="B1092" s="2">
        <v>2414018201</v>
      </c>
      <c r="C1092" s="2">
        <v>1</v>
      </c>
      <c r="D1092" s="2">
        <v>2015</v>
      </c>
      <c r="E1092" s="2">
        <v>1</v>
      </c>
      <c r="F1092" s="2">
        <v>141.55000000000001</v>
      </c>
      <c r="G1092" s="2">
        <v>328.69</v>
      </c>
      <c r="H1092" s="2" t="str">
        <f>VLOOKUP(qhkz_4dqm[[#This Row],[fuel_type]],lookup!A:B,2,FALSE)</f>
        <v>Gasoline</v>
      </c>
      <c r="I1092" s="2">
        <f ca="1">YEAR(TODAY())-qhkz_4dqm[[#This Row],[year]]</f>
        <v>11</v>
      </c>
      <c r="J1092" s="2" t="str" cm="1">
        <f t="array" aca="1" ref="J1092" ca="1">_xlfn.IFS(qhkz_4dqm[[#This Row],[vehicle_age]]&lt;=3,"Newer",qhkz_4dqm[[#This Row],[vehicle_age]]&lt;=9,"Mid-age",qhkz_4dqm[[#This Row],[vehicle_age]]&lt;=19,"Older",qhkz_4dqm[[#This Row],[vehicle_age]]&gt;=20,"Very Old")</f>
        <v>Older</v>
      </c>
    </row>
    <row r="1093" spans="1:10">
      <c r="A1093" s="2">
        <v>24140195</v>
      </c>
      <c r="B1093" s="2">
        <v>2414019501</v>
      </c>
      <c r="C1093" s="2">
        <v>1</v>
      </c>
      <c r="D1093" s="2">
        <v>2009</v>
      </c>
      <c r="E1093" s="2">
        <v>1</v>
      </c>
      <c r="F1093" s="2">
        <v>811.07</v>
      </c>
      <c r="G1093" s="2">
        <v>810.51</v>
      </c>
      <c r="H1093" s="2" t="str">
        <f>VLOOKUP(qhkz_4dqm[[#This Row],[fuel_type]],lookup!A:B,2,FALSE)</f>
        <v>Gasoline</v>
      </c>
      <c r="I1093" s="2">
        <f ca="1">YEAR(TODAY())-qhkz_4dqm[[#This Row],[year]]</f>
        <v>17</v>
      </c>
      <c r="J1093" s="2" t="str" cm="1">
        <f t="array" aca="1" ref="J1093" ca="1">_xlfn.IFS(qhkz_4dqm[[#This Row],[vehicle_age]]&lt;=3,"Newer",qhkz_4dqm[[#This Row],[vehicle_age]]&lt;=9,"Mid-age",qhkz_4dqm[[#This Row],[vehicle_age]]&lt;=19,"Older",qhkz_4dqm[[#This Row],[vehicle_age]]&gt;=20,"Very Old")</f>
        <v>Older</v>
      </c>
    </row>
    <row r="1094" spans="1:10">
      <c r="A1094" s="2">
        <v>24140212</v>
      </c>
      <c r="B1094" s="2">
        <v>2414021201</v>
      </c>
      <c r="C1094" s="2">
        <v>1</v>
      </c>
      <c r="D1094" s="2">
        <v>2012</v>
      </c>
      <c r="E1094" s="2">
        <v>1</v>
      </c>
      <c r="F1094" s="2">
        <v>1107.44</v>
      </c>
      <c r="G1094" s="2">
        <v>1045.92</v>
      </c>
      <c r="H1094" s="2" t="str">
        <f>VLOOKUP(qhkz_4dqm[[#This Row],[fuel_type]],lookup!A:B,2,FALSE)</f>
        <v>Gasoline</v>
      </c>
      <c r="I1094" s="2">
        <f ca="1">YEAR(TODAY())-qhkz_4dqm[[#This Row],[year]]</f>
        <v>14</v>
      </c>
      <c r="J1094" s="2" t="str" cm="1">
        <f t="array" aca="1" ref="J1094" ca="1">_xlfn.IFS(qhkz_4dqm[[#This Row],[vehicle_age]]&lt;=3,"Newer",qhkz_4dqm[[#This Row],[vehicle_age]]&lt;=9,"Mid-age",qhkz_4dqm[[#This Row],[vehicle_age]]&lt;=19,"Older",qhkz_4dqm[[#This Row],[vehicle_age]]&gt;=20,"Very Old")</f>
        <v>Older</v>
      </c>
    </row>
    <row r="1095" spans="1:10">
      <c r="A1095" s="2">
        <v>24140391</v>
      </c>
      <c r="B1095" s="2">
        <v>2414039101</v>
      </c>
      <c r="C1095" s="2">
        <v>1</v>
      </c>
      <c r="D1095" s="2">
        <v>2003</v>
      </c>
      <c r="E1095" s="2">
        <v>1</v>
      </c>
      <c r="F1095" s="2">
        <v>1037.98</v>
      </c>
      <c r="G1095" s="2">
        <v>936.3</v>
      </c>
      <c r="H1095" s="2" t="str">
        <f>VLOOKUP(qhkz_4dqm[[#This Row],[fuel_type]],lookup!A:B,2,FALSE)</f>
        <v>Gasoline</v>
      </c>
      <c r="I1095" s="2">
        <f ca="1">YEAR(TODAY())-qhkz_4dqm[[#This Row],[year]]</f>
        <v>23</v>
      </c>
      <c r="J1095" s="2" t="str" cm="1">
        <f t="array" aca="1" ref="J1095" ca="1">_xlfn.IFS(qhkz_4dqm[[#This Row],[vehicle_age]]&lt;=3,"Newer",qhkz_4dqm[[#This Row],[vehicle_age]]&lt;=9,"Mid-age",qhkz_4dqm[[#This Row],[vehicle_age]]&lt;=19,"Older",qhkz_4dqm[[#This Row],[vehicle_age]]&gt;=20,"Very Old")</f>
        <v>Very Old</v>
      </c>
    </row>
    <row r="1096" spans="1:10">
      <c r="A1096" s="2">
        <v>24140535</v>
      </c>
      <c r="B1096" s="2">
        <v>2414053501</v>
      </c>
      <c r="C1096" s="2">
        <v>1</v>
      </c>
      <c r="D1096" s="2">
        <v>2007</v>
      </c>
      <c r="E1096" s="2">
        <v>1</v>
      </c>
      <c r="F1096" s="2">
        <v>156.28</v>
      </c>
      <c r="G1096" s="2">
        <v>546.04999999999995</v>
      </c>
      <c r="H1096" s="2" t="str">
        <f>VLOOKUP(qhkz_4dqm[[#This Row],[fuel_type]],lookup!A:B,2,FALSE)</f>
        <v>Gasoline</v>
      </c>
      <c r="I1096" s="2">
        <f ca="1">YEAR(TODAY())-qhkz_4dqm[[#This Row],[year]]</f>
        <v>19</v>
      </c>
      <c r="J1096" s="2" t="str" cm="1">
        <f t="array" aca="1" ref="J1096" ca="1">_xlfn.IFS(qhkz_4dqm[[#This Row],[vehicle_age]]&lt;=3,"Newer",qhkz_4dqm[[#This Row],[vehicle_age]]&lt;=9,"Mid-age",qhkz_4dqm[[#This Row],[vehicle_age]]&lt;=19,"Older",qhkz_4dqm[[#This Row],[vehicle_age]]&gt;=20,"Very Old")</f>
        <v>Older</v>
      </c>
    </row>
    <row r="1097" spans="1:10">
      <c r="A1097" s="2">
        <v>24140545</v>
      </c>
      <c r="B1097" s="2">
        <v>2414054501</v>
      </c>
      <c r="C1097" s="2">
        <v>1</v>
      </c>
      <c r="D1097" s="2">
        <v>2024</v>
      </c>
      <c r="E1097" s="2">
        <v>4</v>
      </c>
      <c r="F1097" s="2">
        <v>76.209999999999994</v>
      </c>
      <c r="G1097" s="2">
        <v>159.61000000000001</v>
      </c>
      <c r="H1097" s="2" t="str">
        <f>VLOOKUP(qhkz_4dqm[[#This Row],[fuel_type]],lookup!A:B,2,FALSE)</f>
        <v>Electric</v>
      </c>
      <c r="I1097" s="2">
        <f ca="1">YEAR(TODAY())-qhkz_4dqm[[#This Row],[year]]</f>
        <v>2</v>
      </c>
      <c r="J1097" s="2" t="str" cm="1">
        <f t="array" aca="1" ref="J1097" ca="1">_xlfn.IFS(qhkz_4dqm[[#This Row],[vehicle_age]]&lt;=3,"Newer",qhkz_4dqm[[#This Row],[vehicle_age]]&lt;=9,"Mid-age",qhkz_4dqm[[#This Row],[vehicle_age]]&lt;=19,"Older",qhkz_4dqm[[#This Row],[vehicle_age]]&gt;=20,"Very Old")</f>
        <v>Newer</v>
      </c>
    </row>
    <row r="1098" spans="1:10">
      <c r="A1098" s="2">
        <v>24140550</v>
      </c>
      <c r="B1098" s="2">
        <v>2414055001</v>
      </c>
      <c r="C1098" s="2">
        <v>1</v>
      </c>
      <c r="D1098" s="2">
        <v>2018</v>
      </c>
      <c r="E1098" s="2">
        <v>2</v>
      </c>
      <c r="F1098" s="2">
        <v>509.51</v>
      </c>
      <c r="G1098" s="2">
        <v>2009.25</v>
      </c>
      <c r="H1098" s="2" t="str">
        <f>VLOOKUP(qhkz_4dqm[[#This Row],[fuel_type]],lookup!A:B,2,FALSE)</f>
        <v>Diesel</v>
      </c>
      <c r="I1098" s="2">
        <f ca="1">YEAR(TODAY())-qhkz_4dqm[[#This Row],[year]]</f>
        <v>8</v>
      </c>
      <c r="J1098" s="2" t="str" cm="1">
        <f t="array" aca="1" ref="J1098" ca="1">_xlfn.IFS(qhkz_4dqm[[#This Row],[vehicle_age]]&lt;=3,"Newer",qhkz_4dqm[[#This Row],[vehicle_age]]&lt;=9,"Mid-age",qhkz_4dqm[[#This Row],[vehicle_age]]&lt;=19,"Older",qhkz_4dqm[[#This Row],[vehicle_age]]&gt;=20,"Very Old")</f>
        <v>Mid-age</v>
      </c>
    </row>
    <row r="1099" spans="1:10">
      <c r="A1099" s="2">
        <v>24140581</v>
      </c>
      <c r="B1099" s="2">
        <v>2414058101</v>
      </c>
      <c r="C1099" s="2">
        <v>1</v>
      </c>
      <c r="D1099" s="2">
        <v>2024</v>
      </c>
      <c r="E1099" s="2">
        <v>4</v>
      </c>
      <c r="F1099" s="2">
        <v>116.77</v>
      </c>
      <c r="G1099" s="2">
        <v>126.26</v>
      </c>
      <c r="H1099" s="2" t="str">
        <f>VLOOKUP(qhkz_4dqm[[#This Row],[fuel_type]],lookup!A:B,2,FALSE)</f>
        <v>Electric</v>
      </c>
      <c r="I1099" s="2">
        <f ca="1">YEAR(TODAY())-qhkz_4dqm[[#This Row],[year]]</f>
        <v>2</v>
      </c>
      <c r="J1099" s="2" t="str" cm="1">
        <f t="array" aca="1" ref="J1099" ca="1">_xlfn.IFS(qhkz_4dqm[[#This Row],[vehicle_age]]&lt;=3,"Newer",qhkz_4dqm[[#This Row],[vehicle_age]]&lt;=9,"Mid-age",qhkz_4dqm[[#This Row],[vehicle_age]]&lt;=19,"Older",qhkz_4dqm[[#This Row],[vehicle_age]]&gt;=20,"Very Old")</f>
        <v>Newer</v>
      </c>
    </row>
    <row r="1100" spans="1:10">
      <c r="A1100" s="2">
        <v>24140594</v>
      </c>
      <c r="B1100" s="2">
        <v>2414059401</v>
      </c>
      <c r="C1100" s="2">
        <v>1</v>
      </c>
      <c r="D1100" s="2">
        <v>2021</v>
      </c>
      <c r="E1100" s="2">
        <v>1</v>
      </c>
      <c r="F1100" s="2">
        <v>81.52</v>
      </c>
      <c r="G1100" s="2">
        <v>134.44999999999999</v>
      </c>
      <c r="H1100" s="2" t="str">
        <f>VLOOKUP(qhkz_4dqm[[#This Row],[fuel_type]],lookup!A:B,2,FALSE)</f>
        <v>Gasoline</v>
      </c>
      <c r="I1100" s="2">
        <f ca="1">YEAR(TODAY())-qhkz_4dqm[[#This Row],[year]]</f>
        <v>5</v>
      </c>
      <c r="J1100" s="2" t="str" cm="1">
        <f t="array" aca="1" ref="J1100" ca="1">_xlfn.IFS(qhkz_4dqm[[#This Row],[vehicle_age]]&lt;=3,"Newer",qhkz_4dqm[[#This Row],[vehicle_age]]&lt;=9,"Mid-age",qhkz_4dqm[[#This Row],[vehicle_age]]&lt;=19,"Older",qhkz_4dqm[[#This Row],[vehicle_age]]&gt;=20,"Very Old")</f>
        <v>Mid-age</v>
      </c>
    </row>
    <row r="1101" spans="1:10">
      <c r="A1101" s="2">
        <v>24140623</v>
      </c>
      <c r="B1101" s="2">
        <v>2414062301</v>
      </c>
      <c r="C1101" s="2">
        <v>1</v>
      </c>
      <c r="D1101" s="2">
        <v>2019</v>
      </c>
      <c r="E1101" s="2">
        <v>1</v>
      </c>
      <c r="F1101" s="2">
        <v>138.91999999999999</v>
      </c>
      <c r="G1101" s="2">
        <v>76.94</v>
      </c>
      <c r="H1101" s="2" t="str">
        <f>VLOOKUP(qhkz_4dqm[[#This Row],[fuel_type]],lookup!A:B,2,FALSE)</f>
        <v>Gasoline</v>
      </c>
      <c r="I1101" s="2">
        <f ca="1">YEAR(TODAY())-qhkz_4dqm[[#This Row],[year]]</f>
        <v>7</v>
      </c>
      <c r="J1101" s="2" t="str" cm="1">
        <f t="array" aca="1" ref="J1101" ca="1">_xlfn.IFS(qhkz_4dqm[[#This Row],[vehicle_age]]&lt;=3,"Newer",qhkz_4dqm[[#This Row],[vehicle_age]]&lt;=9,"Mid-age",qhkz_4dqm[[#This Row],[vehicle_age]]&lt;=19,"Older",qhkz_4dqm[[#This Row],[vehicle_age]]&gt;=20,"Very Old")</f>
        <v>Mid-age</v>
      </c>
    </row>
    <row r="1102" spans="1:10">
      <c r="A1102" s="2">
        <v>24140803</v>
      </c>
      <c r="B1102" s="2">
        <v>2414080301</v>
      </c>
      <c r="C1102" s="2">
        <v>1</v>
      </c>
      <c r="D1102" s="2">
        <v>2020</v>
      </c>
      <c r="E1102" s="2">
        <v>1</v>
      </c>
      <c r="F1102" s="2">
        <v>165.43</v>
      </c>
      <c r="G1102" s="2">
        <v>249.97</v>
      </c>
      <c r="H1102" s="2" t="str">
        <f>VLOOKUP(qhkz_4dqm[[#This Row],[fuel_type]],lookup!A:B,2,FALSE)</f>
        <v>Gasoline</v>
      </c>
      <c r="I1102" s="2">
        <f ca="1">YEAR(TODAY())-qhkz_4dqm[[#This Row],[year]]</f>
        <v>6</v>
      </c>
      <c r="J1102" s="2" t="str" cm="1">
        <f t="array" aca="1" ref="J1102" ca="1">_xlfn.IFS(qhkz_4dqm[[#This Row],[vehicle_age]]&lt;=3,"Newer",qhkz_4dqm[[#This Row],[vehicle_age]]&lt;=9,"Mid-age",qhkz_4dqm[[#This Row],[vehicle_age]]&lt;=19,"Older",qhkz_4dqm[[#This Row],[vehicle_age]]&gt;=20,"Very Old")</f>
        <v>Mid-age</v>
      </c>
    </row>
    <row r="1103" spans="1:10">
      <c r="A1103" s="2">
        <v>24140827</v>
      </c>
      <c r="B1103" s="2">
        <v>2414082701</v>
      </c>
      <c r="C1103" s="2">
        <v>1</v>
      </c>
      <c r="D1103" s="2">
        <v>2019</v>
      </c>
      <c r="E1103" s="2">
        <v>1</v>
      </c>
      <c r="F1103" s="2">
        <v>194.03</v>
      </c>
      <c r="G1103" s="2">
        <v>214.79</v>
      </c>
      <c r="H1103" s="2" t="str">
        <f>VLOOKUP(qhkz_4dqm[[#This Row],[fuel_type]],lookup!A:B,2,FALSE)</f>
        <v>Gasoline</v>
      </c>
      <c r="I1103" s="2">
        <f ca="1">YEAR(TODAY())-qhkz_4dqm[[#This Row],[year]]</f>
        <v>7</v>
      </c>
      <c r="J1103" s="2" t="str" cm="1">
        <f t="array" aca="1" ref="J1103" ca="1">_xlfn.IFS(qhkz_4dqm[[#This Row],[vehicle_age]]&lt;=3,"Newer",qhkz_4dqm[[#This Row],[vehicle_age]]&lt;=9,"Mid-age",qhkz_4dqm[[#This Row],[vehicle_age]]&lt;=19,"Older",qhkz_4dqm[[#This Row],[vehicle_age]]&gt;=20,"Very Old")</f>
        <v>Mid-age</v>
      </c>
    </row>
    <row r="1104" spans="1:10">
      <c r="A1104" s="2">
        <v>24140853</v>
      </c>
      <c r="B1104" s="2">
        <v>2414085301</v>
      </c>
      <c r="C1104" s="2">
        <v>1</v>
      </c>
      <c r="D1104" s="2">
        <v>2013</v>
      </c>
      <c r="E1104" s="2">
        <v>1</v>
      </c>
      <c r="F1104" s="2">
        <v>588.01</v>
      </c>
      <c r="G1104" s="2">
        <v>417.88</v>
      </c>
      <c r="H1104" s="2" t="str">
        <f>VLOOKUP(qhkz_4dqm[[#This Row],[fuel_type]],lookup!A:B,2,FALSE)</f>
        <v>Gasoline</v>
      </c>
      <c r="I1104" s="2">
        <f ca="1">YEAR(TODAY())-qhkz_4dqm[[#This Row],[year]]</f>
        <v>13</v>
      </c>
      <c r="J1104" s="2" t="str" cm="1">
        <f t="array" aca="1" ref="J1104" ca="1">_xlfn.IFS(qhkz_4dqm[[#This Row],[vehicle_age]]&lt;=3,"Newer",qhkz_4dqm[[#This Row],[vehicle_age]]&lt;=9,"Mid-age",qhkz_4dqm[[#This Row],[vehicle_age]]&lt;=19,"Older",qhkz_4dqm[[#This Row],[vehicle_age]]&gt;=20,"Very Old")</f>
        <v>Older</v>
      </c>
    </row>
    <row r="1105" spans="1:10">
      <c r="A1105" s="2">
        <v>24141191</v>
      </c>
      <c r="B1105" s="2">
        <v>2414119101</v>
      </c>
      <c r="C1105" s="2">
        <v>1</v>
      </c>
      <c r="D1105" s="2">
        <v>2021</v>
      </c>
      <c r="E1105" s="2">
        <v>1</v>
      </c>
      <c r="F1105" s="2">
        <v>115.46</v>
      </c>
      <c r="G1105" s="2">
        <v>150.05000000000001</v>
      </c>
      <c r="H1105" s="2" t="str">
        <f>VLOOKUP(qhkz_4dqm[[#This Row],[fuel_type]],lookup!A:B,2,FALSE)</f>
        <v>Gasoline</v>
      </c>
      <c r="I1105" s="2">
        <f ca="1">YEAR(TODAY())-qhkz_4dqm[[#This Row],[year]]</f>
        <v>5</v>
      </c>
      <c r="J1105" s="2" t="str" cm="1">
        <f t="array" aca="1" ref="J1105" ca="1">_xlfn.IFS(qhkz_4dqm[[#This Row],[vehicle_age]]&lt;=3,"Newer",qhkz_4dqm[[#This Row],[vehicle_age]]&lt;=9,"Mid-age",qhkz_4dqm[[#This Row],[vehicle_age]]&lt;=19,"Older",qhkz_4dqm[[#This Row],[vehicle_age]]&gt;=20,"Very Old")</f>
        <v>Mid-age</v>
      </c>
    </row>
    <row r="1106" spans="1:10">
      <c r="A1106" s="2">
        <v>24141194</v>
      </c>
      <c r="B1106" s="2">
        <v>2414119401</v>
      </c>
      <c r="C1106" s="2">
        <v>1</v>
      </c>
      <c r="D1106" s="2">
        <v>2004</v>
      </c>
      <c r="E1106" s="2">
        <v>1</v>
      </c>
      <c r="F1106" s="2">
        <v>170.19</v>
      </c>
      <c r="G1106" s="2">
        <v>273.19</v>
      </c>
      <c r="H1106" s="2" t="str">
        <f>VLOOKUP(qhkz_4dqm[[#This Row],[fuel_type]],lookup!A:B,2,FALSE)</f>
        <v>Gasoline</v>
      </c>
      <c r="I1106" s="2">
        <f ca="1">YEAR(TODAY())-qhkz_4dqm[[#This Row],[year]]</f>
        <v>22</v>
      </c>
      <c r="J1106" s="2" t="str" cm="1">
        <f t="array" aca="1" ref="J1106" ca="1">_xlfn.IFS(qhkz_4dqm[[#This Row],[vehicle_age]]&lt;=3,"Newer",qhkz_4dqm[[#This Row],[vehicle_age]]&lt;=9,"Mid-age",qhkz_4dqm[[#This Row],[vehicle_age]]&lt;=19,"Older",qhkz_4dqm[[#This Row],[vehicle_age]]&gt;=20,"Very Old")</f>
        <v>Very Old</v>
      </c>
    </row>
    <row r="1107" spans="1:10">
      <c r="A1107" s="2">
        <v>24141316</v>
      </c>
      <c r="B1107" s="2">
        <v>2414131601</v>
      </c>
      <c r="C1107" s="2">
        <v>1</v>
      </c>
      <c r="D1107" s="2">
        <v>2018</v>
      </c>
      <c r="E1107" s="2">
        <v>1</v>
      </c>
      <c r="F1107" s="2">
        <v>166.22</v>
      </c>
      <c r="G1107" s="2">
        <v>263.79000000000002</v>
      </c>
      <c r="H1107" s="2" t="str">
        <f>VLOOKUP(qhkz_4dqm[[#This Row],[fuel_type]],lookup!A:B,2,FALSE)</f>
        <v>Gasoline</v>
      </c>
      <c r="I1107" s="2">
        <f ca="1">YEAR(TODAY())-qhkz_4dqm[[#This Row],[year]]</f>
        <v>8</v>
      </c>
      <c r="J1107" s="2" t="str" cm="1">
        <f t="array" aca="1" ref="J1107" ca="1">_xlfn.IFS(qhkz_4dqm[[#This Row],[vehicle_age]]&lt;=3,"Newer",qhkz_4dqm[[#This Row],[vehicle_age]]&lt;=9,"Mid-age",qhkz_4dqm[[#This Row],[vehicle_age]]&lt;=19,"Older",qhkz_4dqm[[#This Row],[vehicle_age]]&gt;=20,"Very Old")</f>
        <v>Mid-age</v>
      </c>
    </row>
    <row r="1108" spans="1:10">
      <c r="A1108" s="2">
        <v>24141320</v>
      </c>
      <c r="B1108" s="2">
        <v>2414132001</v>
      </c>
      <c r="C1108" s="2">
        <v>1</v>
      </c>
      <c r="D1108" s="2">
        <v>2024</v>
      </c>
      <c r="E1108" s="2">
        <v>1</v>
      </c>
      <c r="F1108" s="2">
        <v>218.84</v>
      </c>
      <c r="G1108" s="2">
        <v>572.35</v>
      </c>
      <c r="H1108" s="2" t="str">
        <f>VLOOKUP(qhkz_4dqm[[#This Row],[fuel_type]],lookup!A:B,2,FALSE)</f>
        <v>Gasoline</v>
      </c>
      <c r="I1108" s="2">
        <f ca="1">YEAR(TODAY())-qhkz_4dqm[[#This Row],[year]]</f>
        <v>2</v>
      </c>
      <c r="J1108" s="2" t="str" cm="1">
        <f t="array" aca="1" ref="J1108" ca="1">_xlfn.IFS(qhkz_4dqm[[#This Row],[vehicle_age]]&lt;=3,"Newer",qhkz_4dqm[[#This Row],[vehicle_age]]&lt;=9,"Mid-age",qhkz_4dqm[[#This Row],[vehicle_age]]&lt;=19,"Older",qhkz_4dqm[[#This Row],[vehicle_age]]&gt;=20,"Very Old")</f>
        <v>Newer</v>
      </c>
    </row>
    <row r="1109" spans="1:10">
      <c r="A1109" s="2">
        <v>24141416</v>
      </c>
      <c r="B1109" s="2">
        <v>2414141601</v>
      </c>
      <c r="C1109" s="2">
        <v>1</v>
      </c>
      <c r="D1109" s="2">
        <v>1997</v>
      </c>
      <c r="E1109" s="2">
        <v>1</v>
      </c>
      <c r="F1109" s="2">
        <v>116.79</v>
      </c>
      <c r="G1109" s="2">
        <v>168.82</v>
      </c>
      <c r="H1109" s="2" t="str">
        <f>VLOOKUP(qhkz_4dqm[[#This Row],[fuel_type]],lookup!A:B,2,FALSE)</f>
        <v>Gasoline</v>
      </c>
      <c r="I1109" s="2">
        <f ca="1">YEAR(TODAY())-qhkz_4dqm[[#This Row],[year]]</f>
        <v>29</v>
      </c>
      <c r="J1109" s="2" t="str" cm="1">
        <f t="array" aca="1" ref="J1109" ca="1">_xlfn.IFS(qhkz_4dqm[[#This Row],[vehicle_age]]&lt;=3,"Newer",qhkz_4dqm[[#This Row],[vehicle_age]]&lt;=9,"Mid-age",qhkz_4dqm[[#This Row],[vehicle_age]]&lt;=19,"Older",qhkz_4dqm[[#This Row],[vehicle_age]]&gt;=20,"Very Old")</f>
        <v>Very Old</v>
      </c>
    </row>
    <row r="1110" spans="1:10">
      <c r="A1110" s="2">
        <v>24141494</v>
      </c>
      <c r="B1110" s="2">
        <v>2414149401</v>
      </c>
      <c r="C1110" s="2">
        <v>1</v>
      </c>
      <c r="D1110" s="2">
        <v>2019</v>
      </c>
      <c r="E1110" s="2">
        <v>1</v>
      </c>
      <c r="F1110" s="2">
        <v>656.1</v>
      </c>
      <c r="G1110" s="2">
        <v>775.13</v>
      </c>
      <c r="H1110" s="2" t="str">
        <f>VLOOKUP(qhkz_4dqm[[#This Row],[fuel_type]],lookup!A:B,2,FALSE)</f>
        <v>Gasoline</v>
      </c>
      <c r="I1110" s="2">
        <f ca="1">YEAR(TODAY())-qhkz_4dqm[[#This Row],[year]]</f>
        <v>7</v>
      </c>
      <c r="J1110" s="2" t="str" cm="1">
        <f t="array" aca="1" ref="J1110" ca="1">_xlfn.IFS(qhkz_4dqm[[#This Row],[vehicle_age]]&lt;=3,"Newer",qhkz_4dqm[[#This Row],[vehicle_age]]&lt;=9,"Mid-age",qhkz_4dqm[[#This Row],[vehicle_age]]&lt;=19,"Older",qhkz_4dqm[[#This Row],[vehicle_age]]&gt;=20,"Very Old")</f>
        <v>Mid-age</v>
      </c>
    </row>
    <row r="1111" spans="1:10">
      <c r="A1111" s="2">
        <v>24141529</v>
      </c>
      <c r="B1111" s="2">
        <v>2414152901</v>
      </c>
      <c r="C1111" s="2">
        <v>1</v>
      </c>
      <c r="D1111" s="2">
        <v>2021</v>
      </c>
      <c r="E1111" s="2">
        <v>1</v>
      </c>
      <c r="F1111" s="2">
        <v>1125.74</v>
      </c>
      <c r="G1111" s="2">
        <v>447.32</v>
      </c>
      <c r="H1111" s="2" t="str">
        <f>VLOOKUP(qhkz_4dqm[[#This Row],[fuel_type]],lookup!A:B,2,FALSE)</f>
        <v>Gasoline</v>
      </c>
      <c r="I1111" s="2">
        <f ca="1">YEAR(TODAY())-qhkz_4dqm[[#This Row],[year]]</f>
        <v>5</v>
      </c>
      <c r="J1111" s="2" t="str" cm="1">
        <f t="array" aca="1" ref="J1111" ca="1">_xlfn.IFS(qhkz_4dqm[[#This Row],[vehicle_age]]&lt;=3,"Newer",qhkz_4dqm[[#This Row],[vehicle_age]]&lt;=9,"Mid-age",qhkz_4dqm[[#This Row],[vehicle_age]]&lt;=19,"Older",qhkz_4dqm[[#This Row],[vehicle_age]]&gt;=20,"Very Old")</f>
        <v>Mid-age</v>
      </c>
    </row>
    <row r="1112" spans="1:10">
      <c r="A1112" s="2">
        <v>24141533</v>
      </c>
      <c r="B1112" s="2">
        <v>2414153301</v>
      </c>
      <c r="C1112" s="2">
        <v>1</v>
      </c>
      <c r="D1112" s="2">
        <v>2010</v>
      </c>
      <c r="E1112" s="2">
        <v>1</v>
      </c>
      <c r="F1112" s="2">
        <v>222.85</v>
      </c>
      <c r="G1112" s="2">
        <v>287.18</v>
      </c>
      <c r="H1112" s="2" t="str">
        <f>VLOOKUP(qhkz_4dqm[[#This Row],[fuel_type]],lookup!A:B,2,FALSE)</f>
        <v>Gasoline</v>
      </c>
      <c r="I1112" s="2">
        <f ca="1">YEAR(TODAY())-qhkz_4dqm[[#This Row],[year]]</f>
        <v>16</v>
      </c>
      <c r="J1112" s="2" t="str" cm="1">
        <f t="array" aca="1" ref="J1112" ca="1">_xlfn.IFS(qhkz_4dqm[[#This Row],[vehicle_age]]&lt;=3,"Newer",qhkz_4dqm[[#This Row],[vehicle_age]]&lt;=9,"Mid-age",qhkz_4dqm[[#This Row],[vehicle_age]]&lt;=19,"Older",qhkz_4dqm[[#This Row],[vehicle_age]]&gt;=20,"Very Old")</f>
        <v>Older</v>
      </c>
    </row>
    <row r="1113" spans="1:10">
      <c r="A1113" s="2">
        <v>24141537</v>
      </c>
      <c r="B1113" s="2">
        <v>2414153701</v>
      </c>
      <c r="C1113" s="2">
        <v>1</v>
      </c>
      <c r="D1113" s="2">
        <v>2013</v>
      </c>
      <c r="E1113" s="2">
        <v>1</v>
      </c>
      <c r="F1113" s="2">
        <v>267.16000000000003</v>
      </c>
      <c r="G1113" s="2">
        <v>707.8</v>
      </c>
      <c r="H1113" s="2" t="str">
        <f>VLOOKUP(qhkz_4dqm[[#This Row],[fuel_type]],lookup!A:B,2,FALSE)</f>
        <v>Gasoline</v>
      </c>
      <c r="I1113" s="2">
        <f ca="1">YEAR(TODAY())-qhkz_4dqm[[#This Row],[year]]</f>
        <v>13</v>
      </c>
      <c r="J1113" s="2" t="str" cm="1">
        <f t="array" aca="1" ref="J1113" ca="1">_xlfn.IFS(qhkz_4dqm[[#This Row],[vehicle_age]]&lt;=3,"Newer",qhkz_4dqm[[#This Row],[vehicle_age]]&lt;=9,"Mid-age",qhkz_4dqm[[#This Row],[vehicle_age]]&lt;=19,"Older",qhkz_4dqm[[#This Row],[vehicle_age]]&gt;=20,"Very Old")</f>
        <v>Older</v>
      </c>
    </row>
    <row r="1114" spans="1:10">
      <c r="A1114" s="2">
        <v>24141552</v>
      </c>
      <c r="B1114" s="2">
        <v>2414155201</v>
      </c>
      <c r="C1114" s="2">
        <v>1</v>
      </c>
      <c r="D1114" s="2">
        <v>2020</v>
      </c>
      <c r="E1114" s="2">
        <v>1</v>
      </c>
      <c r="F1114" s="2">
        <v>163.46</v>
      </c>
      <c r="G1114" s="2">
        <v>181.89</v>
      </c>
      <c r="H1114" s="2" t="str">
        <f>VLOOKUP(qhkz_4dqm[[#This Row],[fuel_type]],lookup!A:B,2,FALSE)</f>
        <v>Gasoline</v>
      </c>
      <c r="I1114" s="2">
        <f ca="1">YEAR(TODAY())-qhkz_4dqm[[#This Row],[year]]</f>
        <v>6</v>
      </c>
      <c r="J1114" s="2" t="str" cm="1">
        <f t="array" aca="1" ref="J1114" ca="1">_xlfn.IFS(qhkz_4dqm[[#This Row],[vehicle_age]]&lt;=3,"Newer",qhkz_4dqm[[#This Row],[vehicle_age]]&lt;=9,"Mid-age",qhkz_4dqm[[#This Row],[vehicle_age]]&lt;=19,"Older",qhkz_4dqm[[#This Row],[vehicle_age]]&gt;=20,"Very Old")</f>
        <v>Mid-age</v>
      </c>
    </row>
    <row r="1115" spans="1:10">
      <c r="A1115" s="2">
        <v>24141567</v>
      </c>
      <c r="B1115" s="2">
        <v>2414156701</v>
      </c>
      <c r="C1115" s="2">
        <v>1</v>
      </c>
      <c r="D1115" s="2">
        <v>2021</v>
      </c>
      <c r="E1115" s="2">
        <v>1</v>
      </c>
      <c r="F1115" s="2">
        <v>264.87</v>
      </c>
      <c r="G1115" s="2">
        <v>825.23</v>
      </c>
      <c r="H1115" s="2" t="str">
        <f>VLOOKUP(qhkz_4dqm[[#This Row],[fuel_type]],lookup!A:B,2,FALSE)</f>
        <v>Gasoline</v>
      </c>
      <c r="I1115" s="2">
        <f ca="1">YEAR(TODAY())-qhkz_4dqm[[#This Row],[year]]</f>
        <v>5</v>
      </c>
      <c r="J1115" s="2" t="str" cm="1">
        <f t="array" aca="1" ref="J1115" ca="1">_xlfn.IFS(qhkz_4dqm[[#This Row],[vehicle_age]]&lt;=3,"Newer",qhkz_4dqm[[#This Row],[vehicle_age]]&lt;=9,"Mid-age",qhkz_4dqm[[#This Row],[vehicle_age]]&lt;=19,"Older",qhkz_4dqm[[#This Row],[vehicle_age]]&gt;=20,"Very Old")</f>
        <v>Mid-age</v>
      </c>
    </row>
    <row r="1116" spans="1:10">
      <c r="A1116" s="2">
        <v>24141703</v>
      </c>
      <c r="B1116" s="2">
        <v>2414170301</v>
      </c>
      <c r="C1116" s="2">
        <v>1</v>
      </c>
      <c r="D1116" s="2">
        <v>2019</v>
      </c>
      <c r="E1116" s="2">
        <v>1</v>
      </c>
      <c r="F1116" s="2">
        <v>1026.3</v>
      </c>
      <c r="G1116" s="2">
        <v>1112.72</v>
      </c>
      <c r="H1116" s="2" t="str">
        <f>VLOOKUP(qhkz_4dqm[[#This Row],[fuel_type]],lookup!A:B,2,FALSE)</f>
        <v>Gasoline</v>
      </c>
      <c r="I1116" s="2">
        <f ca="1">YEAR(TODAY())-qhkz_4dqm[[#This Row],[year]]</f>
        <v>7</v>
      </c>
      <c r="J1116" s="2" t="str" cm="1">
        <f t="array" aca="1" ref="J1116" ca="1">_xlfn.IFS(qhkz_4dqm[[#This Row],[vehicle_age]]&lt;=3,"Newer",qhkz_4dqm[[#This Row],[vehicle_age]]&lt;=9,"Mid-age",qhkz_4dqm[[#This Row],[vehicle_age]]&lt;=19,"Older",qhkz_4dqm[[#This Row],[vehicle_age]]&gt;=20,"Very Old")</f>
        <v>Mid-age</v>
      </c>
    </row>
    <row r="1117" spans="1:10">
      <c r="A1117" s="2">
        <v>24141771</v>
      </c>
      <c r="B1117" s="2">
        <v>2414177101</v>
      </c>
      <c r="C1117" s="2">
        <v>1</v>
      </c>
      <c r="D1117" s="2">
        <v>2017</v>
      </c>
      <c r="E1117" s="2">
        <v>1</v>
      </c>
      <c r="F1117" s="2">
        <v>173.57</v>
      </c>
      <c r="G1117" s="2">
        <v>229.79</v>
      </c>
      <c r="H1117" s="2" t="str">
        <f>VLOOKUP(qhkz_4dqm[[#This Row],[fuel_type]],lookup!A:B,2,FALSE)</f>
        <v>Gasoline</v>
      </c>
      <c r="I1117" s="2">
        <f ca="1">YEAR(TODAY())-qhkz_4dqm[[#This Row],[year]]</f>
        <v>9</v>
      </c>
      <c r="J1117" s="2" t="str" cm="1">
        <f t="array" aca="1" ref="J1117" ca="1">_xlfn.IFS(qhkz_4dqm[[#This Row],[vehicle_age]]&lt;=3,"Newer",qhkz_4dqm[[#This Row],[vehicle_age]]&lt;=9,"Mid-age",qhkz_4dqm[[#This Row],[vehicle_age]]&lt;=19,"Older",qhkz_4dqm[[#This Row],[vehicle_age]]&gt;=20,"Very Old")</f>
        <v>Mid-age</v>
      </c>
    </row>
    <row r="1118" spans="1:10">
      <c r="A1118" s="2">
        <v>24141812</v>
      </c>
      <c r="B1118" s="2">
        <v>2414181201</v>
      </c>
      <c r="C1118" s="2">
        <v>1</v>
      </c>
      <c r="D1118" s="2">
        <v>2024</v>
      </c>
      <c r="E1118" s="2">
        <v>1</v>
      </c>
      <c r="F1118" s="2">
        <v>115.47</v>
      </c>
      <c r="G1118" s="2">
        <v>200.63</v>
      </c>
      <c r="H1118" s="2" t="str">
        <f>VLOOKUP(qhkz_4dqm[[#This Row],[fuel_type]],lookup!A:B,2,FALSE)</f>
        <v>Gasoline</v>
      </c>
      <c r="I1118" s="2">
        <f ca="1">YEAR(TODAY())-qhkz_4dqm[[#This Row],[year]]</f>
        <v>2</v>
      </c>
      <c r="J1118" s="2" t="str" cm="1">
        <f t="array" aca="1" ref="J1118" ca="1">_xlfn.IFS(qhkz_4dqm[[#This Row],[vehicle_age]]&lt;=3,"Newer",qhkz_4dqm[[#This Row],[vehicle_age]]&lt;=9,"Mid-age",qhkz_4dqm[[#This Row],[vehicle_age]]&lt;=19,"Older",qhkz_4dqm[[#This Row],[vehicle_age]]&gt;=20,"Very Old")</f>
        <v>Newer</v>
      </c>
    </row>
    <row r="1119" spans="1:10">
      <c r="A1119" s="2">
        <v>24141850</v>
      </c>
      <c r="B1119" s="2">
        <v>2414185001</v>
      </c>
      <c r="C1119" s="2">
        <v>1</v>
      </c>
      <c r="D1119" s="2">
        <v>2017</v>
      </c>
      <c r="E1119" s="2">
        <v>1</v>
      </c>
      <c r="F1119" s="2">
        <v>609</v>
      </c>
      <c r="G1119" s="2">
        <v>884.5</v>
      </c>
      <c r="H1119" s="2" t="str">
        <f>VLOOKUP(qhkz_4dqm[[#This Row],[fuel_type]],lookup!A:B,2,FALSE)</f>
        <v>Gasoline</v>
      </c>
      <c r="I1119" s="2">
        <f ca="1">YEAR(TODAY())-qhkz_4dqm[[#This Row],[year]]</f>
        <v>9</v>
      </c>
      <c r="J1119" s="2" t="str" cm="1">
        <f t="array" aca="1" ref="J1119" ca="1">_xlfn.IFS(qhkz_4dqm[[#This Row],[vehicle_age]]&lt;=3,"Newer",qhkz_4dqm[[#This Row],[vehicle_age]]&lt;=9,"Mid-age",qhkz_4dqm[[#This Row],[vehicle_age]]&lt;=19,"Older",qhkz_4dqm[[#This Row],[vehicle_age]]&gt;=20,"Very Old")</f>
        <v>Mid-age</v>
      </c>
    </row>
    <row r="1120" spans="1:10">
      <c r="A1120" s="2">
        <v>24141864</v>
      </c>
      <c r="B1120" s="2">
        <v>2414186401</v>
      </c>
      <c r="C1120" s="2">
        <v>1</v>
      </c>
      <c r="D1120" s="2">
        <v>1993</v>
      </c>
      <c r="E1120" s="2">
        <v>1</v>
      </c>
      <c r="F1120" s="2">
        <v>1674.96</v>
      </c>
      <c r="G1120" s="2">
        <v>1122.49</v>
      </c>
      <c r="H1120" s="2" t="str">
        <f>VLOOKUP(qhkz_4dqm[[#This Row],[fuel_type]],lookup!A:B,2,FALSE)</f>
        <v>Gasoline</v>
      </c>
      <c r="I1120" s="2">
        <f ca="1">YEAR(TODAY())-qhkz_4dqm[[#This Row],[year]]</f>
        <v>33</v>
      </c>
      <c r="J1120" s="2" t="str" cm="1">
        <f t="array" aca="1" ref="J1120" ca="1">_xlfn.IFS(qhkz_4dqm[[#This Row],[vehicle_age]]&lt;=3,"Newer",qhkz_4dqm[[#This Row],[vehicle_age]]&lt;=9,"Mid-age",qhkz_4dqm[[#This Row],[vehicle_age]]&lt;=19,"Older",qhkz_4dqm[[#This Row],[vehicle_age]]&gt;=20,"Very Old")</f>
        <v>Very Old</v>
      </c>
    </row>
    <row r="1121" spans="1:10">
      <c r="A1121" s="2">
        <v>24141923</v>
      </c>
      <c r="B1121" s="2">
        <v>2414192301</v>
      </c>
      <c r="C1121" s="2">
        <v>1</v>
      </c>
      <c r="D1121" s="2">
        <v>2020</v>
      </c>
      <c r="E1121" s="2">
        <v>1</v>
      </c>
      <c r="F1121" s="2">
        <v>303.43</v>
      </c>
      <c r="G1121" s="2">
        <v>802.89</v>
      </c>
      <c r="H1121" s="2" t="str">
        <f>VLOOKUP(qhkz_4dqm[[#This Row],[fuel_type]],lookup!A:B,2,FALSE)</f>
        <v>Gasoline</v>
      </c>
      <c r="I1121" s="2">
        <f ca="1">YEAR(TODAY())-qhkz_4dqm[[#This Row],[year]]</f>
        <v>6</v>
      </c>
      <c r="J1121" s="2" t="str" cm="1">
        <f t="array" aca="1" ref="J1121" ca="1">_xlfn.IFS(qhkz_4dqm[[#This Row],[vehicle_age]]&lt;=3,"Newer",qhkz_4dqm[[#This Row],[vehicle_age]]&lt;=9,"Mid-age",qhkz_4dqm[[#This Row],[vehicle_age]]&lt;=19,"Older",qhkz_4dqm[[#This Row],[vehicle_age]]&gt;=20,"Very Old")</f>
        <v>Mid-age</v>
      </c>
    </row>
    <row r="1122" spans="1:10">
      <c r="A1122" s="2">
        <v>24142005</v>
      </c>
      <c r="B1122" s="2">
        <v>2414200501</v>
      </c>
      <c r="C1122" s="2">
        <v>1</v>
      </c>
      <c r="D1122" s="2">
        <v>2018</v>
      </c>
      <c r="E1122" s="2">
        <v>1</v>
      </c>
      <c r="F1122" s="2">
        <v>158.05000000000001</v>
      </c>
      <c r="G1122" s="2">
        <v>459.47</v>
      </c>
      <c r="H1122" s="2" t="str">
        <f>VLOOKUP(qhkz_4dqm[[#This Row],[fuel_type]],lookup!A:B,2,FALSE)</f>
        <v>Gasoline</v>
      </c>
      <c r="I1122" s="2">
        <f ca="1">YEAR(TODAY())-qhkz_4dqm[[#This Row],[year]]</f>
        <v>8</v>
      </c>
      <c r="J1122" s="2" t="str" cm="1">
        <f t="array" aca="1" ref="J1122" ca="1">_xlfn.IFS(qhkz_4dqm[[#This Row],[vehicle_age]]&lt;=3,"Newer",qhkz_4dqm[[#This Row],[vehicle_age]]&lt;=9,"Mid-age",qhkz_4dqm[[#This Row],[vehicle_age]]&lt;=19,"Older",qhkz_4dqm[[#This Row],[vehicle_age]]&gt;=20,"Very Old")</f>
        <v>Mid-age</v>
      </c>
    </row>
    <row r="1123" spans="1:10">
      <c r="A1123" s="2">
        <v>24142021</v>
      </c>
      <c r="B1123" s="2">
        <v>2414202101</v>
      </c>
      <c r="C1123" s="2">
        <v>1</v>
      </c>
      <c r="D1123" s="2">
        <v>2022</v>
      </c>
      <c r="E1123" s="2">
        <v>1</v>
      </c>
      <c r="F1123" s="2">
        <v>277.35000000000002</v>
      </c>
      <c r="G1123" s="2">
        <v>707.49</v>
      </c>
      <c r="H1123" s="2" t="str">
        <f>VLOOKUP(qhkz_4dqm[[#This Row],[fuel_type]],lookup!A:B,2,FALSE)</f>
        <v>Gasoline</v>
      </c>
      <c r="I1123" s="2">
        <f ca="1">YEAR(TODAY())-qhkz_4dqm[[#This Row],[year]]</f>
        <v>4</v>
      </c>
      <c r="J1123" s="2" t="str" cm="1">
        <f t="array" aca="1" ref="J1123" ca="1">_xlfn.IFS(qhkz_4dqm[[#This Row],[vehicle_age]]&lt;=3,"Newer",qhkz_4dqm[[#This Row],[vehicle_age]]&lt;=9,"Mid-age",qhkz_4dqm[[#This Row],[vehicle_age]]&lt;=19,"Older",qhkz_4dqm[[#This Row],[vehicle_age]]&gt;=20,"Very Old")</f>
        <v>Mid-age</v>
      </c>
    </row>
    <row r="1124" spans="1:10">
      <c r="A1124" s="2">
        <v>24142131</v>
      </c>
      <c r="B1124" s="2">
        <v>2414213101</v>
      </c>
      <c r="C1124" s="2">
        <v>1</v>
      </c>
      <c r="D1124" s="2">
        <v>2014</v>
      </c>
      <c r="E1124" s="2">
        <v>6</v>
      </c>
      <c r="F1124" s="2">
        <v>140.41</v>
      </c>
      <c r="G1124" s="2">
        <v>140.31</v>
      </c>
      <c r="H1124" s="2" t="str">
        <f>VLOOKUP(qhkz_4dqm[[#This Row],[fuel_type]],lookup!A:B,2,FALSE)</f>
        <v>Other</v>
      </c>
      <c r="I1124" s="2">
        <f ca="1">YEAR(TODAY())-qhkz_4dqm[[#This Row],[year]]</f>
        <v>12</v>
      </c>
      <c r="J1124" s="2" t="str" cm="1">
        <f t="array" aca="1" ref="J1124" ca="1">_xlfn.IFS(qhkz_4dqm[[#This Row],[vehicle_age]]&lt;=3,"Newer",qhkz_4dqm[[#This Row],[vehicle_age]]&lt;=9,"Mid-age",qhkz_4dqm[[#This Row],[vehicle_age]]&lt;=19,"Older",qhkz_4dqm[[#This Row],[vehicle_age]]&gt;=20,"Very Old")</f>
        <v>Older</v>
      </c>
    </row>
    <row r="1125" spans="1:10">
      <c r="A1125" s="2">
        <v>24142230</v>
      </c>
      <c r="B1125" s="2">
        <v>2414223001</v>
      </c>
      <c r="C1125" s="2">
        <v>1</v>
      </c>
      <c r="D1125" s="2">
        <v>2013</v>
      </c>
      <c r="E1125" s="2">
        <v>1</v>
      </c>
      <c r="F1125" s="2">
        <v>140.37</v>
      </c>
      <c r="G1125" s="2">
        <v>179.58</v>
      </c>
      <c r="H1125" s="2" t="str">
        <f>VLOOKUP(qhkz_4dqm[[#This Row],[fuel_type]],lookup!A:B,2,FALSE)</f>
        <v>Gasoline</v>
      </c>
      <c r="I1125" s="2">
        <f ca="1">YEAR(TODAY())-qhkz_4dqm[[#This Row],[year]]</f>
        <v>13</v>
      </c>
      <c r="J1125" s="2" t="str" cm="1">
        <f t="array" aca="1" ref="J1125" ca="1">_xlfn.IFS(qhkz_4dqm[[#This Row],[vehicle_age]]&lt;=3,"Newer",qhkz_4dqm[[#This Row],[vehicle_age]]&lt;=9,"Mid-age",qhkz_4dqm[[#This Row],[vehicle_age]]&lt;=19,"Older",qhkz_4dqm[[#This Row],[vehicle_age]]&gt;=20,"Very Old")</f>
        <v>Older</v>
      </c>
    </row>
    <row r="1126" spans="1:10">
      <c r="A1126" s="2">
        <v>24142337</v>
      </c>
      <c r="B1126" s="2">
        <v>2414233701</v>
      </c>
      <c r="C1126" s="2">
        <v>1</v>
      </c>
      <c r="D1126" s="2">
        <v>2021</v>
      </c>
      <c r="E1126" s="2">
        <v>1</v>
      </c>
      <c r="F1126" s="2">
        <v>717.33</v>
      </c>
      <c r="G1126" s="2">
        <v>1659.5</v>
      </c>
      <c r="H1126" s="2" t="str">
        <f>VLOOKUP(qhkz_4dqm[[#This Row],[fuel_type]],lookup!A:B,2,FALSE)</f>
        <v>Gasoline</v>
      </c>
      <c r="I1126" s="2">
        <f ca="1">YEAR(TODAY())-qhkz_4dqm[[#This Row],[year]]</f>
        <v>5</v>
      </c>
      <c r="J1126" s="2" t="str" cm="1">
        <f t="array" aca="1" ref="J1126" ca="1">_xlfn.IFS(qhkz_4dqm[[#This Row],[vehicle_age]]&lt;=3,"Newer",qhkz_4dqm[[#This Row],[vehicle_age]]&lt;=9,"Mid-age",qhkz_4dqm[[#This Row],[vehicle_age]]&lt;=19,"Older",qhkz_4dqm[[#This Row],[vehicle_age]]&gt;=20,"Very Old")</f>
        <v>Mid-age</v>
      </c>
    </row>
    <row r="1127" spans="1:10">
      <c r="A1127" s="2">
        <v>24142386</v>
      </c>
      <c r="B1127" s="2">
        <v>2414238601</v>
      </c>
      <c r="C1127" s="2">
        <v>1</v>
      </c>
      <c r="D1127" s="2">
        <v>2005</v>
      </c>
      <c r="E1127" s="2">
        <v>1</v>
      </c>
      <c r="F1127" s="2">
        <v>445.01</v>
      </c>
      <c r="G1127" s="2">
        <v>1233.24</v>
      </c>
      <c r="H1127" s="2" t="str">
        <f>VLOOKUP(qhkz_4dqm[[#This Row],[fuel_type]],lookup!A:B,2,FALSE)</f>
        <v>Gasoline</v>
      </c>
      <c r="I1127" s="2">
        <f ca="1">YEAR(TODAY())-qhkz_4dqm[[#This Row],[year]]</f>
        <v>21</v>
      </c>
      <c r="J1127" s="2" t="str" cm="1">
        <f t="array" aca="1" ref="J1127" ca="1">_xlfn.IFS(qhkz_4dqm[[#This Row],[vehicle_age]]&lt;=3,"Newer",qhkz_4dqm[[#This Row],[vehicle_age]]&lt;=9,"Mid-age",qhkz_4dqm[[#This Row],[vehicle_age]]&lt;=19,"Older",qhkz_4dqm[[#This Row],[vehicle_age]]&gt;=20,"Very Old")</f>
        <v>Very Old</v>
      </c>
    </row>
    <row r="1128" spans="1:10">
      <c r="A1128" s="2">
        <v>24142519</v>
      </c>
      <c r="B1128" s="2">
        <v>2414251901</v>
      </c>
      <c r="C1128" s="2">
        <v>1</v>
      </c>
      <c r="D1128" s="2">
        <v>2023</v>
      </c>
      <c r="E1128" s="2">
        <v>1</v>
      </c>
      <c r="F1128" s="2">
        <v>250.68</v>
      </c>
      <c r="G1128" s="2">
        <v>670.69</v>
      </c>
      <c r="H1128" s="2" t="str">
        <f>VLOOKUP(qhkz_4dqm[[#This Row],[fuel_type]],lookup!A:B,2,FALSE)</f>
        <v>Gasoline</v>
      </c>
      <c r="I1128" s="2">
        <f ca="1">YEAR(TODAY())-qhkz_4dqm[[#This Row],[year]]</f>
        <v>3</v>
      </c>
      <c r="J1128" s="2" t="str" cm="1">
        <f t="array" aca="1" ref="J1128" ca="1">_xlfn.IFS(qhkz_4dqm[[#This Row],[vehicle_age]]&lt;=3,"Newer",qhkz_4dqm[[#This Row],[vehicle_age]]&lt;=9,"Mid-age",qhkz_4dqm[[#This Row],[vehicle_age]]&lt;=19,"Older",qhkz_4dqm[[#This Row],[vehicle_age]]&gt;=20,"Very Old")</f>
        <v>Newer</v>
      </c>
    </row>
    <row r="1129" spans="1:10">
      <c r="A1129" s="2">
        <v>24142543</v>
      </c>
      <c r="B1129" s="2">
        <v>2414254301</v>
      </c>
      <c r="C1129" s="2">
        <v>1</v>
      </c>
      <c r="D1129" s="2">
        <v>2019</v>
      </c>
      <c r="E1129" s="2">
        <v>1</v>
      </c>
      <c r="F1129" s="2">
        <v>179.49</v>
      </c>
      <c r="G1129" s="2">
        <v>214.71</v>
      </c>
      <c r="H1129" s="2" t="str">
        <f>VLOOKUP(qhkz_4dqm[[#This Row],[fuel_type]],lookup!A:B,2,FALSE)</f>
        <v>Gasoline</v>
      </c>
      <c r="I1129" s="2">
        <f ca="1">YEAR(TODAY())-qhkz_4dqm[[#This Row],[year]]</f>
        <v>7</v>
      </c>
      <c r="J1129" s="2" t="str" cm="1">
        <f t="array" aca="1" ref="J1129" ca="1">_xlfn.IFS(qhkz_4dqm[[#This Row],[vehicle_age]]&lt;=3,"Newer",qhkz_4dqm[[#This Row],[vehicle_age]]&lt;=9,"Mid-age",qhkz_4dqm[[#This Row],[vehicle_age]]&lt;=19,"Older",qhkz_4dqm[[#This Row],[vehicle_age]]&gt;=20,"Very Old")</f>
        <v>Mid-age</v>
      </c>
    </row>
    <row r="1130" spans="1:10">
      <c r="A1130" s="2">
        <v>24142566</v>
      </c>
      <c r="B1130" s="2">
        <v>2414256601</v>
      </c>
      <c r="C1130" s="2">
        <v>1</v>
      </c>
      <c r="D1130" s="2">
        <v>2023</v>
      </c>
      <c r="E1130" s="2">
        <v>2</v>
      </c>
      <c r="F1130" s="2">
        <v>146.86000000000001</v>
      </c>
      <c r="G1130" s="2">
        <v>257.70999999999998</v>
      </c>
      <c r="H1130" s="2" t="str">
        <f>VLOOKUP(qhkz_4dqm[[#This Row],[fuel_type]],lookup!A:B,2,FALSE)</f>
        <v>Diesel</v>
      </c>
      <c r="I1130" s="2">
        <f ca="1">YEAR(TODAY())-qhkz_4dqm[[#This Row],[year]]</f>
        <v>3</v>
      </c>
      <c r="J1130" s="2" t="str" cm="1">
        <f t="array" aca="1" ref="J1130" ca="1">_xlfn.IFS(qhkz_4dqm[[#This Row],[vehicle_age]]&lt;=3,"Newer",qhkz_4dqm[[#This Row],[vehicle_age]]&lt;=9,"Mid-age",qhkz_4dqm[[#This Row],[vehicle_age]]&lt;=19,"Older",qhkz_4dqm[[#This Row],[vehicle_age]]&gt;=20,"Very Old")</f>
        <v>Newer</v>
      </c>
    </row>
    <row r="1131" spans="1:10">
      <c r="A1131" s="2">
        <v>24142718</v>
      </c>
      <c r="B1131" s="2">
        <v>2414271801</v>
      </c>
      <c r="C1131" s="2">
        <v>1</v>
      </c>
      <c r="D1131" s="2">
        <v>2021</v>
      </c>
      <c r="E1131" s="2">
        <v>2</v>
      </c>
      <c r="F1131" s="2">
        <v>163.01</v>
      </c>
      <c r="G1131" s="2">
        <v>419.32</v>
      </c>
      <c r="H1131" s="2" t="str">
        <f>VLOOKUP(qhkz_4dqm[[#This Row],[fuel_type]],lookup!A:B,2,FALSE)</f>
        <v>Diesel</v>
      </c>
      <c r="I1131" s="2">
        <f ca="1">YEAR(TODAY())-qhkz_4dqm[[#This Row],[year]]</f>
        <v>5</v>
      </c>
      <c r="J1131" s="2" t="str" cm="1">
        <f t="array" aca="1" ref="J1131" ca="1">_xlfn.IFS(qhkz_4dqm[[#This Row],[vehicle_age]]&lt;=3,"Newer",qhkz_4dqm[[#This Row],[vehicle_age]]&lt;=9,"Mid-age",qhkz_4dqm[[#This Row],[vehicle_age]]&lt;=19,"Older",qhkz_4dqm[[#This Row],[vehicle_age]]&gt;=20,"Very Old")</f>
        <v>Mid-age</v>
      </c>
    </row>
    <row r="1132" spans="1:10">
      <c r="A1132" s="2">
        <v>24142742</v>
      </c>
      <c r="B1132" s="2">
        <v>2414274201</v>
      </c>
      <c r="C1132" s="2">
        <v>1</v>
      </c>
      <c r="D1132" s="2">
        <v>2019</v>
      </c>
      <c r="E1132" s="2">
        <v>1</v>
      </c>
      <c r="F1132" s="2">
        <v>322.67</v>
      </c>
      <c r="G1132" s="2">
        <v>410.76</v>
      </c>
      <c r="H1132" s="2" t="str">
        <f>VLOOKUP(qhkz_4dqm[[#This Row],[fuel_type]],lookup!A:B,2,FALSE)</f>
        <v>Gasoline</v>
      </c>
      <c r="I1132" s="2">
        <f ca="1">YEAR(TODAY())-qhkz_4dqm[[#This Row],[year]]</f>
        <v>7</v>
      </c>
      <c r="J1132" s="2" t="str" cm="1">
        <f t="array" aca="1" ref="J1132" ca="1">_xlfn.IFS(qhkz_4dqm[[#This Row],[vehicle_age]]&lt;=3,"Newer",qhkz_4dqm[[#This Row],[vehicle_age]]&lt;=9,"Mid-age",qhkz_4dqm[[#This Row],[vehicle_age]]&lt;=19,"Older",qhkz_4dqm[[#This Row],[vehicle_age]]&gt;=20,"Very Old")</f>
        <v>Mid-age</v>
      </c>
    </row>
    <row r="1133" spans="1:10">
      <c r="A1133" s="2">
        <v>24142754</v>
      </c>
      <c r="B1133" s="2">
        <v>2414275401</v>
      </c>
      <c r="C1133" s="2">
        <v>1</v>
      </c>
      <c r="D1133" s="2">
        <v>2021</v>
      </c>
      <c r="E1133" s="2">
        <v>1</v>
      </c>
      <c r="F1133" s="2">
        <v>281.72000000000003</v>
      </c>
      <c r="G1133" s="2">
        <v>224.18</v>
      </c>
      <c r="H1133" s="2" t="str">
        <f>VLOOKUP(qhkz_4dqm[[#This Row],[fuel_type]],lookup!A:B,2,FALSE)</f>
        <v>Gasoline</v>
      </c>
      <c r="I1133" s="2">
        <f ca="1">YEAR(TODAY())-qhkz_4dqm[[#This Row],[year]]</f>
        <v>5</v>
      </c>
      <c r="J1133" s="2" t="str" cm="1">
        <f t="array" aca="1" ref="J1133" ca="1">_xlfn.IFS(qhkz_4dqm[[#This Row],[vehicle_age]]&lt;=3,"Newer",qhkz_4dqm[[#This Row],[vehicle_age]]&lt;=9,"Mid-age",qhkz_4dqm[[#This Row],[vehicle_age]]&lt;=19,"Older",qhkz_4dqm[[#This Row],[vehicle_age]]&gt;=20,"Very Old")</f>
        <v>Mid-age</v>
      </c>
    </row>
    <row r="1134" spans="1:10">
      <c r="A1134" s="2">
        <v>24142836</v>
      </c>
      <c r="B1134" s="2">
        <v>2414283601</v>
      </c>
      <c r="C1134" s="2">
        <v>1</v>
      </c>
      <c r="D1134" s="2">
        <v>2007</v>
      </c>
      <c r="E1134" s="2">
        <v>1</v>
      </c>
      <c r="F1134" s="2">
        <v>687.49</v>
      </c>
      <c r="G1134" s="2">
        <v>1748.29</v>
      </c>
      <c r="H1134" s="2" t="str">
        <f>VLOOKUP(qhkz_4dqm[[#This Row],[fuel_type]],lookup!A:B,2,FALSE)</f>
        <v>Gasoline</v>
      </c>
      <c r="I1134" s="2">
        <f ca="1">YEAR(TODAY())-qhkz_4dqm[[#This Row],[year]]</f>
        <v>19</v>
      </c>
      <c r="J1134" s="2" t="str" cm="1">
        <f t="array" aca="1" ref="J1134" ca="1">_xlfn.IFS(qhkz_4dqm[[#This Row],[vehicle_age]]&lt;=3,"Newer",qhkz_4dqm[[#This Row],[vehicle_age]]&lt;=9,"Mid-age",qhkz_4dqm[[#This Row],[vehicle_age]]&lt;=19,"Older",qhkz_4dqm[[#This Row],[vehicle_age]]&gt;=20,"Very Old")</f>
        <v>Older</v>
      </c>
    </row>
    <row r="1135" spans="1:10">
      <c r="A1135" s="2">
        <v>24142846</v>
      </c>
      <c r="B1135" s="2">
        <v>2414284601</v>
      </c>
      <c r="C1135" s="2">
        <v>1</v>
      </c>
      <c r="D1135" s="2">
        <v>2016</v>
      </c>
      <c r="E1135" s="2">
        <v>1</v>
      </c>
      <c r="F1135" s="2">
        <v>84.58</v>
      </c>
      <c r="G1135" s="2">
        <v>113.21</v>
      </c>
      <c r="H1135" s="2" t="str">
        <f>VLOOKUP(qhkz_4dqm[[#This Row],[fuel_type]],lookup!A:B,2,FALSE)</f>
        <v>Gasoline</v>
      </c>
      <c r="I1135" s="2">
        <f ca="1">YEAR(TODAY())-qhkz_4dqm[[#This Row],[year]]</f>
        <v>10</v>
      </c>
      <c r="J1135" s="2" t="str" cm="1">
        <f t="array" aca="1" ref="J1135" ca="1">_xlfn.IFS(qhkz_4dqm[[#This Row],[vehicle_age]]&lt;=3,"Newer",qhkz_4dqm[[#This Row],[vehicle_age]]&lt;=9,"Mid-age",qhkz_4dqm[[#This Row],[vehicle_age]]&lt;=19,"Older",qhkz_4dqm[[#This Row],[vehicle_age]]&gt;=20,"Very Old")</f>
        <v>Older</v>
      </c>
    </row>
    <row r="1136" spans="1:10">
      <c r="A1136" s="2">
        <v>24142944</v>
      </c>
      <c r="B1136" s="2">
        <v>2414294401</v>
      </c>
      <c r="C1136" s="2">
        <v>1</v>
      </c>
      <c r="D1136" s="2">
        <v>2016</v>
      </c>
      <c r="E1136" s="2">
        <v>1</v>
      </c>
      <c r="F1136" s="2">
        <v>361.74</v>
      </c>
      <c r="G1136" s="2">
        <v>998.55</v>
      </c>
      <c r="H1136" s="2" t="str">
        <f>VLOOKUP(qhkz_4dqm[[#This Row],[fuel_type]],lookup!A:B,2,FALSE)</f>
        <v>Gasoline</v>
      </c>
      <c r="I1136" s="2">
        <f ca="1">YEAR(TODAY())-qhkz_4dqm[[#This Row],[year]]</f>
        <v>10</v>
      </c>
      <c r="J1136" s="2" t="str" cm="1">
        <f t="array" aca="1" ref="J1136" ca="1">_xlfn.IFS(qhkz_4dqm[[#This Row],[vehicle_age]]&lt;=3,"Newer",qhkz_4dqm[[#This Row],[vehicle_age]]&lt;=9,"Mid-age",qhkz_4dqm[[#This Row],[vehicle_age]]&lt;=19,"Older",qhkz_4dqm[[#This Row],[vehicle_age]]&gt;=20,"Very Old")</f>
        <v>Older</v>
      </c>
    </row>
    <row r="1137" spans="1:10">
      <c r="A1137" s="2">
        <v>24143114</v>
      </c>
      <c r="B1137" s="2">
        <v>2414311401</v>
      </c>
      <c r="C1137" s="2">
        <v>1</v>
      </c>
      <c r="D1137" s="2">
        <v>2023</v>
      </c>
      <c r="E1137" s="2">
        <v>1</v>
      </c>
      <c r="F1137" s="2">
        <v>145.24</v>
      </c>
      <c r="G1137" s="2">
        <v>150.78</v>
      </c>
      <c r="H1137" s="2" t="str">
        <f>VLOOKUP(qhkz_4dqm[[#This Row],[fuel_type]],lookup!A:B,2,FALSE)</f>
        <v>Gasoline</v>
      </c>
      <c r="I1137" s="2">
        <f ca="1">YEAR(TODAY())-qhkz_4dqm[[#This Row],[year]]</f>
        <v>3</v>
      </c>
      <c r="J1137" s="2" t="str" cm="1">
        <f t="array" aca="1" ref="J1137" ca="1">_xlfn.IFS(qhkz_4dqm[[#This Row],[vehicle_age]]&lt;=3,"Newer",qhkz_4dqm[[#This Row],[vehicle_age]]&lt;=9,"Mid-age",qhkz_4dqm[[#This Row],[vehicle_age]]&lt;=19,"Older",qhkz_4dqm[[#This Row],[vehicle_age]]&gt;=20,"Very Old")</f>
        <v>Newer</v>
      </c>
    </row>
    <row r="1138" spans="1:10">
      <c r="A1138" s="2">
        <v>24143163</v>
      </c>
      <c r="B1138" s="2">
        <v>2414316301</v>
      </c>
      <c r="C1138" s="2">
        <v>1</v>
      </c>
      <c r="D1138" s="2">
        <v>2021</v>
      </c>
      <c r="E1138" s="2">
        <v>1</v>
      </c>
      <c r="F1138" s="2">
        <v>175.43</v>
      </c>
      <c r="G1138" s="2">
        <v>130.66</v>
      </c>
      <c r="H1138" s="2" t="str">
        <f>VLOOKUP(qhkz_4dqm[[#This Row],[fuel_type]],lookup!A:B,2,FALSE)</f>
        <v>Gasoline</v>
      </c>
      <c r="I1138" s="2">
        <f ca="1">YEAR(TODAY())-qhkz_4dqm[[#This Row],[year]]</f>
        <v>5</v>
      </c>
      <c r="J1138" s="2" t="str" cm="1">
        <f t="array" aca="1" ref="J1138" ca="1">_xlfn.IFS(qhkz_4dqm[[#This Row],[vehicle_age]]&lt;=3,"Newer",qhkz_4dqm[[#This Row],[vehicle_age]]&lt;=9,"Mid-age",qhkz_4dqm[[#This Row],[vehicle_age]]&lt;=19,"Older",qhkz_4dqm[[#This Row],[vehicle_age]]&gt;=20,"Very Old")</f>
        <v>Mid-age</v>
      </c>
    </row>
    <row r="1139" spans="1:10">
      <c r="A1139" s="2">
        <v>24143167</v>
      </c>
      <c r="B1139" s="2">
        <v>2414316701</v>
      </c>
      <c r="C1139" s="2">
        <v>1</v>
      </c>
      <c r="D1139" s="2">
        <v>2019</v>
      </c>
      <c r="E1139" s="2">
        <v>1</v>
      </c>
      <c r="F1139" s="2">
        <v>115.08</v>
      </c>
      <c r="G1139" s="2">
        <v>490.11</v>
      </c>
      <c r="H1139" s="2" t="str">
        <f>VLOOKUP(qhkz_4dqm[[#This Row],[fuel_type]],lookup!A:B,2,FALSE)</f>
        <v>Gasoline</v>
      </c>
      <c r="I1139" s="2">
        <f ca="1">YEAR(TODAY())-qhkz_4dqm[[#This Row],[year]]</f>
        <v>7</v>
      </c>
      <c r="J1139" s="2" t="str" cm="1">
        <f t="array" aca="1" ref="J1139" ca="1">_xlfn.IFS(qhkz_4dqm[[#This Row],[vehicle_age]]&lt;=3,"Newer",qhkz_4dqm[[#This Row],[vehicle_age]]&lt;=9,"Mid-age",qhkz_4dqm[[#This Row],[vehicle_age]]&lt;=19,"Older",qhkz_4dqm[[#This Row],[vehicle_age]]&gt;=20,"Very Old")</f>
        <v>Mid-age</v>
      </c>
    </row>
    <row r="1140" spans="1:10">
      <c r="A1140" s="2">
        <v>24143181</v>
      </c>
      <c r="B1140" s="2">
        <v>2414318101</v>
      </c>
      <c r="C1140" s="2">
        <v>1</v>
      </c>
      <c r="D1140" s="2">
        <v>2014</v>
      </c>
      <c r="E1140" s="2">
        <v>1</v>
      </c>
      <c r="F1140" s="2">
        <v>167.31</v>
      </c>
      <c r="G1140" s="2">
        <v>210.33</v>
      </c>
      <c r="H1140" s="2" t="str">
        <f>VLOOKUP(qhkz_4dqm[[#This Row],[fuel_type]],lookup!A:B,2,FALSE)</f>
        <v>Gasoline</v>
      </c>
      <c r="I1140" s="2">
        <f ca="1">YEAR(TODAY())-qhkz_4dqm[[#This Row],[year]]</f>
        <v>12</v>
      </c>
      <c r="J1140" s="2" t="str" cm="1">
        <f t="array" aca="1" ref="J1140" ca="1">_xlfn.IFS(qhkz_4dqm[[#This Row],[vehicle_age]]&lt;=3,"Newer",qhkz_4dqm[[#This Row],[vehicle_age]]&lt;=9,"Mid-age",qhkz_4dqm[[#This Row],[vehicle_age]]&lt;=19,"Older",qhkz_4dqm[[#This Row],[vehicle_age]]&gt;=20,"Very Old")</f>
        <v>Older</v>
      </c>
    </row>
    <row r="1141" spans="1:10">
      <c r="A1141" s="2">
        <v>24143226</v>
      </c>
      <c r="B1141" s="2">
        <v>2414322601</v>
      </c>
      <c r="C1141" s="2">
        <v>1</v>
      </c>
      <c r="D1141" s="2">
        <v>2021</v>
      </c>
      <c r="E1141" s="2">
        <v>1</v>
      </c>
      <c r="F1141" s="2">
        <v>326.29000000000002</v>
      </c>
      <c r="G1141" s="2">
        <v>258.49</v>
      </c>
      <c r="H1141" s="2" t="str">
        <f>VLOOKUP(qhkz_4dqm[[#This Row],[fuel_type]],lookup!A:B,2,FALSE)</f>
        <v>Gasoline</v>
      </c>
      <c r="I1141" s="2">
        <f ca="1">YEAR(TODAY())-qhkz_4dqm[[#This Row],[year]]</f>
        <v>5</v>
      </c>
      <c r="J1141" s="2" t="str" cm="1">
        <f t="array" aca="1" ref="J1141" ca="1">_xlfn.IFS(qhkz_4dqm[[#This Row],[vehicle_age]]&lt;=3,"Newer",qhkz_4dqm[[#This Row],[vehicle_age]]&lt;=9,"Mid-age",qhkz_4dqm[[#This Row],[vehicle_age]]&lt;=19,"Older",qhkz_4dqm[[#This Row],[vehicle_age]]&gt;=20,"Very Old")</f>
        <v>Mid-age</v>
      </c>
    </row>
    <row r="1142" spans="1:10">
      <c r="A1142" s="2">
        <v>24143248</v>
      </c>
      <c r="B1142" s="2">
        <v>2414324801</v>
      </c>
      <c r="C1142" s="2">
        <v>1</v>
      </c>
      <c r="D1142" s="2">
        <v>2022</v>
      </c>
      <c r="E1142" s="2">
        <v>3</v>
      </c>
      <c r="F1142" s="2">
        <v>267.16000000000003</v>
      </c>
      <c r="G1142" s="2">
        <v>707.8</v>
      </c>
      <c r="H1142" s="2" t="str">
        <f>VLOOKUP(qhkz_4dqm[[#This Row],[fuel_type]],lookup!A:B,2,FALSE)</f>
        <v>Hybrid</v>
      </c>
      <c r="I1142" s="2">
        <f ca="1">YEAR(TODAY())-qhkz_4dqm[[#This Row],[year]]</f>
        <v>4</v>
      </c>
      <c r="J1142" s="2" t="str" cm="1">
        <f t="array" aca="1" ref="J1142" ca="1">_xlfn.IFS(qhkz_4dqm[[#This Row],[vehicle_age]]&lt;=3,"Newer",qhkz_4dqm[[#This Row],[vehicle_age]]&lt;=9,"Mid-age",qhkz_4dqm[[#This Row],[vehicle_age]]&lt;=19,"Older",qhkz_4dqm[[#This Row],[vehicle_age]]&gt;=20,"Very Old")</f>
        <v>Mid-age</v>
      </c>
    </row>
    <row r="1143" spans="1:10">
      <c r="A1143" s="2">
        <v>24143335</v>
      </c>
      <c r="B1143" s="2">
        <v>2414333501</v>
      </c>
      <c r="C1143" s="2">
        <v>1</v>
      </c>
      <c r="D1143" s="2">
        <v>2015</v>
      </c>
      <c r="E1143" s="2">
        <v>1</v>
      </c>
      <c r="F1143" s="2">
        <v>1018.28</v>
      </c>
      <c r="G1143" s="2">
        <v>1058.99</v>
      </c>
      <c r="H1143" s="2" t="str">
        <f>VLOOKUP(qhkz_4dqm[[#This Row],[fuel_type]],lookup!A:B,2,FALSE)</f>
        <v>Gasoline</v>
      </c>
      <c r="I1143" s="2">
        <f ca="1">YEAR(TODAY())-qhkz_4dqm[[#This Row],[year]]</f>
        <v>11</v>
      </c>
      <c r="J1143" s="2" t="str" cm="1">
        <f t="array" aca="1" ref="J1143" ca="1">_xlfn.IFS(qhkz_4dqm[[#This Row],[vehicle_age]]&lt;=3,"Newer",qhkz_4dqm[[#This Row],[vehicle_age]]&lt;=9,"Mid-age",qhkz_4dqm[[#This Row],[vehicle_age]]&lt;=19,"Older",qhkz_4dqm[[#This Row],[vehicle_age]]&gt;=20,"Very Old")</f>
        <v>Older</v>
      </c>
    </row>
    <row r="1144" spans="1:10">
      <c r="A1144" s="2">
        <v>24143420</v>
      </c>
      <c r="B1144" s="2">
        <v>2414342001</v>
      </c>
      <c r="C1144" s="2">
        <v>1</v>
      </c>
      <c r="D1144" s="2">
        <v>2024</v>
      </c>
      <c r="E1144" s="2">
        <v>1</v>
      </c>
      <c r="F1144" s="2">
        <v>1674.96</v>
      </c>
      <c r="G1144" s="2">
        <v>1122.49</v>
      </c>
      <c r="H1144" s="2" t="str">
        <f>VLOOKUP(qhkz_4dqm[[#This Row],[fuel_type]],lookup!A:B,2,FALSE)</f>
        <v>Gasoline</v>
      </c>
      <c r="I1144" s="2">
        <f ca="1">YEAR(TODAY())-qhkz_4dqm[[#This Row],[year]]</f>
        <v>2</v>
      </c>
      <c r="J1144" s="2" t="str" cm="1">
        <f t="array" aca="1" ref="J1144" ca="1">_xlfn.IFS(qhkz_4dqm[[#This Row],[vehicle_age]]&lt;=3,"Newer",qhkz_4dqm[[#This Row],[vehicle_age]]&lt;=9,"Mid-age",qhkz_4dqm[[#This Row],[vehicle_age]]&lt;=19,"Older",qhkz_4dqm[[#This Row],[vehicle_age]]&gt;=20,"Very Old")</f>
        <v>Newer</v>
      </c>
    </row>
    <row r="1145" spans="1:10">
      <c r="A1145" s="2">
        <v>24143519</v>
      </c>
      <c r="B1145" s="2">
        <v>2414351901</v>
      </c>
      <c r="C1145" s="2">
        <v>1</v>
      </c>
      <c r="D1145" s="2">
        <v>2020</v>
      </c>
      <c r="E1145" s="2">
        <v>1</v>
      </c>
      <c r="F1145" s="2">
        <v>116.79</v>
      </c>
      <c r="G1145" s="2">
        <v>168.82</v>
      </c>
      <c r="H1145" s="2" t="str">
        <f>VLOOKUP(qhkz_4dqm[[#This Row],[fuel_type]],lookup!A:B,2,FALSE)</f>
        <v>Gasoline</v>
      </c>
      <c r="I1145" s="2">
        <f ca="1">YEAR(TODAY())-qhkz_4dqm[[#This Row],[year]]</f>
        <v>6</v>
      </c>
      <c r="J1145" s="2" t="str" cm="1">
        <f t="array" aca="1" ref="J1145" ca="1">_xlfn.IFS(qhkz_4dqm[[#This Row],[vehicle_age]]&lt;=3,"Newer",qhkz_4dqm[[#This Row],[vehicle_age]]&lt;=9,"Mid-age",qhkz_4dqm[[#This Row],[vehicle_age]]&lt;=19,"Older",qhkz_4dqm[[#This Row],[vehicle_age]]&gt;=20,"Very Old")</f>
        <v>Mid-age</v>
      </c>
    </row>
    <row r="1146" spans="1:10">
      <c r="A1146" s="2">
        <v>24143531</v>
      </c>
      <c r="B1146" s="2">
        <v>2414353101</v>
      </c>
      <c r="C1146" s="2">
        <v>1</v>
      </c>
      <c r="D1146" s="2">
        <v>2022</v>
      </c>
      <c r="E1146" s="2">
        <v>1</v>
      </c>
      <c r="F1146" s="2">
        <v>83.93</v>
      </c>
      <c r="G1146" s="2">
        <v>134.6</v>
      </c>
      <c r="H1146" s="2" t="str">
        <f>VLOOKUP(qhkz_4dqm[[#This Row],[fuel_type]],lookup!A:B,2,FALSE)</f>
        <v>Gasoline</v>
      </c>
      <c r="I1146" s="2">
        <f ca="1">YEAR(TODAY())-qhkz_4dqm[[#This Row],[year]]</f>
        <v>4</v>
      </c>
      <c r="J1146" s="2" t="str" cm="1">
        <f t="array" aca="1" ref="J1146" ca="1">_xlfn.IFS(qhkz_4dqm[[#This Row],[vehicle_age]]&lt;=3,"Newer",qhkz_4dqm[[#This Row],[vehicle_age]]&lt;=9,"Mid-age",qhkz_4dqm[[#This Row],[vehicle_age]]&lt;=19,"Older",qhkz_4dqm[[#This Row],[vehicle_age]]&gt;=20,"Very Old")</f>
        <v>Mid-age</v>
      </c>
    </row>
    <row r="1147" spans="1:10">
      <c r="A1147" s="2">
        <v>24143562</v>
      </c>
      <c r="B1147" s="2">
        <v>2414356201</v>
      </c>
      <c r="C1147" s="2">
        <v>1</v>
      </c>
      <c r="D1147" s="2">
        <v>2007</v>
      </c>
      <c r="E1147" s="2">
        <v>1</v>
      </c>
      <c r="F1147" s="2">
        <v>608.84</v>
      </c>
      <c r="G1147" s="2">
        <v>1132.06</v>
      </c>
      <c r="H1147" s="2" t="str">
        <f>VLOOKUP(qhkz_4dqm[[#This Row],[fuel_type]],lookup!A:B,2,FALSE)</f>
        <v>Gasoline</v>
      </c>
      <c r="I1147" s="2">
        <f ca="1">YEAR(TODAY())-qhkz_4dqm[[#This Row],[year]]</f>
        <v>19</v>
      </c>
      <c r="J1147" s="2" t="str" cm="1">
        <f t="array" aca="1" ref="J1147" ca="1">_xlfn.IFS(qhkz_4dqm[[#This Row],[vehicle_age]]&lt;=3,"Newer",qhkz_4dqm[[#This Row],[vehicle_age]]&lt;=9,"Mid-age",qhkz_4dqm[[#This Row],[vehicle_age]]&lt;=19,"Older",qhkz_4dqm[[#This Row],[vehicle_age]]&gt;=20,"Very Old")</f>
        <v>Older</v>
      </c>
    </row>
    <row r="1148" spans="1:10">
      <c r="A1148" s="2">
        <v>24143623</v>
      </c>
      <c r="B1148" s="2">
        <v>2414362301</v>
      </c>
      <c r="C1148" s="2">
        <v>1</v>
      </c>
      <c r="D1148" s="2">
        <v>2019</v>
      </c>
      <c r="E1148" s="2">
        <v>1</v>
      </c>
      <c r="F1148" s="2">
        <v>611.09</v>
      </c>
      <c r="G1148" s="2">
        <v>213.72</v>
      </c>
      <c r="H1148" s="2" t="str">
        <f>VLOOKUP(qhkz_4dqm[[#This Row],[fuel_type]],lookup!A:B,2,FALSE)</f>
        <v>Gasoline</v>
      </c>
      <c r="I1148" s="2">
        <f ca="1">YEAR(TODAY())-qhkz_4dqm[[#This Row],[year]]</f>
        <v>7</v>
      </c>
      <c r="J1148" s="2" t="str" cm="1">
        <f t="array" aca="1" ref="J1148" ca="1">_xlfn.IFS(qhkz_4dqm[[#This Row],[vehicle_age]]&lt;=3,"Newer",qhkz_4dqm[[#This Row],[vehicle_age]]&lt;=9,"Mid-age",qhkz_4dqm[[#This Row],[vehicle_age]]&lt;=19,"Older",qhkz_4dqm[[#This Row],[vehicle_age]]&gt;=20,"Very Old")</f>
        <v>Mid-age</v>
      </c>
    </row>
    <row r="1149" spans="1:10">
      <c r="A1149" s="2">
        <v>24143676</v>
      </c>
      <c r="B1149" s="2">
        <v>2414367601</v>
      </c>
      <c r="C1149" s="2">
        <v>1</v>
      </c>
      <c r="D1149" s="2">
        <v>2019</v>
      </c>
      <c r="E1149" s="2">
        <v>1</v>
      </c>
      <c r="F1149" s="2">
        <v>357.24</v>
      </c>
      <c r="G1149" s="2">
        <v>501.64</v>
      </c>
      <c r="H1149" s="2" t="str">
        <f>VLOOKUP(qhkz_4dqm[[#This Row],[fuel_type]],lookup!A:B,2,FALSE)</f>
        <v>Gasoline</v>
      </c>
      <c r="I1149" s="2">
        <f ca="1">YEAR(TODAY())-qhkz_4dqm[[#This Row],[year]]</f>
        <v>7</v>
      </c>
      <c r="J1149" s="2" t="str" cm="1">
        <f t="array" aca="1" ref="J1149" ca="1">_xlfn.IFS(qhkz_4dqm[[#This Row],[vehicle_age]]&lt;=3,"Newer",qhkz_4dqm[[#This Row],[vehicle_age]]&lt;=9,"Mid-age",qhkz_4dqm[[#This Row],[vehicle_age]]&lt;=19,"Older",qhkz_4dqm[[#This Row],[vehicle_age]]&gt;=20,"Very Old")</f>
        <v>Mid-age</v>
      </c>
    </row>
    <row r="1150" spans="1:10">
      <c r="A1150" s="2">
        <v>24143684</v>
      </c>
      <c r="B1150" s="2">
        <v>2414368401</v>
      </c>
      <c r="C1150" s="2">
        <v>1</v>
      </c>
      <c r="D1150" s="2">
        <v>2016</v>
      </c>
      <c r="E1150" s="2">
        <v>1</v>
      </c>
      <c r="F1150" s="2">
        <v>318.5</v>
      </c>
      <c r="G1150" s="2">
        <v>307.02999999999997</v>
      </c>
      <c r="H1150" s="2" t="str">
        <f>VLOOKUP(qhkz_4dqm[[#This Row],[fuel_type]],lookup!A:B,2,FALSE)</f>
        <v>Gasoline</v>
      </c>
      <c r="I1150" s="2">
        <f ca="1">YEAR(TODAY())-qhkz_4dqm[[#This Row],[year]]</f>
        <v>10</v>
      </c>
      <c r="J1150" s="2" t="str" cm="1">
        <f t="array" aca="1" ref="J1150" ca="1">_xlfn.IFS(qhkz_4dqm[[#This Row],[vehicle_age]]&lt;=3,"Newer",qhkz_4dqm[[#This Row],[vehicle_age]]&lt;=9,"Mid-age",qhkz_4dqm[[#This Row],[vehicle_age]]&lt;=19,"Older",qhkz_4dqm[[#This Row],[vehicle_age]]&gt;=20,"Very Old")</f>
        <v>Older</v>
      </c>
    </row>
    <row r="1151" spans="1:10">
      <c r="A1151" s="2">
        <v>24143793</v>
      </c>
      <c r="B1151" s="2">
        <v>2414379301</v>
      </c>
      <c r="C1151" s="2">
        <v>1</v>
      </c>
      <c r="D1151" s="2">
        <v>2021</v>
      </c>
      <c r="E1151" s="2">
        <v>1</v>
      </c>
      <c r="F1151" s="2">
        <v>729.59</v>
      </c>
      <c r="G1151" s="2">
        <v>844.73</v>
      </c>
      <c r="H1151" s="2" t="str">
        <f>VLOOKUP(qhkz_4dqm[[#This Row],[fuel_type]],lookup!A:B,2,FALSE)</f>
        <v>Gasoline</v>
      </c>
      <c r="I1151" s="2">
        <f ca="1">YEAR(TODAY())-qhkz_4dqm[[#This Row],[year]]</f>
        <v>5</v>
      </c>
      <c r="J1151" s="2" t="str" cm="1">
        <f t="array" aca="1" ref="J1151" ca="1">_xlfn.IFS(qhkz_4dqm[[#This Row],[vehicle_age]]&lt;=3,"Newer",qhkz_4dqm[[#This Row],[vehicle_age]]&lt;=9,"Mid-age",qhkz_4dqm[[#This Row],[vehicle_age]]&lt;=19,"Older",qhkz_4dqm[[#This Row],[vehicle_age]]&gt;=20,"Very Old")</f>
        <v>Mid-age</v>
      </c>
    </row>
    <row r="1152" spans="1:10">
      <c r="A1152" s="2">
        <v>24143822</v>
      </c>
      <c r="B1152" s="2">
        <v>2414382201</v>
      </c>
      <c r="C1152" s="2">
        <v>1</v>
      </c>
      <c r="D1152" s="2">
        <v>1980</v>
      </c>
      <c r="E1152" s="2">
        <v>1</v>
      </c>
      <c r="F1152" s="2">
        <v>467.1</v>
      </c>
      <c r="G1152" s="2">
        <v>260.58</v>
      </c>
      <c r="H1152" s="2" t="str">
        <f>VLOOKUP(qhkz_4dqm[[#This Row],[fuel_type]],lookup!A:B,2,FALSE)</f>
        <v>Gasoline</v>
      </c>
      <c r="I1152" s="2">
        <f ca="1">YEAR(TODAY())-qhkz_4dqm[[#This Row],[year]]</f>
        <v>46</v>
      </c>
      <c r="J1152" s="2" t="str" cm="1">
        <f t="array" aca="1" ref="J1152" ca="1">_xlfn.IFS(qhkz_4dqm[[#This Row],[vehicle_age]]&lt;=3,"Newer",qhkz_4dqm[[#This Row],[vehicle_age]]&lt;=9,"Mid-age",qhkz_4dqm[[#This Row],[vehicle_age]]&lt;=19,"Older",qhkz_4dqm[[#This Row],[vehicle_age]]&gt;=20,"Very Old")</f>
        <v>Very Old</v>
      </c>
    </row>
    <row r="1153" spans="1:10">
      <c r="A1153" s="2">
        <v>24143829</v>
      </c>
      <c r="B1153" s="2">
        <v>2414382901</v>
      </c>
      <c r="C1153" s="2">
        <v>1</v>
      </c>
      <c r="D1153" s="2">
        <v>2024</v>
      </c>
      <c r="E1153" s="2">
        <v>1</v>
      </c>
      <c r="F1153" s="2">
        <v>513.88</v>
      </c>
      <c r="G1153" s="2">
        <v>474.53</v>
      </c>
      <c r="H1153" s="2" t="str">
        <f>VLOOKUP(qhkz_4dqm[[#This Row],[fuel_type]],lookup!A:B,2,FALSE)</f>
        <v>Gasoline</v>
      </c>
      <c r="I1153" s="2">
        <f ca="1">YEAR(TODAY())-qhkz_4dqm[[#This Row],[year]]</f>
        <v>2</v>
      </c>
      <c r="J1153" s="2" t="str" cm="1">
        <f t="array" aca="1" ref="J1153" ca="1">_xlfn.IFS(qhkz_4dqm[[#This Row],[vehicle_age]]&lt;=3,"Newer",qhkz_4dqm[[#This Row],[vehicle_age]]&lt;=9,"Mid-age",qhkz_4dqm[[#This Row],[vehicle_age]]&lt;=19,"Older",qhkz_4dqm[[#This Row],[vehicle_age]]&gt;=20,"Very Old")</f>
        <v>Newer</v>
      </c>
    </row>
    <row r="1154" spans="1:10">
      <c r="A1154" s="2">
        <v>24144072</v>
      </c>
      <c r="B1154" s="2">
        <v>2414407201</v>
      </c>
      <c r="C1154" s="2">
        <v>1</v>
      </c>
      <c r="D1154" s="2">
        <v>2015</v>
      </c>
      <c r="E1154" s="2">
        <v>1</v>
      </c>
      <c r="F1154" s="2">
        <v>379.48</v>
      </c>
      <c r="G1154" s="2">
        <v>291.95999999999998</v>
      </c>
      <c r="H1154" s="2" t="str">
        <f>VLOOKUP(qhkz_4dqm[[#This Row],[fuel_type]],lookup!A:B,2,FALSE)</f>
        <v>Gasoline</v>
      </c>
      <c r="I1154" s="2">
        <f ca="1">YEAR(TODAY())-qhkz_4dqm[[#This Row],[year]]</f>
        <v>11</v>
      </c>
      <c r="J1154" s="2" t="str" cm="1">
        <f t="array" aca="1" ref="J1154" ca="1">_xlfn.IFS(qhkz_4dqm[[#This Row],[vehicle_age]]&lt;=3,"Newer",qhkz_4dqm[[#This Row],[vehicle_age]]&lt;=9,"Mid-age",qhkz_4dqm[[#This Row],[vehicle_age]]&lt;=19,"Older",qhkz_4dqm[[#This Row],[vehicle_age]]&gt;=20,"Very Old")</f>
        <v>Older</v>
      </c>
    </row>
    <row r="1155" spans="1:10">
      <c r="A1155" s="2">
        <v>24144104</v>
      </c>
      <c r="B1155" s="2">
        <v>2414410401</v>
      </c>
      <c r="C1155" s="2">
        <v>1</v>
      </c>
      <c r="D1155" s="2">
        <v>2022</v>
      </c>
      <c r="E1155" s="2">
        <v>4</v>
      </c>
      <c r="F1155" s="2">
        <v>249.33</v>
      </c>
      <c r="G1155" s="2">
        <v>395.68</v>
      </c>
      <c r="H1155" s="2" t="str">
        <f>VLOOKUP(qhkz_4dqm[[#This Row],[fuel_type]],lookup!A:B,2,FALSE)</f>
        <v>Electric</v>
      </c>
      <c r="I1155" s="2">
        <f ca="1">YEAR(TODAY())-qhkz_4dqm[[#This Row],[year]]</f>
        <v>4</v>
      </c>
      <c r="J1155" s="2" t="str" cm="1">
        <f t="array" aca="1" ref="J1155" ca="1">_xlfn.IFS(qhkz_4dqm[[#This Row],[vehicle_age]]&lt;=3,"Newer",qhkz_4dqm[[#This Row],[vehicle_age]]&lt;=9,"Mid-age",qhkz_4dqm[[#This Row],[vehicle_age]]&lt;=19,"Older",qhkz_4dqm[[#This Row],[vehicle_age]]&gt;=20,"Very Old")</f>
        <v>Mid-age</v>
      </c>
    </row>
    <row r="1156" spans="1:10">
      <c r="A1156" s="2">
        <v>24144178</v>
      </c>
      <c r="B1156" s="2">
        <v>2414417801</v>
      </c>
      <c r="C1156" s="2">
        <v>1</v>
      </c>
      <c r="D1156" s="2">
        <v>2018</v>
      </c>
      <c r="E1156" s="2">
        <v>1</v>
      </c>
      <c r="F1156" s="2">
        <v>116.79</v>
      </c>
      <c r="G1156" s="2">
        <v>168.82</v>
      </c>
      <c r="H1156" s="2" t="str">
        <f>VLOOKUP(qhkz_4dqm[[#This Row],[fuel_type]],lookup!A:B,2,FALSE)</f>
        <v>Gasoline</v>
      </c>
      <c r="I1156" s="2">
        <f ca="1">YEAR(TODAY())-qhkz_4dqm[[#This Row],[year]]</f>
        <v>8</v>
      </c>
      <c r="J1156" s="2" t="str" cm="1">
        <f t="array" aca="1" ref="J1156" ca="1">_xlfn.IFS(qhkz_4dqm[[#This Row],[vehicle_age]]&lt;=3,"Newer",qhkz_4dqm[[#This Row],[vehicle_age]]&lt;=9,"Mid-age",qhkz_4dqm[[#This Row],[vehicle_age]]&lt;=19,"Older",qhkz_4dqm[[#This Row],[vehicle_age]]&gt;=20,"Very Old")</f>
        <v>Mid-age</v>
      </c>
    </row>
    <row r="1157" spans="1:10">
      <c r="A1157" s="2">
        <v>24144297</v>
      </c>
      <c r="B1157" s="2">
        <v>2414429701</v>
      </c>
      <c r="C1157" s="2">
        <v>1</v>
      </c>
      <c r="D1157" s="2">
        <v>2000</v>
      </c>
      <c r="E1157" s="2">
        <v>1</v>
      </c>
      <c r="F1157" s="2">
        <v>95.84</v>
      </c>
      <c r="G1157" s="2">
        <v>56.2</v>
      </c>
      <c r="H1157" s="2" t="str">
        <f>VLOOKUP(qhkz_4dqm[[#This Row],[fuel_type]],lookup!A:B,2,FALSE)</f>
        <v>Gasoline</v>
      </c>
      <c r="I1157" s="2">
        <f ca="1">YEAR(TODAY())-qhkz_4dqm[[#This Row],[year]]</f>
        <v>26</v>
      </c>
      <c r="J1157" s="2" t="str" cm="1">
        <f t="array" aca="1" ref="J1157" ca="1">_xlfn.IFS(qhkz_4dqm[[#This Row],[vehicle_age]]&lt;=3,"Newer",qhkz_4dqm[[#This Row],[vehicle_age]]&lt;=9,"Mid-age",qhkz_4dqm[[#This Row],[vehicle_age]]&lt;=19,"Older",qhkz_4dqm[[#This Row],[vehicle_age]]&gt;=20,"Very Old")</f>
        <v>Very Old</v>
      </c>
    </row>
    <row r="1158" spans="1:10">
      <c r="A1158" s="2">
        <v>24144401</v>
      </c>
      <c r="B1158" s="2">
        <v>2414440101</v>
      </c>
      <c r="C1158" s="2">
        <v>1</v>
      </c>
      <c r="D1158" s="2">
        <v>2023</v>
      </c>
      <c r="E1158" s="2">
        <v>1</v>
      </c>
      <c r="F1158" s="2">
        <v>230.51</v>
      </c>
      <c r="G1158" s="2">
        <v>308.60000000000002</v>
      </c>
      <c r="H1158" s="2" t="str">
        <f>VLOOKUP(qhkz_4dqm[[#This Row],[fuel_type]],lookup!A:B,2,FALSE)</f>
        <v>Gasoline</v>
      </c>
      <c r="I1158" s="2">
        <f ca="1">YEAR(TODAY())-qhkz_4dqm[[#This Row],[year]]</f>
        <v>3</v>
      </c>
      <c r="J1158" s="2" t="str" cm="1">
        <f t="array" aca="1" ref="J1158" ca="1">_xlfn.IFS(qhkz_4dqm[[#This Row],[vehicle_age]]&lt;=3,"Newer",qhkz_4dqm[[#This Row],[vehicle_age]]&lt;=9,"Mid-age",qhkz_4dqm[[#This Row],[vehicle_age]]&lt;=19,"Older",qhkz_4dqm[[#This Row],[vehicle_age]]&gt;=20,"Very Old")</f>
        <v>Newer</v>
      </c>
    </row>
    <row r="1159" spans="1:10">
      <c r="A1159" s="2">
        <v>24144442</v>
      </c>
      <c r="B1159" s="2">
        <v>2414444201</v>
      </c>
      <c r="C1159" s="2">
        <v>1</v>
      </c>
      <c r="D1159" s="2">
        <v>2018</v>
      </c>
      <c r="E1159" s="2">
        <v>1</v>
      </c>
      <c r="F1159" s="2">
        <v>207.09</v>
      </c>
      <c r="G1159" s="2">
        <v>593.47</v>
      </c>
      <c r="H1159" s="2" t="str">
        <f>VLOOKUP(qhkz_4dqm[[#This Row],[fuel_type]],lookup!A:B,2,FALSE)</f>
        <v>Gasoline</v>
      </c>
      <c r="I1159" s="2">
        <f ca="1">YEAR(TODAY())-qhkz_4dqm[[#This Row],[year]]</f>
        <v>8</v>
      </c>
      <c r="J1159" s="2" t="str" cm="1">
        <f t="array" aca="1" ref="J1159" ca="1">_xlfn.IFS(qhkz_4dqm[[#This Row],[vehicle_age]]&lt;=3,"Newer",qhkz_4dqm[[#This Row],[vehicle_age]]&lt;=9,"Mid-age",qhkz_4dqm[[#This Row],[vehicle_age]]&lt;=19,"Older",qhkz_4dqm[[#This Row],[vehicle_age]]&gt;=20,"Very Old")</f>
        <v>Mid-age</v>
      </c>
    </row>
    <row r="1160" spans="1:10">
      <c r="A1160" s="2">
        <v>24144447</v>
      </c>
      <c r="B1160" s="2">
        <v>2414444701</v>
      </c>
      <c r="C1160" s="2">
        <v>1</v>
      </c>
      <c r="D1160" s="2">
        <v>2015</v>
      </c>
      <c r="E1160" s="2">
        <v>1</v>
      </c>
      <c r="F1160" s="2">
        <v>160.47999999999999</v>
      </c>
      <c r="G1160" s="2">
        <v>387.77</v>
      </c>
      <c r="H1160" s="2" t="str">
        <f>VLOOKUP(qhkz_4dqm[[#This Row],[fuel_type]],lookup!A:B,2,FALSE)</f>
        <v>Gasoline</v>
      </c>
      <c r="I1160" s="2">
        <f ca="1">YEAR(TODAY())-qhkz_4dqm[[#This Row],[year]]</f>
        <v>11</v>
      </c>
      <c r="J1160" s="2" t="str" cm="1">
        <f t="array" aca="1" ref="J1160" ca="1">_xlfn.IFS(qhkz_4dqm[[#This Row],[vehicle_age]]&lt;=3,"Newer",qhkz_4dqm[[#This Row],[vehicle_age]]&lt;=9,"Mid-age",qhkz_4dqm[[#This Row],[vehicle_age]]&lt;=19,"Older",qhkz_4dqm[[#This Row],[vehicle_age]]&gt;=20,"Very Old")</f>
        <v>Older</v>
      </c>
    </row>
    <row r="1161" spans="1:10">
      <c r="A1161" s="2">
        <v>24144466</v>
      </c>
      <c r="B1161" s="2">
        <v>2414446601</v>
      </c>
      <c r="C1161" s="2">
        <v>1</v>
      </c>
      <c r="D1161" s="2">
        <v>2017</v>
      </c>
      <c r="E1161" s="2">
        <v>1</v>
      </c>
      <c r="F1161" s="2">
        <v>164.5</v>
      </c>
      <c r="G1161" s="2">
        <v>65.599999999999994</v>
      </c>
      <c r="H1161" s="2" t="str">
        <f>VLOOKUP(qhkz_4dqm[[#This Row],[fuel_type]],lookup!A:B,2,FALSE)</f>
        <v>Gasoline</v>
      </c>
      <c r="I1161" s="2">
        <f ca="1">YEAR(TODAY())-qhkz_4dqm[[#This Row],[year]]</f>
        <v>9</v>
      </c>
      <c r="J1161" s="2" t="str" cm="1">
        <f t="array" aca="1" ref="J1161" ca="1">_xlfn.IFS(qhkz_4dqm[[#This Row],[vehicle_age]]&lt;=3,"Newer",qhkz_4dqm[[#This Row],[vehicle_age]]&lt;=9,"Mid-age",qhkz_4dqm[[#This Row],[vehicle_age]]&lt;=19,"Older",qhkz_4dqm[[#This Row],[vehicle_age]]&gt;=20,"Very Old")</f>
        <v>Mid-age</v>
      </c>
    </row>
    <row r="1162" spans="1:10">
      <c r="A1162" s="2">
        <v>24144524</v>
      </c>
      <c r="B1162" s="2">
        <v>2414452401</v>
      </c>
      <c r="C1162" s="2">
        <v>1</v>
      </c>
      <c r="D1162" s="2">
        <v>2019</v>
      </c>
      <c r="E1162" s="2">
        <v>1</v>
      </c>
      <c r="F1162" s="2">
        <v>89.14</v>
      </c>
      <c r="G1162" s="2">
        <v>192.81</v>
      </c>
      <c r="H1162" s="2" t="str">
        <f>VLOOKUP(qhkz_4dqm[[#This Row],[fuel_type]],lookup!A:B,2,FALSE)</f>
        <v>Gasoline</v>
      </c>
      <c r="I1162" s="2">
        <f ca="1">YEAR(TODAY())-qhkz_4dqm[[#This Row],[year]]</f>
        <v>7</v>
      </c>
      <c r="J1162" s="2" t="str" cm="1">
        <f t="array" aca="1" ref="J1162" ca="1">_xlfn.IFS(qhkz_4dqm[[#This Row],[vehicle_age]]&lt;=3,"Newer",qhkz_4dqm[[#This Row],[vehicle_age]]&lt;=9,"Mid-age",qhkz_4dqm[[#This Row],[vehicle_age]]&lt;=19,"Older",qhkz_4dqm[[#This Row],[vehicle_age]]&gt;=20,"Very Old")</f>
        <v>Mid-age</v>
      </c>
    </row>
    <row r="1163" spans="1:10">
      <c r="A1163" s="2">
        <v>24144563</v>
      </c>
      <c r="B1163" s="2">
        <v>2414456301</v>
      </c>
      <c r="C1163" s="2">
        <v>1</v>
      </c>
      <c r="D1163" s="2">
        <v>2012</v>
      </c>
      <c r="E1163" s="2">
        <v>1</v>
      </c>
      <c r="F1163" s="2">
        <v>321.12</v>
      </c>
      <c r="G1163" s="2">
        <v>752.92</v>
      </c>
      <c r="H1163" s="2" t="str">
        <f>VLOOKUP(qhkz_4dqm[[#This Row],[fuel_type]],lookup!A:B,2,FALSE)</f>
        <v>Gasoline</v>
      </c>
      <c r="I1163" s="2">
        <f ca="1">YEAR(TODAY())-qhkz_4dqm[[#This Row],[year]]</f>
        <v>14</v>
      </c>
      <c r="J1163" s="2" t="str" cm="1">
        <f t="array" aca="1" ref="J1163" ca="1">_xlfn.IFS(qhkz_4dqm[[#This Row],[vehicle_age]]&lt;=3,"Newer",qhkz_4dqm[[#This Row],[vehicle_age]]&lt;=9,"Mid-age",qhkz_4dqm[[#This Row],[vehicle_age]]&lt;=19,"Older",qhkz_4dqm[[#This Row],[vehicle_age]]&gt;=20,"Very Old")</f>
        <v>Older</v>
      </c>
    </row>
    <row r="1164" spans="1:10">
      <c r="A1164" s="2">
        <v>24144653</v>
      </c>
      <c r="B1164" s="2">
        <v>2414465301</v>
      </c>
      <c r="C1164" s="2">
        <v>1</v>
      </c>
      <c r="D1164" s="2">
        <v>2018</v>
      </c>
      <c r="E1164" s="2">
        <v>1</v>
      </c>
      <c r="F1164" s="2">
        <v>394.68</v>
      </c>
      <c r="G1164" s="2">
        <v>510.05</v>
      </c>
      <c r="H1164" s="2" t="str">
        <f>VLOOKUP(qhkz_4dqm[[#This Row],[fuel_type]],lookup!A:B,2,FALSE)</f>
        <v>Gasoline</v>
      </c>
      <c r="I1164" s="2">
        <f ca="1">YEAR(TODAY())-qhkz_4dqm[[#This Row],[year]]</f>
        <v>8</v>
      </c>
      <c r="J1164" s="2" t="str" cm="1">
        <f t="array" aca="1" ref="J1164" ca="1">_xlfn.IFS(qhkz_4dqm[[#This Row],[vehicle_age]]&lt;=3,"Newer",qhkz_4dqm[[#This Row],[vehicle_age]]&lt;=9,"Mid-age",qhkz_4dqm[[#This Row],[vehicle_age]]&lt;=19,"Older",qhkz_4dqm[[#This Row],[vehicle_age]]&gt;=20,"Very Old")</f>
        <v>Mid-age</v>
      </c>
    </row>
    <row r="1165" spans="1:10">
      <c r="A1165" s="2">
        <v>24144790</v>
      </c>
      <c r="B1165" s="2">
        <v>2414479001</v>
      </c>
      <c r="C1165" s="2">
        <v>1</v>
      </c>
      <c r="D1165" s="2">
        <v>2011</v>
      </c>
      <c r="E1165" s="2">
        <v>1</v>
      </c>
      <c r="F1165" s="2">
        <v>158.01</v>
      </c>
      <c r="G1165" s="2">
        <v>588.07000000000005</v>
      </c>
      <c r="H1165" s="2" t="str">
        <f>VLOOKUP(qhkz_4dqm[[#This Row],[fuel_type]],lookup!A:B,2,FALSE)</f>
        <v>Gasoline</v>
      </c>
      <c r="I1165" s="2">
        <f ca="1">YEAR(TODAY())-qhkz_4dqm[[#This Row],[year]]</f>
        <v>15</v>
      </c>
      <c r="J1165" s="2" t="str" cm="1">
        <f t="array" aca="1" ref="J1165" ca="1">_xlfn.IFS(qhkz_4dqm[[#This Row],[vehicle_age]]&lt;=3,"Newer",qhkz_4dqm[[#This Row],[vehicle_age]]&lt;=9,"Mid-age",qhkz_4dqm[[#This Row],[vehicle_age]]&lt;=19,"Older",qhkz_4dqm[[#This Row],[vehicle_age]]&gt;=20,"Very Old")</f>
        <v>Older</v>
      </c>
    </row>
    <row r="1166" spans="1:10">
      <c r="A1166" s="2">
        <v>24144799</v>
      </c>
      <c r="B1166" s="2">
        <v>2414479901</v>
      </c>
      <c r="C1166" s="2">
        <v>1</v>
      </c>
      <c r="D1166" s="2">
        <v>2019</v>
      </c>
      <c r="E1166" s="2">
        <v>1</v>
      </c>
      <c r="F1166" s="2">
        <v>267.16000000000003</v>
      </c>
      <c r="G1166" s="2">
        <v>707.8</v>
      </c>
      <c r="H1166" s="2" t="str">
        <f>VLOOKUP(qhkz_4dqm[[#This Row],[fuel_type]],lookup!A:B,2,FALSE)</f>
        <v>Gasoline</v>
      </c>
      <c r="I1166" s="2">
        <f ca="1">YEAR(TODAY())-qhkz_4dqm[[#This Row],[year]]</f>
        <v>7</v>
      </c>
      <c r="J1166" s="2" t="str" cm="1">
        <f t="array" aca="1" ref="J1166" ca="1">_xlfn.IFS(qhkz_4dqm[[#This Row],[vehicle_age]]&lt;=3,"Newer",qhkz_4dqm[[#This Row],[vehicle_age]]&lt;=9,"Mid-age",qhkz_4dqm[[#This Row],[vehicle_age]]&lt;=19,"Older",qhkz_4dqm[[#This Row],[vehicle_age]]&gt;=20,"Very Old")</f>
        <v>Mid-age</v>
      </c>
    </row>
    <row r="1167" spans="1:10">
      <c r="A1167" s="2">
        <v>24144801</v>
      </c>
      <c r="B1167" s="2">
        <v>2414480101</v>
      </c>
      <c r="C1167" s="2">
        <v>1</v>
      </c>
      <c r="D1167" s="2">
        <v>2022</v>
      </c>
      <c r="E1167" s="2">
        <v>1</v>
      </c>
      <c r="F1167" s="2">
        <v>116.76</v>
      </c>
      <c r="G1167" s="2">
        <v>216.07</v>
      </c>
      <c r="H1167" s="2" t="str">
        <f>VLOOKUP(qhkz_4dqm[[#This Row],[fuel_type]],lookup!A:B,2,FALSE)</f>
        <v>Gasoline</v>
      </c>
      <c r="I1167" s="2">
        <f ca="1">YEAR(TODAY())-qhkz_4dqm[[#This Row],[year]]</f>
        <v>4</v>
      </c>
      <c r="J1167" s="2" t="str" cm="1">
        <f t="array" aca="1" ref="J1167" ca="1">_xlfn.IFS(qhkz_4dqm[[#This Row],[vehicle_age]]&lt;=3,"Newer",qhkz_4dqm[[#This Row],[vehicle_age]]&lt;=9,"Mid-age",qhkz_4dqm[[#This Row],[vehicle_age]]&lt;=19,"Older",qhkz_4dqm[[#This Row],[vehicle_age]]&gt;=20,"Very Old")</f>
        <v>Mid-age</v>
      </c>
    </row>
    <row r="1168" spans="1:10">
      <c r="A1168" s="2">
        <v>24144813</v>
      </c>
      <c r="B1168" s="2">
        <v>2414481301</v>
      </c>
      <c r="C1168" s="2">
        <v>1</v>
      </c>
      <c r="D1168" s="2">
        <v>2019</v>
      </c>
      <c r="E1168" s="2">
        <v>1</v>
      </c>
      <c r="F1168" s="2">
        <v>121.8</v>
      </c>
      <c r="G1168" s="2">
        <v>167.8</v>
      </c>
      <c r="H1168" s="2" t="str">
        <f>VLOOKUP(qhkz_4dqm[[#This Row],[fuel_type]],lookup!A:B,2,FALSE)</f>
        <v>Gasoline</v>
      </c>
      <c r="I1168" s="2">
        <f ca="1">YEAR(TODAY())-qhkz_4dqm[[#This Row],[year]]</f>
        <v>7</v>
      </c>
      <c r="J1168" s="2" t="str" cm="1">
        <f t="array" aca="1" ref="J1168" ca="1">_xlfn.IFS(qhkz_4dqm[[#This Row],[vehicle_age]]&lt;=3,"Newer",qhkz_4dqm[[#This Row],[vehicle_age]]&lt;=9,"Mid-age",qhkz_4dqm[[#This Row],[vehicle_age]]&lt;=19,"Older",qhkz_4dqm[[#This Row],[vehicle_age]]&gt;=20,"Very Old")</f>
        <v>Mid-age</v>
      </c>
    </row>
    <row r="1169" spans="1:10">
      <c r="A1169" s="2">
        <v>24144903</v>
      </c>
      <c r="B1169" s="2">
        <v>2414490301</v>
      </c>
      <c r="C1169" s="2">
        <v>1</v>
      </c>
      <c r="D1169" s="2">
        <v>2023</v>
      </c>
      <c r="E1169" s="2">
        <v>1</v>
      </c>
      <c r="F1169" s="2">
        <v>1175.5999999999999</v>
      </c>
      <c r="G1169" s="2">
        <v>2567.6799999999998</v>
      </c>
      <c r="H1169" s="2" t="str">
        <f>VLOOKUP(qhkz_4dqm[[#This Row],[fuel_type]],lookup!A:B,2,FALSE)</f>
        <v>Gasoline</v>
      </c>
      <c r="I1169" s="2">
        <f ca="1">YEAR(TODAY())-qhkz_4dqm[[#This Row],[year]]</f>
        <v>3</v>
      </c>
      <c r="J1169" s="2" t="str" cm="1">
        <f t="array" aca="1" ref="J1169" ca="1">_xlfn.IFS(qhkz_4dqm[[#This Row],[vehicle_age]]&lt;=3,"Newer",qhkz_4dqm[[#This Row],[vehicle_age]]&lt;=9,"Mid-age",qhkz_4dqm[[#This Row],[vehicle_age]]&lt;=19,"Older",qhkz_4dqm[[#This Row],[vehicle_age]]&gt;=20,"Very Old")</f>
        <v>Newer</v>
      </c>
    </row>
    <row r="1170" spans="1:10">
      <c r="A1170" s="2">
        <v>24145008</v>
      </c>
      <c r="B1170" s="2">
        <v>2414500801</v>
      </c>
      <c r="C1170" s="2">
        <v>1</v>
      </c>
      <c r="D1170" s="2">
        <v>2021</v>
      </c>
      <c r="E1170" s="2">
        <v>1</v>
      </c>
      <c r="F1170" s="2">
        <v>321.12</v>
      </c>
      <c r="G1170" s="2">
        <v>752.92</v>
      </c>
      <c r="H1170" s="2" t="str">
        <f>VLOOKUP(qhkz_4dqm[[#This Row],[fuel_type]],lookup!A:B,2,FALSE)</f>
        <v>Gasoline</v>
      </c>
      <c r="I1170" s="2">
        <f ca="1">YEAR(TODAY())-qhkz_4dqm[[#This Row],[year]]</f>
        <v>5</v>
      </c>
      <c r="J1170" s="2" t="str" cm="1">
        <f t="array" aca="1" ref="J1170" ca="1">_xlfn.IFS(qhkz_4dqm[[#This Row],[vehicle_age]]&lt;=3,"Newer",qhkz_4dqm[[#This Row],[vehicle_age]]&lt;=9,"Mid-age",qhkz_4dqm[[#This Row],[vehicle_age]]&lt;=19,"Older",qhkz_4dqm[[#This Row],[vehicle_age]]&gt;=20,"Very Old")</f>
        <v>Mid-age</v>
      </c>
    </row>
    <row r="1171" spans="1:10">
      <c r="A1171" s="2">
        <v>24145037</v>
      </c>
      <c r="B1171" s="2">
        <v>2414503701</v>
      </c>
      <c r="C1171" s="2">
        <v>1</v>
      </c>
      <c r="D1171" s="2">
        <v>2022</v>
      </c>
      <c r="E1171" s="2">
        <v>1</v>
      </c>
      <c r="F1171" s="2">
        <v>115.28</v>
      </c>
      <c r="G1171" s="2">
        <v>126.19</v>
      </c>
      <c r="H1171" s="2" t="str">
        <f>VLOOKUP(qhkz_4dqm[[#This Row],[fuel_type]],lookup!A:B,2,FALSE)</f>
        <v>Gasoline</v>
      </c>
      <c r="I1171" s="2">
        <f ca="1">YEAR(TODAY())-qhkz_4dqm[[#This Row],[year]]</f>
        <v>4</v>
      </c>
      <c r="J1171" s="2" t="str" cm="1">
        <f t="array" aca="1" ref="J1171" ca="1">_xlfn.IFS(qhkz_4dqm[[#This Row],[vehicle_age]]&lt;=3,"Newer",qhkz_4dqm[[#This Row],[vehicle_age]]&lt;=9,"Mid-age",qhkz_4dqm[[#This Row],[vehicle_age]]&lt;=19,"Older",qhkz_4dqm[[#This Row],[vehicle_age]]&gt;=20,"Very Old")</f>
        <v>Mid-age</v>
      </c>
    </row>
    <row r="1172" spans="1:10">
      <c r="A1172" s="2">
        <v>24145312</v>
      </c>
      <c r="B1172" s="2">
        <v>2414531201</v>
      </c>
      <c r="C1172" s="2">
        <v>1</v>
      </c>
      <c r="D1172" s="2">
        <v>2021</v>
      </c>
      <c r="E1172" s="2">
        <v>1</v>
      </c>
      <c r="F1172" s="2">
        <v>170.14</v>
      </c>
      <c r="G1172" s="2">
        <v>349.65</v>
      </c>
      <c r="H1172" s="2" t="str">
        <f>VLOOKUP(qhkz_4dqm[[#This Row],[fuel_type]],lookup!A:B,2,FALSE)</f>
        <v>Gasoline</v>
      </c>
      <c r="I1172" s="2">
        <f ca="1">YEAR(TODAY())-qhkz_4dqm[[#This Row],[year]]</f>
        <v>5</v>
      </c>
      <c r="J1172" s="2" t="str" cm="1">
        <f t="array" aca="1" ref="J1172" ca="1">_xlfn.IFS(qhkz_4dqm[[#This Row],[vehicle_age]]&lt;=3,"Newer",qhkz_4dqm[[#This Row],[vehicle_age]]&lt;=9,"Mid-age",qhkz_4dqm[[#This Row],[vehicle_age]]&lt;=19,"Older",qhkz_4dqm[[#This Row],[vehicle_age]]&gt;=20,"Very Old")</f>
        <v>Mid-age</v>
      </c>
    </row>
    <row r="1173" spans="1:10">
      <c r="A1173" s="2">
        <v>24145319</v>
      </c>
      <c r="B1173" s="2">
        <v>2414531901</v>
      </c>
      <c r="C1173" s="2">
        <v>1</v>
      </c>
      <c r="D1173" s="2">
        <v>2024</v>
      </c>
      <c r="E1173" s="2">
        <v>1</v>
      </c>
      <c r="F1173" s="2">
        <v>90.16</v>
      </c>
      <c r="G1173" s="2">
        <v>162.24</v>
      </c>
      <c r="H1173" s="2" t="str">
        <f>VLOOKUP(qhkz_4dqm[[#This Row],[fuel_type]],lookup!A:B,2,FALSE)</f>
        <v>Gasoline</v>
      </c>
      <c r="I1173" s="2">
        <f ca="1">YEAR(TODAY())-qhkz_4dqm[[#This Row],[year]]</f>
        <v>2</v>
      </c>
      <c r="J1173" s="2" t="str" cm="1">
        <f t="array" aca="1" ref="J1173" ca="1">_xlfn.IFS(qhkz_4dqm[[#This Row],[vehicle_age]]&lt;=3,"Newer",qhkz_4dqm[[#This Row],[vehicle_age]]&lt;=9,"Mid-age",qhkz_4dqm[[#This Row],[vehicle_age]]&lt;=19,"Older",qhkz_4dqm[[#This Row],[vehicle_age]]&gt;=20,"Very Old")</f>
        <v>Newer</v>
      </c>
    </row>
    <row r="1174" spans="1:10">
      <c r="A1174" s="2">
        <v>24145463</v>
      </c>
      <c r="B1174" s="2">
        <v>2414546301</v>
      </c>
      <c r="C1174" s="2">
        <v>1</v>
      </c>
      <c r="D1174" s="2">
        <v>2024</v>
      </c>
      <c r="E1174" s="2">
        <v>4</v>
      </c>
      <c r="F1174" s="2">
        <v>91.92</v>
      </c>
      <c r="G1174" s="2">
        <v>75.010000000000005</v>
      </c>
      <c r="H1174" s="2" t="str">
        <f>VLOOKUP(qhkz_4dqm[[#This Row],[fuel_type]],lookup!A:B,2,FALSE)</f>
        <v>Electric</v>
      </c>
      <c r="I1174" s="2">
        <f ca="1">YEAR(TODAY())-qhkz_4dqm[[#This Row],[year]]</f>
        <v>2</v>
      </c>
      <c r="J1174" s="2" t="str" cm="1">
        <f t="array" aca="1" ref="J1174" ca="1">_xlfn.IFS(qhkz_4dqm[[#This Row],[vehicle_age]]&lt;=3,"Newer",qhkz_4dqm[[#This Row],[vehicle_age]]&lt;=9,"Mid-age",qhkz_4dqm[[#This Row],[vehicle_age]]&lt;=19,"Older",qhkz_4dqm[[#This Row],[vehicle_age]]&gt;=20,"Very Old")</f>
        <v>Newer</v>
      </c>
    </row>
    <row r="1175" spans="1:10">
      <c r="A1175" s="2">
        <v>24145558</v>
      </c>
      <c r="B1175" s="2">
        <v>2414555801</v>
      </c>
      <c r="C1175" s="2">
        <v>1</v>
      </c>
      <c r="D1175" s="2">
        <v>2012</v>
      </c>
      <c r="E1175" s="2">
        <v>1</v>
      </c>
      <c r="F1175" s="2">
        <v>200.44</v>
      </c>
      <c r="G1175" s="2">
        <v>197.06</v>
      </c>
      <c r="H1175" s="2" t="str">
        <f>VLOOKUP(qhkz_4dqm[[#This Row],[fuel_type]],lookup!A:B,2,FALSE)</f>
        <v>Gasoline</v>
      </c>
      <c r="I1175" s="2">
        <f ca="1">YEAR(TODAY())-qhkz_4dqm[[#This Row],[year]]</f>
        <v>14</v>
      </c>
      <c r="J1175" s="2" t="str" cm="1">
        <f t="array" aca="1" ref="J1175" ca="1">_xlfn.IFS(qhkz_4dqm[[#This Row],[vehicle_age]]&lt;=3,"Newer",qhkz_4dqm[[#This Row],[vehicle_age]]&lt;=9,"Mid-age",qhkz_4dqm[[#This Row],[vehicle_age]]&lt;=19,"Older",qhkz_4dqm[[#This Row],[vehicle_age]]&gt;=20,"Very Old")</f>
        <v>Older</v>
      </c>
    </row>
    <row r="1176" spans="1:10">
      <c r="A1176" s="2">
        <v>24145643</v>
      </c>
      <c r="B1176" s="2">
        <v>2414564301</v>
      </c>
      <c r="C1176" s="2">
        <v>1</v>
      </c>
      <c r="D1176" s="2">
        <v>2019</v>
      </c>
      <c r="E1176" s="2">
        <v>1</v>
      </c>
      <c r="F1176" s="2">
        <v>292.5</v>
      </c>
      <c r="G1176" s="2">
        <v>306.35000000000002</v>
      </c>
      <c r="H1176" s="2" t="str">
        <f>VLOOKUP(qhkz_4dqm[[#This Row],[fuel_type]],lookup!A:B,2,FALSE)</f>
        <v>Gasoline</v>
      </c>
      <c r="I1176" s="2">
        <f ca="1">YEAR(TODAY())-qhkz_4dqm[[#This Row],[year]]</f>
        <v>7</v>
      </c>
      <c r="J1176" s="2" t="str" cm="1">
        <f t="array" aca="1" ref="J1176" ca="1">_xlfn.IFS(qhkz_4dqm[[#This Row],[vehicle_age]]&lt;=3,"Newer",qhkz_4dqm[[#This Row],[vehicle_age]]&lt;=9,"Mid-age",qhkz_4dqm[[#This Row],[vehicle_age]]&lt;=19,"Older",qhkz_4dqm[[#This Row],[vehicle_age]]&gt;=20,"Very Old")</f>
        <v>Mid-age</v>
      </c>
    </row>
    <row r="1177" spans="1:10">
      <c r="A1177" s="2">
        <v>24145667</v>
      </c>
      <c r="B1177" s="2">
        <v>2414566701</v>
      </c>
      <c r="C1177" s="2">
        <v>1</v>
      </c>
      <c r="D1177" s="2">
        <v>2022</v>
      </c>
      <c r="E1177" s="2">
        <v>2</v>
      </c>
      <c r="F1177" s="2">
        <v>199.46</v>
      </c>
      <c r="G1177" s="2">
        <v>383.91</v>
      </c>
      <c r="H1177" s="2" t="str">
        <f>VLOOKUP(qhkz_4dqm[[#This Row],[fuel_type]],lookup!A:B,2,FALSE)</f>
        <v>Diesel</v>
      </c>
      <c r="I1177" s="2">
        <f ca="1">YEAR(TODAY())-qhkz_4dqm[[#This Row],[year]]</f>
        <v>4</v>
      </c>
      <c r="J1177" s="2" t="str" cm="1">
        <f t="array" aca="1" ref="J1177" ca="1">_xlfn.IFS(qhkz_4dqm[[#This Row],[vehicle_age]]&lt;=3,"Newer",qhkz_4dqm[[#This Row],[vehicle_age]]&lt;=9,"Mid-age",qhkz_4dqm[[#This Row],[vehicle_age]]&lt;=19,"Older",qhkz_4dqm[[#This Row],[vehicle_age]]&gt;=20,"Very Old")</f>
        <v>Mid-age</v>
      </c>
    </row>
    <row r="1178" spans="1:10">
      <c r="A1178" s="2">
        <v>24145687</v>
      </c>
      <c r="B1178" s="2">
        <v>2414568701</v>
      </c>
      <c r="C1178" s="2">
        <v>1</v>
      </c>
      <c r="D1178" s="2">
        <v>2013</v>
      </c>
      <c r="E1178" s="2">
        <v>1</v>
      </c>
      <c r="F1178" s="2">
        <v>397.06</v>
      </c>
      <c r="G1178" s="2">
        <v>963.43</v>
      </c>
      <c r="H1178" s="2" t="str">
        <f>VLOOKUP(qhkz_4dqm[[#This Row],[fuel_type]],lookup!A:B,2,FALSE)</f>
        <v>Gasoline</v>
      </c>
      <c r="I1178" s="2">
        <f ca="1">YEAR(TODAY())-qhkz_4dqm[[#This Row],[year]]</f>
        <v>13</v>
      </c>
      <c r="J1178" s="2" t="str" cm="1">
        <f t="array" aca="1" ref="J1178" ca="1">_xlfn.IFS(qhkz_4dqm[[#This Row],[vehicle_age]]&lt;=3,"Newer",qhkz_4dqm[[#This Row],[vehicle_age]]&lt;=9,"Mid-age",qhkz_4dqm[[#This Row],[vehicle_age]]&lt;=19,"Older",qhkz_4dqm[[#This Row],[vehicle_age]]&gt;=20,"Very Old")</f>
        <v>Older</v>
      </c>
    </row>
    <row r="1179" spans="1:10">
      <c r="A1179" s="2">
        <v>24145693</v>
      </c>
      <c r="B1179" s="2">
        <v>2414569301</v>
      </c>
      <c r="C1179" s="2">
        <v>1</v>
      </c>
      <c r="D1179" s="2">
        <v>2018</v>
      </c>
      <c r="E1179" s="2">
        <v>1</v>
      </c>
      <c r="F1179" s="2">
        <v>1413.41</v>
      </c>
      <c r="G1179" s="2">
        <v>2134.09</v>
      </c>
      <c r="H1179" s="2" t="str">
        <f>VLOOKUP(qhkz_4dqm[[#This Row],[fuel_type]],lookup!A:B,2,FALSE)</f>
        <v>Gasoline</v>
      </c>
      <c r="I1179" s="2">
        <f ca="1">YEAR(TODAY())-qhkz_4dqm[[#This Row],[year]]</f>
        <v>8</v>
      </c>
      <c r="J1179" s="2" t="str" cm="1">
        <f t="array" aca="1" ref="J1179" ca="1">_xlfn.IFS(qhkz_4dqm[[#This Row],[vehicle_age]]&lt;=3,"Newer",qhkz_4dqm[[#This Row],[vehicle_age]]&lt;=9,"Mid-age",qhkz_4dqm[[#This Row],[vehicle_age]]&lt;=19,"Older",qhkz_4dqm[[#This Row],[vehicle_age]]&gt;=20,"Very Old")</f>
        <v>Mid-age</v>
      </c>
    </row>
    <row r="1180" spans="1:10">
      <c r="A1180" s="2">
        <v>24145701</v>
      </c>
      <c r="B1180" s="2">
        <v>2414570101</v>
      </c>
      <c r="C1180" s="2">
        <v>1</v>
      </c>
      <c r="D1180" s="2">
        <v>2024</v>
      </c>
      <c r="E1180" s="2">
        <v>4</v>
      </c>
      <c r="F1180" s="2">
        <v>166.1</v>
      </c>
      <c r="G1180" s="2">
        <v>242.68</v>
      </c>
      <c r="H1180" s="2" t="str">
        <f>VLOOKUP(qhkz_4dqm[[#This Row],[fuel_type]],lookup!A:B,2,FALSE)</f>
        <v>Electric</v>
      </c>
      <c r="I1180" s="2">
        <f ca="1">YEAR(TODAY())-qhkz_4dqm[[#This Row],[year]]</f>
        <v>2</v>
      </c>
      <c r="J1180" s="2" t="str" cm="1">
        <f t="array" aca="1" ref="J1180" ca="1">_xlfn.IFS(qhkz_4dqm[[#This Row],[vehicle_age]]&lt;=3,"Newer",qhkz_4dqm[[#This Row],[vehicle_age]]&lt;=9,"Mid-age",qhkz_4dqm[[#This Row],[vehicle_age]]&lt;=19,"Older",qhkz_4dqm[[#This Row],[vehicle_age]]&gt;=20,"Very Old")</f>
        <v>Newer</v>
      </c>
    </row>
    <row r="1181" spans="1:10">
      <c r="A1181" s="2">
        <v>24145755</v>
      </c>
      <c r="B1181" s="2">
        <v>2414575501</v>
      </c>
      <c r="C1181" s="2">
        <v>1</v>
      </c>
      <c r="D1181" s="2">
        <v>2009</v>
      </c>
      <c r="E1181" s="2">
        <v>1</v>
      </c>
      <c r="F1181" s="2">
        <v>141.51</v>
      </c>
      <c r="G1181" s="2">
        <v>420.69</v>
      </c>
      <c r="H1181" s="2" t="str">
        <f>VLOOKUP(qhkz_4dqm[[#This Row],[fuel_type]],lookup!A:B,2,FALSE)</f>
        <v>Gasoline</v>
      </c>
      <c r="I1181" s="2">
        <f ca="1">YEAR(TODAY())-qhkz_4dqm[[#This Row],[year]]</f>
        <v>17</v>
      </c>
      <c r="J1181" s="2" t="str" cm="1">
        <f t="array" aca="1" ref="J1181" ca="1">_xlfn.IFS(qhkz_4dqm[[#This Row],[vehicle_age]]&lt;=3,"Newer",qhkz_4dqm[[#This Row],[vehicle_age]]&lt;=9,"Mid-age",qhkz_4dqm[[#This Row],[vehicle_age]]&lt;=19,"Older",qhkz_4dqm[[#This Row],[vehicle_age]]&gt;=20,"Very Old")</f>
        <v>Older</v>
      </c>
    </row>
    <row r="1182" spans="1:10">
      <c r="A1182" s="2">
        <v>24145770</v>
      </c>
      <c r="B1182" s="2">
        <v>2414577001</v>
      </c>
      <c r="C1182" s="2">
        <v>1</v>
      </c>
      <c r="D1182" s="2">
        <v>2023</v>
      </c>
      <c r="E1182" s="2">
        <v>1</v>
      </c>
      <c r="F1182" s="2">
        <v>216.37</v>
      </c>
      <c r="G1182" s="2">
        <v>144.4</v>
      </c>
      <c r="H1182" s="2" t="str">
        <f>VLOOKUP(qhkz_4dqm[[#This Row],[fuel_type]],lookup!A:B,2,FALSE)</f>
        <v>Gasoline</v>
      </c>
      <c r="I1182" s="2">
        <f ca="1">YEAR(TODAY())-qhkz_4dqm[[#This Row],[year]]</f>
        <v>3</v>
      </c>
      <c r="J1182" s="2" t="str" cm="1">
        <f t="array" aca="1" ref="J1182" ca="1">_xlfn.IFS(qhkz_4dqm[[#This Row],[vehicle_age]]&lt;=3,"Newer",qhkz_4dqm[[#This Row],[vehicle_age]]&lt;=9,"Mid-age",qhkz_4dqm[[#This Row],[vehicle_age]]&lt;=19,"Older",qhkz_4dqm[[#This Row],[vehicle_age]]&gt;=20,"Very Old")</f>
        <v>Newer</v>
      </c>
    </row>
    <row r="1183" spans="1:10">
      <c r="A1183" s="2">
        <v>24145776</v>
      </c>
      <c r="B1183" s="2">
        <v>2414577601</v>
      </c>
      <c r="C1183" s="2">
        <v>1</v>
      </c>
      <c r="D1183" s="2">
        <v>2024</v>
      </c>
      <c r="E1183" s="2">
        <v>1</v>
      </c>
      <c r="F1183" s="2">
        <v>318.5</v>
      </c>
      <c r="G1183" s="2">
        <v>307.02999999999997</v>
      </c>
      <c r="H1183" s="2" t="str">
        <f>VLOOKUP(qhkz_4dqm[[#This Row],[fuel_type]],lookup!A:B,2,FALSE)</f>
        <v>Gasoline</v>
      </c>
      <c r="I1183" s="2">
        <f ca="1">YEAR(TODAY())-qhkz_4dqm[[#This Row],[year]]</f>
        <v>2</v>
      </c>
      <c r="J1183" s="2" t="str" cm="1">
        <f t="array" aca="1" ref="J1183" ca="1">_xlfn.IFS(qhkz_4dqm[[#This Row],[vehicle_age]]&lt;=3,"Newer",qhkz_4dqm[[#This Row],[vehicle_age]]&lt;=9,"Mid-age",qhkz_4dqm[[#This Row],[vehicle_age]]&lt;=19,"Older",qhkz_4dqm[[#This Row],[vehicle_age]]&gt;=20,"Very Old")</f>
        <v>Newer</v>
      </c>
    </row>
    <row r="1184" spans="1:10">
      <c r="A1184" s="2">
        <v>24145803</v>
      </c>
      <c r="B1184" s="2">
        <v>2414580301</v>
      </c>
      <c r="C1184" s="2">
        <v>1</v>
      </c>
      <c r="D1184" s="2">
        <v>2012</v>
      </c>
      <c r="E1184" s="2">
        <v>1</v>
      </c>
      <c r="F1184" s="2">
        <v>488.64</v>
      </c>
      <c r="G1184" s="2">
        <v>999.32</v>
      </c>
      <c r="H1184" s="2" t="str">
        <f>VLOOKUP(qhkz_4dqm[[#This Row],[fuel_type]],lookup!A:B,2,FALSE)</f>
        <v>Gasoline</v>
      </c>
      <c r="I1184" s="2">
        <f ca="1">YEAR(TODAY())-qhkz_4dqm[[#This Row],[year]]</f>
        <v>14</v>
      </c>
      <c r="J1184" s="2" t="str" cm="1">
        <f t="array" aca="1" ref="J1184" ca="1">_xlfn.IFS(qhkz_4dqm[[#This Row],[vehicle_age]]&lt;=3,"Newer",qhkz_4dqm[[#This Row],[vehicle_age]]&lt;=9,"Mid-age",qhkz_4dqm[[#This Row],[vehicle_age]]&lt;=19,"Older",qhkz_4dqm[[#This Row],[vehicle_age]]&gt;=20,"Very Old")</f>
        <v>Older</v>
      </c>
    </row>
    <row r="1185" spans="1:10">
      <c r="A1185" s="2">
        <v>24145879</v>
      </c>
      <c r="B1185" s="2">
        <v>2414587901</v>
      </c>
      <c r="C1185" s="2">
        <v>1</v>
      </c>
      <c r="D1185" s="2">
        <v>2017</v>
      </c>
      <c r="E1185" s="2">
        <v>1</v>
      </c>
      <c r="F1185" s="2">
        <v>116.77</v>
      </c>
      <c r="G1185" s="2">
        <v>126.26</v>
      </c>
      <c r="H1185" s="2" t="str">
        <f>VLOOKUP(qhkz_4dqm[[#This Row],[fuel_type]],lookup!A:B,2,FALSE)</f>
        <v>Gasoline</v>
      </c>
      <c r="I1185" s="2">
        <f ca="1">YEAR(TODAY())-qhkz_4dqm[[#This Row],[year]]</f>
        <v>9</v>
      </c>
      <c r="J1185" s="2" t="str" cm="1">
        <f t="array" aca="1" ref="J1185" ca="1">_xlfn.IFS(qhkz_4dqm[[#This Row],[vehicle_age]]&lt;=3,"Newer",qhkz_4dqm[[#This Row],[vehicle_age]]&lt;=9,"Mid-age",qhkz_4dqm[[#This Row],[vehicle_age]]&lt;=19,"Older",qhkz_4dqm[[#This Row],[vehicle_age]]&gt;=20,"Very Old")</f>
        <v>Mid-age</v>
      </c>
    </row>
    <row r="1186" spans="1:10">
      <c r="A1186" s="2">
        <v>24145929</v>
      </c>
      <c r="B1186" s="2">
        <v>2414592901</v>
      </c>
      <c r="C1186" s="2">
        <v>1</v>
      </c>
      <c r="D1186" s="2">
        <v>2020</v>
      </c>
      <c r="E1186" s="2">
        <v>1</v>
      </c>
      <c r="F1186" s="2">
        <v>267.16000000000003</v>
      </c>
      <c r="G1186" s="2">
        <v>707.8</v>
      </c>
      <c r="H1186" s="2" t="str">
        <f>VLOOKUP(qhkz_4dqm[[#This Row],[fuel_type]],lookup!A:B,2,FALSE)</f>
        <v>Gasoline</v>
      </c>
      <c r="I1186" s="2">
        <f ca="1">YEAR(TODAY())-qhkz_4dqm[[#This Row],[year]]</f>
        <v>6</v>
      </c>
      <c r="J1186" s="2" t="str" cm="1">
        <f t="array" aca="1" ref="J1186" ca="1">_xlfn.IFS(qhkz_4dqm[[#This Row],[vehicle_age]]&lt;=3,"Newer",qhkz_4dqm[[#This Row],[vehicle_age]]&lt;=9,"Mid-age",qhkz_4dqm[[#This Row],[vehicle_age]]&lt;=19,"Older",qhkz_4dqm[[#This Row],[vehicle_age]]&gt;=20,"Very Old")</f>
        <v>Mid-age</v>
      </c>
    </row>
    <row r="1187" spans="1:10">
      <c r="A1187" s="2">
        <v>24145939</v>
      </c>
      <c r="B1187" s="2">
        <v>2414593901</v>
      </c>
      <c r="C1187" s="2">
        <v>1</v>
      </c>
      <c r="D1187" s="2">
        <v>2021</v>
      </c>
      <c r="E1187" s="2">
        <v>1</v>
      </c>
      <c r="F1187" s="2">
        <v>1701.76</v>
      </c>
      <c r="G1187" s="2">
        <v>2612.48</v>
      </c>
      <c r="H1187" s="2" t="str">
        <f>VLOOKUP(qhkz_4dqm[[#This Row],[fuel_type]],lookup!A:B,2,FALSE)</f>
        <v>Gasoline</v>
      </c>
      <c r="I1187" s="2">
        <f ca="1">YEAR(TODAY())-qhkz_4dqm[[#This Row],[year]]</f>
        <v>5</v>
      </c>
      <c r="J1187" s="2" t="str" cm="1">
        <f t="array" aca="1" ref="J1187" ca="1">_xlfn.IFS(qhkz_4dqm[[#This Row],[vehicle_age]]&lt;=3,"Newer",qhkz_4dqm[[#This Row],[vehicle_age]]&lt;=9,"Mid-age",qhkz_4dqm[[#This Row],[vehicle_age]]&lt;=19,"Older",qhkz_4dqm[[#This Row],[vehicle_age]]&gt;=20,"Very Old")</f>
        <v>Mid-age</v>
      </c>
    </row>
    <row r="1188" spans="1:10">
      <c r="A1188" s="2">
        <v>24145972</v>
      </c>
      <c r="B1188" s="2">
        <v>2414597201</v>
      </c>
      <c r="C1188" s="2">
        <v>1</v>
      </c>
      <c r="D1188" s="2">
        <v>2023</v>
      </c>
      <c r="E1188" s="2">
        <v>1</v>
      </c>
      <c r="F1188" s="2">
        <v>376.36</v>
      </c>
      <c r="G1188" s="2">
        <v>367.72</v>
      </c>
      <c r="H1188" s="2" t="str">
        <f>VLOOKUP(qhkz_4dqm[[#This Row],[fuel_type]],lookup!A:B,2,FALSE)</f>
        <v>Gasoline</v>
      </c>
      <c r="I1188" s="2">
        <f ca="1">YEAR(TODAY())-qhkz_4dqm[[#This Row],[year]]</f>
        <v>3</v>
      </c>
      <c r="J1188" s="2" t="str" cm="1">
        <f t="array" aca="1" ref="J1188" ca="1">_xlfn.IFS(qhkz_4dqm[[#This Row],[vehicle_age]]&lt;=3,"Newer",qhkz_4dqm[[#This Row],[vehicle_age]]&lt;=9,"Mid-age",qhkz_4dqm[[#This Row],[vehicle_age]]&lt;=19,"Older",qhkz_4dqm[[#This Row],[vehicle_age]]&gt;=20,"Very Old")</f>
        <v>Newer</v>
      </c>
    </row>
    <row r="1189" spans="1:10">
      <c r="A1189" s="2">
        <v>24146023</v>
      </c>
      <c r="B1189" s="2">
        <v>2414602301</v>
      </c>
      <c r="C1189" s="2">
        <v>1</v>
      </c>
      <c r="D1189" s="2">
        <v>2023</v>
      </c>
      <c r="E1189" s="2">
        <v>1</v>
      </c>
      <c r="F1189" s="2">
        <v>79.38</v>
      </c>
      <c r="G1189" s="2">
        <v>189.33</v>
      </c>
      <c r="H1189" s="2" t="str">
        <f>VLOOKUP(qhkz_4dqm[[#This Row],[fuel_type]],lookup!A:B,2,FALSE)</f>
        <v>Gasoline</v>
      </c>
      <c r="I1189" s="2">
        <f ca="1">YEAR(TODAY())-qhkz_4dqm[[#This Row],[year]]</f>
        <v>3</v>
      </c>
      <c r="J1189" s="2" t="str" cm="1">
        <f t="array" aca="1" ref="J1189" ca="1">_xlfn.IFS(qhkz_4dqm[[#This Row],[vehicle_age]]&lt;=3,"Newer",qhkz_4dqm[[#This Row],[vehicle_age]]&lt;=9,"Mid-age",qhkz_4dqm[[#This Row],[vehicle_age]]&lt;=19,"Older",qhkz_4dqm[[#This Row],[vehicle_age]]&gt;=20,"Very Old")</f>
        <v>Newer</v>
      </c>
    </row>
    <row r="1190" spans="1:10">
      <c r="A1190" s="2">
        <v>24146103</v>
      </c>
      <c r="B1190" s="2">
        <v>2414610301</v>
      </c>
      <c r="C1190" s="2">
        <v>1</v>
      </c>
      <c r="D1190" s="2">
        <v>2014</v>
      </c>
      <c r="E1190" s="2">
        <v>1</v>
      </c>
      <c r="F1190" s="2">
        <v>388.04</v>
      </c>
      <c r="G1190" s="2">
        <v>834.98</v>
      </c>
      <c r="H1190" s="2" t="str">
        <f>VLOOKUP(qhkz_4dqm[[#This Row],[fuel_type]],lookup!A:B,2,FALSE)</f>
        <v>Gasoline</v>
      </c>
      <c r="I1190" s="2">
        <f ca="1">YEAR(TODAY())-qhkz_4dqm[[#This Row],[year]]</f>
        <v>12</v>
      </c>
      <c r="J1190" s="2" t="str" cm="1">
        <f t="array" aca="1" ref="J1190" ca="1">_xlfn.IFS(qhkz_4dqm[[#This Row],[vehicle_age]]&lt;=3,"Newer",qhkz_4dqm[[#This Row],[vehicle_age]]&lt;=9,"Mid-age",qhkz_4dqm[[#This Row],[vehicle_age]]&lt;=19,"Older",qhkz_4dqm[[#This Row],[vehicle_age]]&gt;=20,"Very Old")</f>
        <v>Older</v>
      </c>
    </row>
    <row r="1191" spans="1:10">
      <c r="A1191" s="2">
        <v>24146136</v>
      </c>
      <c r="B1191" s="2">
        <v>2414613601</v>
      </c>
      <c r="C1191" s="2">
        <v>1</v>
      </c>
      <c r="D1191" s="2">
        <v>2010</v>
      </c>
      <c r="E1191" s="2">
        <v>1</v>
      </c>
      <c r="F1191" s="2">
        <v>1688.41</v>
      </c>
      <c r="G1191" s="2">
        <v>745.85</v>
      </c>
      <c r="H1191" s="2" t="str">
        <f>VLOOKUP(qhkz_4dqm[[#This Row],[fuel_type]],lookup!A:B,2,FALSE)</f>
        <v>Gasoline</v>
      </c>
      <c r="I1191" s="2">
        <f ca="1">YEAR(TODAY())-qhkz_4dqm[[#This Row],[year]]</f>
        <v>16</v>
      </c>
      <c r="J1191" s="2" t="str" cm="1">
        <f t="array" aca="1" ref="J1191" ca="1">_xlfn.IFS(qhkz_4dqm[[#This Row],[vehicle_age]]&lt;=3,"Newer",qhkz_4dqm[[#This Row],[vehicle_age]]&lt;=9,"Mid-age",qhkz_4dqm[[#This Row],[vehicle_age]]&lt;=19,"Older",qhkz_4dqm[[#This Row],[vehicle_age]]&gt;=20,"Very Old")</f>
        <v>Older</v>
      </c>
    </row>
    <row r="1192" spans="1:10">
      <c r="A1192" s="2">
        <v>24146231</v>
      </c>
      <c r="B1192" s="2">
        <v>2414623101</v>
      </c>
      <c r="C1192" s="2">
        <v>1</v>
      </c>
      <c r="D1192" s="2">
        <v>2015</v>
      </c>
      <c r="E1192" s="2">
        <v>1</v>
      </c>
      <c r="F1192" s="2">
        <v>748.88</v>
      </c>
      <c r="G1192" s="2">
        <v>991.06</v>
      </c>
      <c r="H1192" s="2" t="str">
        <f>VLOOKUP(qhkz_4dqm[[#This Row],[fuel_type]],lookup!A:B,2,FALSE)</f>
        <v>Gasoline</v>
      </c>
      <c r="I1192" s="2">
        <f ca="1">YEAR(TODAY())-qhkz_4dqm[[#This Row],[year]]</f>
        <v>11</v>
      </c>
      <c r="J1192" s="2" t="str" cm="1">
        <f t="array" aca="1" ref="J1192" ca="1">_xlfn.IFS(qhkz_4dqm[[#This Row],[vehicle_age]]&lt;=3,"Newer",qhkz_4dqm[[#This Row],[vehicle_age]]&lt;=9,"Mid-age",qhkz_4dqm[[#This Row],[vehicle_age]]&lt;=19,"Older",qhkz_4dqm[[#This Row],[vehicle_age]]&gt;=20,"Very Old")</f>
        <v>Older</v>
      </c>
    </row>
    <row r="1193" spans="1:10">
      <c r="A1193" s="2">
        <v>24146239</v>
      </c>
      <c r="B1193" s="2">
        <v>2414623901</v>
      </c>
      <c r="C1193" s="2">
        <v>1</v>
      </c>
      <c r="D1193" s="2">
        <v>2022</v>
      </c>
      <c r="E1193" s="2">
        <v>1</v>
      </c>
      <c r="F1193" s="2">
        <v>148.09</v>
      </c>
      <c r="G1193" s="2">
        <v>110.27</v>
      </c>
      <c r="H1193" s="2" t="str">
        <f>VLOOKUP(qhkz_4dqm[[#This Row],[fuel_type]],lookup!A:B,2,FALSE)</f>
        <v>Gasoline</v>
      </c>
      <c r="I1193" s="2">
        <f ca="1">YEAR(TODAY())-qhkz_4dqm[[#This Row],[year]]</f>
        <v>4</v>
      </c>
      <c r="J1193" s="2" t="str" cm="1">
        <f t="array" aca="1" ref="J1193" ca="1">_xlfn.IFS(qhkz_4dqm[[#This Row],[vehicle_age]]&lt;=3,"Newer",qhkz_4dqm[[#This Row],[vehicle_age]]&lt;=9,"Mid-age",qhkz_4dqm[[#This Row],[vehicle_age]]&lt;=19,"Older",qhkz_4dqm[[#This Row],[vehicle_age]]&gt;=20,"Very Old")</f>
        <v>Mid-age</v>
      </c>
    </row>
    <row r="1194" spans="1:10">
      <c r="A1194" s="2">
        <v>24146330</v>
      </c>
      <c r="B1194" s="2">
        <v>2414633001</v>
      </c>
      <c r="C1194" s="2">
        <v>1</v>
      </c>
      <c r="D1194" s="2">
        <v>2012</v>
      </c>
      <c r="E1194" s="2">
        <v>2</v>
      </c>
      <c r="F1194" s="2">
        <v>134.93</v>
      </c>
      <c r="G1194" s="2">
        <v>275.64999999999998</v>
      </c>
      <c r="H1194" s="2" t="str">
        <f>VLOOKUP(qhkz_4dqm[[#This Row],[fuel_type]],lookup!A:B,2,FALSE)</f>
        <v>Diesel</v>
      </c>
      <c r="I1194" s="2">
        <f ca="1">YEAR(TODAY())-qhkz_4dqm[[#This Row],[year]]</f>
        <v>14</v>
      </c>
      <c r="J1194" s="2" t="str" cm="1">
        <f t="array" aca="1" ref="J1194" ca="1">_xlfn.IFS(qhkz_4dqm[[#This Row],[vehicle_age]]&lt;=3,"Newer",qhkz_4dqm[[#This Row],[vehicle_age]]&lt;=9,"Mid-age",qhkz_4dqm[[#This Row],[vehicle_age]]&lt;=19,"Older",qhkz_4dqm[[#This Row],[vehicle_age]]&gt;=20,"Very Old")</f>
        <v>Older</v>
      </c>
    </row>
    <row r="1195" spans="1:10">
      <c r="A1195" s="2">
        <v>24146383</v>
      </c>
      <c r="B1195" s="2">
        <v>2414638301</v>
      </c>
      <c r="C1195" s="2">
        <v>1</v>
      </c>
      <c r="D1195" s="2">
        <v>2019</v>
      </c>
      <c r="E1195" s="2">
        <v>1</v>
      </c>
      <c r="F1195" s="2">
        <v>118.58</v>
      </c>
      <c r="G1195" s="2">
        <v>127.92</v>
      </c>
      <c r="H1195" s="2" t="str">
        <f>VLOOKUP(qhkz_4dqm[[#This Row],[fuel_type]],lookup!A:B,2,FALSE)</f>
        <v>Gasoline</v>
      </c>
      <c r="I1195" s="2">
        <f ca="1">YEAR(TODAY())-qhkz_4dqm[[#This Row],[year]]</f>
        <v>7</v>
      </c>
      <c r="J1195" s="2" t="str" cm="1">
        <f t="array" aca="1" ref="J1195" ca="1">_xlfn.IFS(qhkz_4dqm[[#This Row],[vehicle_age]]&lt;=3,"Newer",qhkz_4dqm[[#This Row],[vehicle_age]]&lt;=9,"Mid-age",qhkz_4dqm[[#This Row],[vehicle_age]]&lt;=19,"Older",qhkz_4dqm[[#This Row],[vehicle_age]]&gt;=20,"Very Old")</f>
        <v>Mid-age</v>
      </c>
    </row>
    <row r="1196" spans="1:10">
      <c r="A1196" s="2">
        <v>24146424</v>
      </c>
      <c r="B1196" s="2">
        <v>2414642401</v>
      </c>
      <c r="C1196" s="2">
        <v>1</v>
      </c>
      <c r="D1196" s="2">
        <v>2022</v>
      </c>
      <c r="E1196" s="2">
        <v>1</v>
      </c>
      <c r="F1196" s="2">
        <v>312.88</v>
      </c>
      <c r="G1196" s="2">
        <v>258.05</v>
      </c>
      <c r="H1196" s="2" t="str">
        <f>VLOOKUP(qhkz_4dqm[[#This Row],[fuel_type]],lookup!A:B,2,FALSE)</f>
        <v>Gasoline</v>
      </c>
      <c r="I1196" s="2">
        <f ca="1">YEAR(TODAY())-qhkz_4dqm[[#This Row],[year]]</f>
        <v>4</v>
      </c>
      <c r="J1196" s="2" t="str" cm="1">
        <f t="array" aca="1" ref="J1196" ca="1">_xlfn.IFS(qhkz_4dqm[[#This Row],[vehicle_age]]&lt;=3,"Newer",qhkz_4dqm[[#This Row],[vehicle_age]]&lt;=9,"Mid-age",qhkz_4dqm[[#This Row],[vehicle_age]]&lt;=19,"Older",qhkz_4dqm[[#This Row],[vehicle_age]]&gt;=20,"Very Old")</f>
        <v>Mid-age</v>
      </c>
    </row>
    <row r="1197" spans="1:10">
      <c r="A1197" s="2">
        <v>24146447</v>
      </c>
      <c r="B1197" s="2">
        <v>2414644701</v>
      </c>
      <c r="C1197" s="2">
        <v>1</v>
      </c>
      <c r="D1197" s="2">
        <v>2021</v>
      </c>
      <c r="E1197" s="2">
        <v>1</v>
      </c>
      <c r="F1197" s="2">
        <v>79.83</v>
      </c>
      <c r="G1197" s="2">
        <v>178.94</v>
      </c>
      <c r="H1197" s="2" t="str">
        <f>VLOOKUP(qhkz_4dqm[[#This Row],[fuel_type]],lookup!A:B,2,FALSE)</f>
        <v>Gasoline</v>
      </c>
      <c r="I1197" s="2">
        <f ca="1">YEAR(TODAY())-qhkz_4dqm[[#This Row],[year]]</f>
        <v>5</v>
      </c>
      <c r="J1197" s="2" t="str" cm="1">
        <f t="array" aca="1" ref="J1197" ca="1">_xlfn.IFS(qhkz_4dqm[[#This Row],[vehicle_age]]&lt;=3,"Newer",qhkz_4dqm[[#This Row],[vehicle_age]]&lt;=9,"Mid-age",qhkz_4dqm[[#This Row],[vehicle_age]]&lt;=19,"Older",qhkz_4dqm[[#This Row],[vehicle_age]]&gt;=20,"Very Old")</f>
        <v>Mid-age</v>
      </c>
    </row>
    <row r="1198" spans="1:10">
      <c r="A1198" s="2">
        <v>24146464</v>
      </c>
      <c r="B1198" s="2">
        <v>2414646401</v>
      </c>
      <c r="C1198" s="2">
        <v>1</v>
      </c>
      <c r="D1198" s="2">
        <v>2024</v>
      </c>
      <c r="E1198" s="2">
        <v>1</v>
      </c>
      <c r="F1198" s="2">
        <v>748.88</v>
      </c>
      <c r="G1198" s="2">
        <v>991.06</v>
      </c>
      <c r="H1198" s="2" t="str">
        <f>VLOOKUP(qhkz_4dqm[[#This Row],[fuel_type]],lookup!A:B,2,FALSE)</f>
        <v>Gasoline</v>
      </c>
      <c r="I1198" s="2">
        <f ca="1">YEAR(TODAY())-qhkz_4dqm[[#This Row],[year]]</f>
        <v>2</v>
      </c>
      <c r="J1198" s="2" t="str" cm="1">
        <f t="array" aca="1" ref="J1198" ca="1">_xlfn.IFS(qhkz_4dqm[[#This Row],[vehicle_age]]&lt;=3,"Newer",qhkz_4dqm[[#This Row],[vehicle_age]]&lt;=9,"Mid-age",qhkz_4dqm[[#This Row],[vehicle_age]]&lt;=19,"Older",qhkz_4dqm[[#This Row],[vehicle_age]]&gt;=20,"Very Old")</f>
        <v>Newer</v>
      </c>
    </row>
    <row r="1199" spans="1:10">
      <c r="A1199" s="2">
        <v>24146501</v>
      </c>
      <c r="B1199" s="2">
        <v>2414650101</v>
      </c>
      <c r="C1199" s="2">
        <v>1</v>
      </c>
      <c r="D1199" s="2">
        <v>2015</v>
      </c>
      <c r="E1199" s="2">
        <v>1</v>
      </c>
      <c r="F1199" s="2">
        <v>630.94000000000005</v>
      </c>
      <c r="G1199" s="2">
        <v>546.69000000000005</v>
      </c>
      <c r="H1199" s="2" t="str">
        <f>VLOOKUP(qhkz_4dqm[[#This Row],[fuel_type]],lookup!A:B,2,FALSE)</f>
        <v>Gasoline</v>
      </c>
      <c r="I1199" s="2">
        <f ca="1">YEAR(TODAY())-qhkz_4dqm[[#This Row],[year]]</f>
        <v>11</v>
      </c>
      <c r="J1199" s="2" t="str" cm="1">
        <f t="array" aca="1" ref="J1199" ca="1">_xlfn.IFS(qhkz_4dqm[[#This Row],[vehicle_age]]&lt;=3,"Newer",qhkz_4dqm[[#This Row],[vehicle_age]]&lt;=9,"Mid-age",qhkz_4dqm[[#This Row],[vehicle_age]]&lt;=19,"Older",qhkz_4dqm[[#This Row],[vehicle_age]]&gt;=20,"Very Old")</f>
        <v>Older</v>
      </c>
    </row>
    <row r="1200" spans="1:10">
      <c r="A1200" s="2">
        <v>24146504</v>
      </c>
      <c r="B1200" s="2">
        <v>2414650401</v>
      </c>
      <c r="C1200" s="2">
        <v>1</v>
      </c>
      <c r="D1200" s="2">
        <v>2010</v>
      </c>
      <c r="E1200" s="2">
        <v>1</v>
      </c>
      <c r="F1200" s="2">
        <v>1480.21</v>
      </c>
      <c r="G1200" s="2">
        <v>1609.98</v>
      </c>
      <c r="H1200" s="2" t="str">
        <f>VLOOKUP(qhkz_4dqm[[#This Row],[fuel_type]],lookup!A:B,2,FALSE)</f>
        <v>Gasoline</v>
      </c>
      <c r="I1200" s="2">
        <f ca="1">YEAR(TODAY())-qhkz_4dqm[[#This Row],[year]]</f>
        <v>16</v>
      </c>
      <c r="J1200" s="2" t="str" cm="1">
        <f t="array" aca="1" ref="J1200" ca="1">_xlfn.IFS(qhkz_4dqm[[#This Row],[vehicle_age]]&lt;=3,"Newer",qhkz_4dqm[[#This Row],[vehicle_age]]&lt;=9,"Mid-age",qhkz_4dqm[[#This Row],[vehicle_age]]&lt;=19,"Older",qhkz_4dqm[[#This Row],[vehicle_age]]&gt;=20,"Very Old")</f>
        <v>Older</v>
      </c>
    </row>
    <row r="1201" spans="1:10">
      <c r="A1201" s="2">
        <v>24146547</v>
      </c>
      <c r="B1201" s="2">
        <v>2414654701</v>
      </c>
      <c r="C1201" s="2">
        <v>1</v>
      </c>
      <c r="D1201" s="2">
        <v>2020</v>
      </c>
      <c r="E1201" s="2">
        <v>1</v>
      </c>
      <c r="F1201" s="2">
        <v>737.94</v>
      </c>
      <c r="G1201" s="2">
        <v>1733.5</v>
      </c>
      <c r="H1201" s="2" t="str">
        <f>VLOOKUP(qhkz_4dqm[[#This Row],[fuel_type]],lookup!A:B,2,FALSE)</f>
        <v>Gasoline</v>
      </c>
      <c r="I1201" s="2">
        <f ca="1">YEAR(TODAY())-qhkz_4dqm[[#This Row],[year]]</f>
        <v>6</v>
      </c>
      <c r="J1201" s="2" t="str" cm="1">
        <f t="array" aca="1" ref="J1201" ca="1">_xlfn.IFS(qhkz_4dqm[[#This Row],[vehicle_age]]&lt;=3,"Newer",qhkz_4dqm[[#This Row],[vehicle_age]]&lt;=9,"Mid-age",qhkz_4dqm[[#This Row],[vehicle_age]]&lt;=19,"Older",qhkz_4dqm[[#This Row],[vehicle_age]]&gt;=20,"Very Old")</f>
        <v>Mid-age</v>
      </c>
    </row>
    <row r="1202" spans="1:10">
      <c r="A1202" s="2">
        <v>24146562</v>
      </c>
      <c r="B1202" s="2">
        <v>2414656201</v>
      </c>
      <c r="C1202" s="2">
        <v>1</v>
      </c>
      <c r="D1202" s="2">
        <v>2006</v>
      </c>
      <c r="E1202" s="2">
        <v>1</v>
      </c>
      <c r="F1202" s="2">
        <v>615.87</v>
      </c>
      <c r="G1202" s="2">
        <v>1417.1</v>
      </c>
      <c r="H1202" s="2" t="str">
        <f>VLOOKUP(qhkz_4dqm[[#This Row],[fuel_type]],lookup!A:B,2,FALSE)</f>
        <v>Gasoline</v>
      </c>
      <c r="I1202" s="2">
        <f ca="1">YEAR(TODAY())-qhkz_4dqm[[#This Row],[year]]</f>
        <v>20</v>
      </c>
      <c r="J1202" s="2" t="str" cm="1">
        <f t="array" aca="1" ref="J1202" ca="1">_xlfn.IFS(qhkz_4dqm[[#This Row],[vehicle_age]]&lt;=3,"Newer",qhkz_4dqm[[#This Row],[vehicle_age]]&lt;=9,"Mid-age",qhkz_4dqm[[#This Row],[vehicle_age]]&lt;=19,"Older",qhkz_4dqm[[#This Row],[vehicle_age]]&gt;=20,"Very Old")</f>
        <v>Very Old</v>
      </c>
    </row>
    <row r="1203" spans="1:10">
      <c r="A1203" s="2">
        <v>24146588</v>
      </c>
      <c r="B1203" s="2">
        <v>2414658801</v>
      </c>
      <c r="C1203" s="2">
        <v>1</v>
      </c>
      <c r="D1203" s="2">
        <v>2019</v>
      </c>
      <c r="E1203" s="2">
        <v>1</v>
      </c>
      <c r="F1203" s="2">
        <v>366.36</v>
      </c>
      <c r="G1203" s="2">
        <v>320.42</v>
      </c>
      <c r="H1203" s="2" t="str">
        <f>VLOOKUP(qhkz_4dqm[[#This Row],[fuel_type]],lookup!A:B,2,FALSE)</f>
        <v>Gasoline</v>
      </c>
      <c r="I1203" s="2">
        <f ca="1">YEAR(TODAY())-qhkz_4dqm[[#This Row],[year]]</f>
        <v>7</v>
      </c>
      <c r="J1203" s="2" t="str" cm="1">
        <f t="array" aca="1" ref="J1203" ca="1">_xlfn.IFS(qhkz_4dqm[[#This Row],[vehicle_age]]&lt;=3,"Newer",qhkz_4dqm[[#This Row],[vehicle_age]]&lt;=9,"Mid-age",qhkz_4dqm[[#This Row],[vehicle_age]]&lt;=19,"Older",qhkz_4dqm[[#This Row],[vehicle_age]]&gt;=20,"Very Old")</f>
        <v>Mid-age</v>
      </c>
    </row>
    <row r="1204" spans="1:10">
      <c r="A1204" s="2">
        <v>24146604</v>
      </c>
      <c r="B1204" s="2">
        <v>2414660401</v>
      </c>
      <c r="C1204" s="2">
        <v>1</v>
      </c>
      <c r="D1204" s="2">
        <v>2020</v>
      </c>
      <c r="E1204" s="2">
        <v>1</v>
      </c>
      <c r="F1204" s="2">
        <v>582.39</v>
      </c>
      <c r="G1204" s="2">
        <v>1130.79</v>
      </c>
      <c r="H1204" s="2" t="str">
        <f>VLOOKUP(qhkz_4dqm[[#This Row],[fuel_type]],lookup!A:B,2,FALSE)</f>
        <v>Gasoline</v>
      </c>
      <c r="I1204" s="2">
        <f ca="1">YEAR(TODAY())-qhkz_4dqm[[#This Row],[year]]</f>
        <v>6</v>
      </c>
      <c r="J1204" s="2" t="str" cm="1">
        <f t="array" aca="1" ref="J1204" ca="1">_xlfn.IFS(qhkz_4dqm[[#This Row],[vehicle_age]]&lt;=3,"Newer",qhkz_4dqm[[#This Row],[vehicle_age]]&lt;=9,"Mid-age",qhkz_4dqm[[#This Row],[vehicle_age]]&lt;=19,"Older",qhkz_4dqm[[#This Row],[vehicle_age]]&gt;=20,"Very Old")</f>
        <v>Mid-age</v>
      </c>
    </row>
    <row r="1205" spans="1:10">
      <c r="A1205" s="2">
        <v>24146607</v>
      </c>
      <c r="B1205" s="2">
        <v>2414660701</v>
      </c>
      <c r="C1205" s="2">
        <v>1</v>
      </c>
      <c r="D1205" s="2">
        <v>2023</v>
      </c>
      <c r="E1205" s="2">
        <v>4</v>
      </c>
      <c r="F1205" s="2">
        <v>193.28</v>
      </c>
      <c r="G1205" s="2">
        <v>424.16</v>
      </c>
      <c r="H1205" s="2" t="str">
        <f>VLOOKUP(qhkz_4dqm[[#This Row],[fuel_type]],lookup!A:B,2,FALSE)</f>
        <v>Electric</v>
      </c>
      <c r="I1205" s="2">
        <f ca="1">YEAR(TODAY())-qhkz_4dqm[[#This Row],[year]]</f>
        <v>3</v>
      </c>
      <c r="J1205" s="2" t="str" cm="1">
        <f t="array" aca="1" ref="J1205" ca="1">_xlfn.IFS(qhkz_4dqm[[#This Row],[vehicle_age]]&lt;=3,"Newer",qhkz_4dqm[[#This Row],[vehicle_age]]&lt;=9,"Mid-age",qhkz_4dqm[[#This Row],[vehicle_age]]&lt;=19,"Older",qhkz_4dqm[[#This Row],[vehicle_age]]&gt;=20,"Very Old")</f>
        <v>Newer</v>
      </c>
    </row>
    <row r="1206" spans="1:10">
      <c r="A1206" s="2">
        <v>24146616</v>
      </c>
      <c r="B1206" s="2">
        <v>2414661601</v>
      </c>
      <c r="C1206" s="2">
        <v>1</v>
      </c>
      <c r="D1206" s="2">
        <v>2020</v>
      </c>
      <c r="E1206" s="2">
        <v>1</v>
      </c>
      <c r="F1206" s="2">
        <v>170.14</v>
      </c>
      <c r="G1206" s="2">
        <v>349.65</v>
      </c>
      <c r="H1206" s="2" t="str">
        <f>VLOOKUP(qhkz_4dqm[[#This Row],[fuel_type]],lookup!A:B,2,FALSE)</f>
        <v>Gasoline</v>
      </c>
      <c r="I1206" s="2">
        <f ca="1">YEAR(TODAY())-qhkz_4dqm[[#This Row],[year]]</f>
        <v>6</v>
      </c>
      <c r="J1206" s="2" t="str" cm="1">
        <f t="array" aca="1" ref="J1206" ca="1">_xlfn.IFS(qhkz_4dqm[[#This Row],[vehicle_age]]&lt;=3,"Newer",qhkz_4dqm[[#This Row],[vehicle_age]]&lt;=9,"Mid-age",qhkz_4dqm[[#This Row],[vehicle_age]]&lt;=19,"Older",qhkz_4dqm[[#This Row],[vehicle_age]]&gt;=20,"Very Old")</f>
        <v>Mid-age</v>
      </c>
    </row>
    <row r="1207" spans="1:10">
      <c r="A1207" s="2">
        <v>24146955</v>
      </c>
      <c r="B1207" s="2">
        <v>2414695501</v>
      </c>
      <c r="C1207" s="2">
        <v>1</v>
      </c>
      <c r="D1207" s="2">
        <v>2004</v>
      </c>
      <c r="E1207" s="2">
        <v>1</v>
      </c>
      <c r="F1207" s="2">
        <v>229.98</v>
      </c>
      <c r="G1207" s="2">
        <v>107.2</v>
      </c>
      <c r="H1207" s="2" t="str">
        <f>VLOOKUP(qhkz_4dqm[[#This Row],[fuel_type]],lookup!A:B,2,FALSE)</f>
        <v>Gasoline</v>
      </c>
      <c r="I1207" s="2">
        <f ca="1">YEAR(TODAY())-qhkz_4dqm[[#This Row],[year]]</f>
        <v>22</v>
      </c>
      <c r="J1207" s="2" t="str" cm="1">
        <f t="array" aca="1" ref="J1207" ca="1">_xlfn.IFS(qhkz_4dqm[[#This Row],[vehicle_age]]&lt;=3,"Newer",qhkz_4dqm[[#This Row],[vehicle_age]]&lt;=9,"Mid-age",qhkz_4dqm[[#This Row],[vehicle_age]]&lt;=19,"Older",qhkz_4dqm[[#This Row],[vehicle_age]]&gt;=20,"Very Old")</f>
        <v>Very Old</v>
      </c>
    </row>
    <row r="1208" spans="1:10">
      <c r="A1208" s="2">
        <v>24147010</v>
      </c>
      <c r="B1208" s="2">
        <v>2414701001</v>
      </c>
      <c r="C1208" s="2">
        <v>1</v>
      </c>
      <c r="D1208" s="2">
        <v>2023</v>
      </c>
      <c r="E1208" s="2">
        <v>1</v>
      </c>
      <c r="F1208" s="2">
        <v>501.56</v>
      </c>
      <c r="G1208" s="2">
        <v>544.04</v>
      </c>
      <c r="H1208" s="2" t="str">
        <f>VLOOKUP(qhkz_4dqm[[#This Row],[fuel_type]],lookup!A:B,2,FALSE)</f>
        <v>Gasoline</v>
      </c>
      <c r="I1208" s="2">
        <f ca="1">YEAR(TODAY())-qhkz_4dqm[[#This Row],[year]]</f>
        <v>3</v>
      </c>
      <c r="J1208" s="2" t="str" cm="1">
        <f t="array" aca="1" ref="J1208" ca="1">_xlfn.IFS(qhkz_4dqm[[#This Row],[vehicle_age]]&lt;=3,"Newer",qhkz_4dqm[[#This Row],[vehicle_age]]&lt;=9,"Mid-age",qhkz_4dqm[[#This Row],[vehicle_age]]&lt;=19,"Older",qhkz_4dqm[[#This Row],[vehicle_age]]&gt;=20,"Very Old")</f>
        <v>Newer</v>
      </c>
    </row>
    <row r="1209" spans="1:10">
      <c r="A1209" s="2">
        <v>24147012</v>
      </c>
      <c r="B1209" s="2">
        <v>2414701201</v>
      </c>
      <c r="C1209" s="2">
        <v>1</v>
      </c>
      <c r="D1209" s="2">
        <v>2018</v>
      </c>
      <c r="E1209" s="2">
        <v>1</v>
      </c>
      <c r="F1209" s="2">
        <v>102.19</v>
      </c>
      <c r="G1209" s="2">
        <v>143.27000000000001</v>
      </c>
      <c r="H1209" s="2" t="str">
        <f>VLOOKUP(qhkz_4dqm[[#This Row],[fuel_type]],lookup!A:B,2,FALSE)</f>
        <v>Gasoline</v>
      </c>
      <c r="I1209" s="2">
        <f ca="1">YEAR(TODAY())-qhkz_4dqm[[#This Row],[year]]</f>
        <v>8</v>
      </c>
      <c r="J1209" s="2" t="str" cm="1">
        <f t="array" aca="1" ref="J1209" ca="1">_xlfn.IFS(qhkz_4dqm[[#This Row],[vehicle_age]]&lt;=3,"Newer",qhkz_4dqm[[#This Row],[vehicle_age]]&lt;=9,"Mid-age",qhkz_4dqm[[#This Row],[vehicle_age]]&lt;=19,"Older",qhkz_4dqm[[#This Row],[vehicle_age]]&gt;=20,"Very Old")</f>
        <v>Mid-age</v>
      </c>
    </row>
    <row r="1210" spans="1:10">
      <c r="A1210" s="2">
        <v>24147015</v>
      </c>
      <c r="B1210" s="2">
        <v>2414701501</v>
      </c>
      <c r="C1210" s="2">
        <v>1</v>
      </c>
      <c r="D1210" s="2">
        <v>2018</v>
      </c>
      <c r="E1210" s="2">
        <v>1</v>
      </c>
      <c r="F1210" s="2">
        <v>115.47</v>
      </c>
      <c r="G1210" s="2">
        <v>200.63</v>
      </c>
      <c r="H1210" s="2" t="str">
        <f>VLOOKUP(qhkz_4dqm[[#This Row],[fuel_type]],lookup!A:B,2,FALSE)</f>
        <v>Gasoline</v>
      </c>
      <c r="I1210" s="2">
        <f ca="1">YEAR(TODAY())-qhkz_4dqm[[#This Row],[year]]</f>
        <v>8</v>
      </c>
      <c r="J1210" s="2" t="str" cm="1">
        <f t="array" aca="1" ref="J1210" ca="1">_xlfn.IFS(qhkz_4dqm[[#This Row],[vehicle_age]]&lt;=3,"Newer",qhkz_4dqm[[#This Row],[vehicle_age]]&lt;=9,"Mid-age",qhkz_4dqm[[#This Row],[vehicle_age]]&lt;=19,"Older",qhkz_4dqm[[#This Row],[vehicle_age]]&gt;=20,"Very Old")</f>
        <v>Mid-age</v>
      </c>
    </row>
    <row r="1211" spans="1:10">
      <c r="A1211" s="2">
        <v>24147142</v>
      </c>
      <c r="B1211" s="2">
        <v>2414714201</v>
      </c>
      <c r="C1211" s="2">
        <v>1</v>
      </c>
      <c r="D1211" s="2">
        <v>2017</v>
      </c>
      <c r="E1211" s="2">
        <v>1</v>
      </c>
      <c r="F1211" s="2">
        <v>115.28</v>
      </c>
      <c r="G1211" s="2">
        <v>126.19</v>
      </c>
      <c r="H1211" s="2" t="str">
        <f>VLOOKUP(qhkz_4dqm[[#This Row],[fuel_type]],lookup!A:B,2,FALSE)</f>
        <v>Gasoline</v>
      </c>
      <c r="I1211" s="2">
        <f ca="1">YEAR(TODAY())-qhkz_4dqm[[#This Row],[year]]</f>
        <v>9</v>
      </c>
      <c r="J1211" s="2" t="str" cm="1">
        <f t="array" aca="1" ref="J1211" ca="1">_xlfn.IFS(qhkz_4dqm[[#This Row],[vehicle_age]]&lt;=3,"Newer",qhkz_4dqm[[#This Row],[vehicle_age]]&lt;=9,"Mid-age",qhkz_4dqm[[#This Row],[vehicle_age]]&lt;=19,"Older",qhkz_4dqm[[#This Row],[vehicle_age]]&gt;=20,"Very Old")</f>
        <v>Mid-age</v>
      </c>
    </row>
    <row r="1212" spans="1:10">
      <c r="A1212" s="2">
        <v>24147171</v>
      </c>
      <c r="B1212" s="2">
        <v>2414717101</v>
      </c>
      <c r="C1212" s="2">
        <v>1</v>
      </c>
      <c r="D1212" s="2">
        <v>2017</v>
      </c>
      <c r="E1212" s="2">
        <v>1</v>
      </c>
      <c r="F1212" s="2">
        <v>206.67</v>
      </c>
      <c r="G1212" s="2">
        <v>133</v>
      </c>
      <c r="H1212" s="2" t="str">
        <f>VLOOKUP(qhkz_4dqm[[#This Row],[fuel_type]],lookup!A:B,2,FALSE)</f>
        <v>Gasoline</v>
      </c>
      <c r="I1212" s="2">
        <f ca="1">YEAR(TODAY())-qhkz_4dqm[[#This Row],[year]]</f>
        <v>9</v>
      </c>
      <c r="J1212" s="2" t="str" cm="1">
        <f t="array" aca="1" ref="J1212" ca="1">_xlfn.IFS(qhkz_4dqm[[#This Row],[vehicle_age]]&lt;=3,"Newer",qhkz_4dqm[[#This Row],[vehicle_age]]&lt;=9,"Mid-age",qhkz_4dqm[[#This Row],[vehicle_age]]&lt;=19,"Older",qhkz_4dqm[[#This Row],[vehicle_age]]&gt;=20,"Very Old")</f>
        <v>Mid-age</v>
      </c>
    </row>
    <row r="1213" spans="1:10">
      <c r="A1213" s="2">
        <v>24147211</v>
      </c>
      <c r="B1213" s="2">
        <v>2414721101</v>
      </c>
      <c r="C1213" s="2">
        <v>1</v>
      </c>
      <c r="D1213" s="2">
        <v>2009</v>
      </c>
      <c r="E1213" s="2">
        <v>1</v>
      </c>
      <c r="F1213" s="2">
        <v>1097.03</v>
      </c>
      <c r="G1213" s="2">
        <v>853.71</v>
      </c>
      <c r="H1213" s="2" t="str">
        <f>VLOOKUP(qhkz_4dqm[[#This Row],[fuel_type]],lookup!A:B,2,FALSE)</f>
        <v>Gasoline</v>
      </c>
      <c r="I1213" s="2">
        <f ca="1">YEAR(TODAY())-qhkz_4dqm[[#This Row],[year]]</f>
        <v>17</v>
      </c>
      <c r="J1213" s="2" t="str" cm="1">
        <f t="array" aca="1" ref="J1213" ca="1">_xlfn.IFS(qhkz_4dqm[[#This Row],[vehicle_age]]&lt;=3,"Newer",qhkz_4dqm[[#This Row],[vehicle_age]]&lt;=9,"Mid-age",qhkz_4dqm[[#This Row],[vehicle_age]]&lt;=19,"Older",qhkz_4dqm[[#This Row],[vehicle_age]]&gt;=20,"Very Old")</f>
        <v>Older</v>
      </c>
    </row>
    <row r="1214" spans="1:10">
      <c r="A1214" s="2">
        <v>24147249</v>
      </c>
      <c r="B1214" s="2">
        <v>2414724901</v>
      </c>
      <c r="C1214" s="2">
        <v>1</v>
      </c>
      <c r="D1214" s="2">
        <v>2024</v>
      </c>
      <c r="E1214" s="2">
        <v>2</v>
      </c>
      <c r="F1214" s="2">
        <v>512.11</v>
      </c>
      <c r="G1214" s="2">
        <v>840.7</v>
      </c>
      <c r="H1214" s="2" t="str">
        <f>VLOOKUP(qhkz_4dqm[[#This Row],[fuel_type]],lookup!A:B,2,FALSE)</f>
        <v>Diesel</v>
      </c>
      <c r="I1214" s="2">
        <f ca="1">YEAR(TODAY())-qhkz_4dqm[[#This Row],[year]]</f>
        <v>2</v>
      </c>
      <c r="J1214" s="2" t="str" cm="1">
        <f t="array" aca="1" ref="J1214" ca="1">_xlfn.IFS(qhkz_4dqm[[#This Row],[vehicle_age]]&lt;=3,"Newer",qhkz_4dqm[[#This Row],[vehicle_age]]&lt;=9,"Mid-age",qhkz_4dqm[[#This Row],[vehicle_age]]&lt;=19,"Older",qhkz_4dqm[[#This Row],[vehicle_age]]&gt;=20,"Very Old")</f>
        <v>Newer</v>
      </c>
    </row>
    <row r="1215" spans="1:10">
      <c r="A1215" s="2">
        <v>24147277</v>
      </c>
      <c r="B1215" s="2">
        <v>2414727701</v>
      </c>
      <c r="C1215" s="2">
        <v>1</v>
      </c>
      <c r="D1215" s="2">
        <v>2020</v>
      </c>
      <c r="E1215" s="2">
        <v>1</v>
      </c>
      <c r="F1215" s="2">
        <v>510.22</v>
      </c>
      <c r="G1215" s="2">
        <v>964.23</v>
      </c>
      <c r="H1215" s="2" t="str">
        <f>VLOOKUP(qhkz_4dqm[[#This Row],[fuel_type]],lookup!A:B,2,FALSE)</f>
        <v>Gasoline</v>
      </c>
      <c r="I1215" s="2">
        <f ca="1">YEAR(TODAY())-qhkz_4dqm[[#This Row],[year]]</f>
        <v>6</v>
      </c>
      <c r="J1215" s="2" t="str" cm="1">
        <f t="array" aca="1" ref="J1215" ca="1">_xlfn.IFS(qhkz_4dqm[[#This Row],[vehicle_age]]&lt;=3,"Newer",qhkz_4dqm[[#This Row],[vehicle_age]]&lt;=9,"Mid-age",qhkz_4dqm[[#This Row],[vehicle_age]]&lt;=19,"Older",qhkz_4dqm[[#This Row],[vehicle_age]]&gt;=20,"Very Old")</f>
        <v>Mid-age</v>
      </c>
    </row>
    <row r="1216" spans="1:10">
      <c r="A1216" s="2">
        <v>24147326</v>
      </c>
      <c r="B1216" s="2">
        <v>2414732601</v>
      </c>
      <c r="C1216" s="2">
        <v>1</v>
      </c>
      <c r="D1216" s="2">
        <v>2020</v>
      </c>
      <c r="E1216" s="2">
        <v>1</v>
      </c>
      <c r="F1216" s="2">
        <v>2769.37</v>
      </c>
      <c r="G1216" s="2">
        <v>2649.32</v>
      </c>
      <c r="H1216" s="2" t="str">
        <f>VLOOKUP(qhkz_4dqm[[#This Row],[fuel_type]],lookup!A:B,2,FALSE)</f>
        <v>Gasoline</v>
      </c>
      <c r="I1216" s="2">
        <f ca="1">YEAR(TODAY())-qhkz_4dqm[[#This Row],[year]]</f>
        <v>6</v>
      </c>
      <c r="J1216" s="2" t="str" cm="1">
        <f t="array" aca="1" ref="J1216" ca="1">_xlfn.IFS(qhkz_4dqm[[#This Row],[vehicle_age]]&lt;=3,"Newer",qhkz_4dqm[[#This Row],[vehicle_age]]&lt;=9,"Mid-age",qhkz_4dqm[[#This Row],[vehicle_age]]&lt;=19,"Older",qhkz_4dqm[[#This Row],[vehicle_age]]&gt;=20,"Very Old")</f>
        <v>Mid-age</v>
      </c>
    </row>
    <row r="1217" spans="1:10">
      <c r="A1217" s="2">
        <v>24147416</v>
      </c>
      <c r="B1217" s="2">
        <v>2414741601</v>
      </c>
      <c r="C1217" s="2">
        <v>1</v>
      </c>
      <c r="D1217" s="2">
        <v>2023</v>
      </c>
      <c r="E1217" s="2">
        <v>1</v>
      </c>
      <c r="F1217" s="2">
        <v>267.16000000000003</v>
      </c>
      <c r="G1217" s="2">
        <v>707.8</v>
      </c>
      <c r="H1217" s="2" t="str">
        <f>VLOOKUP(qhkz_4dqm[[#This Row],[fuel_type]],lookup!A:B,2,FALSE)</f>
        <v>Gasoline</v>
      </c>
      <c r="I1217" s="2">
        <f ca="1">YEAR(TODAY())-qhkz_4dqm[[#This Row],[year]]</f>
        <v>3</v>
      </c>
      <c r="J1217" s="2" t="str" cm="1">
        <f t="array" aca="1" ref="J1217" ca="1">_xlfn.IFS(qhkz_4dqm[[#This Row],[vehicle_age]]&lt;=3,"Newer",qhkz_4dqm[[#This Row],[vehicle_age]]&lt;=9,"Mid-age",qhkz_4dqm[[#This Row],[vehicle_age]]&lt;=19,"Older",qhkz_4dqm[[#This Row],[vehicle_age]]&gt;=20,"Very Old")</f>
        <v>Newer</v>
      </c>
    </row>
    <row r="1218" spans="1:10">
      <c r="A1218" s="2">
        <v>24147440</v>
      </c>
      <c r="B1218" s="2">
        <v>2414744001</v>
      </c>
      <c r="C1218" s="2">
        <v>1</v>
      </c>
      <c r="D1218" s="2">
        <v>2023</v>
      </c>
      <c r="E1218" s="2">
        <v>3</v>
      </c>
      <c r="F1218" s="2">
        <v>86.34</v>
      </c>
      <c r="G1218" s="2">
        <v>136.44999999999999</v>
      </c>
      <c r="H1218" s="2" t="str">
        <f>VLOOKUP(qhkz_4dqm[[#This Row],[fuel_type]],lookup!A:B,2,FALSE)</f>
        <v>Hybrid</v>
      </c>
      <c r="I1218" s="2">
        <f ca="1">YEAR(TODAY())-qhkz_4dqm[[#This Row],[year]]</f>
        <v>3</v>
      </c>
      <c r="J1218" s="2" t="str" cm="1">
        <f t="array" aca="1" ref="J1218" ca="1">_xlfn.IFS(qhkz_4dqm[[#This Row],[vehicle_age]]&lt;=3,"Newer",qhkz_4dqm[[#This Row],[vehicle_age]]&lt;=9,"Mid-age",qhkz_4dqm[[#This Row],[vehicle_age]]&lt;=19,"Older",qhkz_4dqm[[#This Row],[vehicle_age]]&gt;=20,"Very Old")</f>
        <v>Newer</v>
      </c>
    </row>
    <row r="1219" spans="1:10">
      <c r="A1219" s="2">
        <v>24147714</v>
      </c>
      <c r="B1219" s="2">
        <v>2414771401</v>
      </c>
      <c r="C1219" s="2">
        <v>1</v>
      </c>
      <c r="D1219" s="2">
        <v>2019</v>
      </c>
      <c r="E1219" s="2">
        <v>2</v>
      </c>
      <c r="F1219" s="2">
        <v>507.77</v>
      </c>
      <c r="G1219" s="2">
        <v>798.14</v>
      </c>
      <c r="H1219" s="2" t="str">
        <f>VLOOKUP(qhkz_4dqm[[#This Row],[fuel_type]],lookup!A:B,2,FALSE)</f>
        <v>Diesel</v>
      </c>
      <c r="I1219" s="2">
        <f ca="1">YEAR(TODAY())-qhkz_4dqm[[#This Row],[year]]</f>
        <v>7</v>
      </c>
      <c r="J1219" s="2" t="str" cm="1">
        <f t="array" aca="1" ref="J1219" ca="1">_xlfn.IFS(qhkz_4dqm[[#This Row],[vehicle_age]]&lt;=3,"Newer",qhkz_4dqm[[#This Row],[vehicle_age]]&lt;=9,"Mid-age",qhkz_4dqm[[#This Row],[vehicle_age]]&lt;=19,"Older",qhkz_4dqm[[#This Row],[vehicle_age]]&gt;=20,"Very Old")</f>
        <v>Mid-age</v>
      </c>
    </row>
    <row r="1220" spans="1:10">
      <c r="A1220" s="2">
        <v>24148701</v>
      </c>
      <c r="B1220" s="2">
        <v>2414870101</v>
      </c>
      <c r="C1220" s="2">
        <v>1</v>
      </c>
      <c r="D1220" s="2">
        <v>2019</v>
      </c>
      <c r="E1220" s="2">
        <v>1</v>
      </c>
      <c r="F1220" s="2">
        <v>455.31</v>
      </c>
      <c r="G1220" s="2">
        <v>1449.89</v>
      </c>
      <c r="H1220" s="2" t="str">
        <f>VLOOKUP(qhkz_4dqm[[#This Row],[fuel_type]],lookup!A:B,2,FALSE)</f>
        <v>Gasoline</v>
      </c>
      <c r="I1220" s="2">
        <f ca="1">YEAR(TODAY())-qhkz_4dqm[[#This Row],[year]]</f>
        <v>7</v>
      </c>
      <c r="J1220" s="2" t="str" cm="1">
        <f t="array" aca="1" ref="J1220" ca="1">_xlfn.IFS(qhkz_4dqm[[#This Row],[vehicle_age]]&lt;=3,"Newer",qhkz_4dqm[[#This Row],[vehicle_age]]&lt;=9,"Mid-age",qhkz_4dqm[[#This Row],[vehicle_age]]&lt;=19,"Older",qhkz_4dqm[[#This Row],[vehicle_age]]&gt;=20,"Very Old")</f>
        <v>Mid-age</v>
      </c>
    </row>
    <row r="1221" spans="1:10">
      <c r="A1221" s="2">
        <v>24148703</v>
      </c>
      <c r="B1221" s="2">
        <v>2414870301</v>
      </c>
      <c r="C1221" s="2">
        <v>1</v>
      </c>
      <c r="D1221" s="2">
        <v>2018</v>
      </c>
      <c r="E1221" s="2">
        <v>1</v>
      </c>
      <c r="F1221" s="2">
        <v>232.04</v>
      </c>
      <c r="G1221" s="2">
        <v>180.57</v>
      </c>
      <c r="H1221" s="2" t="str">
        <f>VLOOKUP(qhkz_4dqm[[#This Row],[fuel_type]],lookup!A:B,2,FALSE)</f>
        <v>Gasoline</v>
      </c>
      <c r="I1221" s="2">
        <f ca="1">YEAR(TODAY())-qhkz_4dqm[[#This Row],[year]]</f>
        <v>8</v>
      </c>
      <c r="J1221" s="2" t="str" cm="1">
        <f t="array" aca="1" ref="J1221" ca="1">_xlfn.IFS(qhkz_4dqm[[#This Row],[vehicle_age]]&lt;=3,"Newer",qhkz_4dqm[[#This Row],[vehicle_age]]&lt;=9,"Mid-age",qhkz_4dqm[[#This Row],[vehicle_age]]&lt;=19,"Older",qhkz_4dqm[[#This Row],[vehicle_age]]&gt;=20,"Very Old")</f>
        <v>Mid-age</v>
      </c>
    </row>
    <row r="1222" spans="1:10">
      <c r="A1222" s="2">
        <v>24148741</v>
      </c>
      <c r="B1222" s="2">
        <v>2414874101</v>
      </c>
      <c r="C1222" s="2">
        <v>1</v>
      </c>
      <c r="D1222" s="2">
        <v>2024</v>
      </c>
      <c r="E1222" s="2">
        <v>3</v>
      </c>
      <c r="F1222" s="2">
        <v>952.07</v>
      </c>
      <c r="G1222" s="2">
        <v>1420.74</v>
      </c>
      <c r="H1222" s="2" t="str">
        <f>VLOOKUP(qhkz_4dqm[[#This Row],[fuel_type]],lookup!A:B,2,FALSE)</f>
        <v>Hybrid</v>
      </c>
      <c r="I1222" s="2">
        <f ca="1">YEAR(TODAY())-qhkz_4dqm[[#This Row],[year]]</f>
        <v>2</v>
      </c>
      <c r="J1222" s="2" t="str" cm="1">
        <f t="array" aca="1" ref="J1222" ca="1">_xlfn.IFS(qhkz_4dqm[[#This Row],[vehicle_age]]&lt;=3,"Newer",qhkz_4dqm[[#This Row],[vehicle_age]]&lt;=9,"Mid-age",qhkz_4dqm[[#This Row],[vehicle_age]]&lt;=19,"Older",qhkz_4dqm[[#This Row],[vehicle_age]]&gt;=20,"Very Old")</f>
        <v>Newer</v>
      </c>
    </row>
    <row r="1223" spans="1:10">
      <c r="A1223" s="2">
        <v>24148762</v>
      </c>
      <c r="B1223" s="2">
        <v>2414876201</v>
      </c>
      <c r="C1223" s="2">
        <v>1</v>
      </c>
      <c r="D1223" s="2">
        <v>2019</v>
      </c>
      <c r="E1223" s="2">
        <v>2</v>
      </c>
      <c r="F1223" s="2">
        <v>630.33000000000004</v>
      </c>
      <c r="G1223" s="2">
        <v>1949.11</v>
      </c>
      <c r="H1223" s="2" t="str">
        <f>VLOOKUP(qhkz_4dqm[[#This Row],[fuel_type]],lookup!A:B,2,FALSE)</f>
        <v>Diesel</v>
      </c>
      <c r="I1223" s="2">
        <f ca="1">YEAR(TODAY())-qhkz_4dqm[[#This Row],[year]]</f>
        <v>7</v>
      </c>
      <c r="J1223" s="2" t="str" cm="1">
        <f t="array" aca="1" ref="J1223" ca="1">_xlfn.IFS(qhkz_4dqm[[#This Row],[vehicle_age]]&lt;=3,"Newer",qhkz_4dqm[[#This Row],[vehicle_age]]&lt;=9,"Mid-age",qhkz_4dqm[[#This Row],[vehicle_age]]&lt;=19,"Older",qhkz_4dqm[[#This Row],[vehicle_age]]&gt;=20,"Very Old")</f>
        <v>Mid-age</v>
      </c>
    </row>
    <row r="1224" spans="1:10">
      <c r="A1224" s="2">
        <v>24148765</v>
      </c>
      <c r="B1224" s="2">
        <v>2414876501</v>
      </c>
      <c r="C1224" s="2">
        <v>1</v>
      </c>
      <c r="D1224" s="2">
        <v>2018</v>
      </c>
      <c r="E1224" s="2">
        <v>2</v>
      </c>
      <c r="F1224" s="2">
        <v>824.62</v>
      </c>
      <c r="G1224" s="2">
        <v>1013.99</v>
      </c>
      <c r="H1224" s="2" t="str">
        <f>VLOOKUP(qhkz_4dqm[[#This Row],[fuel_type]],lookup!A:B,2,FALSE)</f>
        <v>Diesel</v>
      </c>
      <c r="I1224" s="2">
        <f ca="1">YEAR(TODAY())-qhkz_4dqm[[#This Row],[year]]</f>
        <v>8</v>
      </c>
      <c r="J1224" s="2" t="str" cm="1">
        <f t="array" aca="1" ref="J1224" ca="1">_xlfn.IFS(qhkz_4dqm[[#This Row],[vehicle_age]]&lt;=3,"Newer",qhkz_4dqm[[#This Row],[vehicle_age]]&lt;=9,"Mid-age",qhkz_4dqm[[#This Row],[vehicle_age]]&lt;=19,"Older",qhkz_4dqm[[#This Row],[vehicle_age]]&gt;=20,"Very Old")</f>
        <v>Mid-age</v>
      </c>
    </row>
    <row r="1225" spans="1:10">
      <c r="A1225" s="2">
        <v>24148767</v>
      </c>
      <c r="B1225" s="2">
        <v>2414876701</v>
      </c>
      <c r="C1225" s="2">
        <v>1</v>
      </c>
      <c r="D1225" s="2">
        <v>2022</v>
      </c>
      <c r="E1225" s="2">
        <v>1</v>
      </c>
      <c r="F1225" s="2">
        <v>1040.6500000000001</v>
      </c>
      <c r="G1225" s="2">
        <v>991.97</v>
      </c>
      <c r="H1225" s="2" t="str">
        <f>VLOOKUP(qhkz_4dqm[[#This Row],[fuel_type]],lookup!A:B,2,FALSE)</f>
        <v>Gasoline</v>
      </c>
      <c r="I1225" s="2">
        <f ca="1">YEAR(TODAY())-qhkz_4dqm[[#This Row],[year]]</f>
        <v>4</v>
      </c>
      <c r="J1225" s="2" t="str" cm="1">
        <f t="array" aca="1" ref="J1225" ca="1">_xlfn.IFS(qhkz_4dqm[[#This Row],[vehicle_age]]&lt;=3,"Newer",qhkz_4dqm[[#This Row],[vehicle_age]]&lt;=9,"Mid-age",qhkz_4dqm[[#This Row],[vehicle_age]]&lt;=19,"Older",qhkz_4dqm[[#This Row],[vehicle_age]]&gt;=20,"Very Old")</f>
        <v>Mid-age</v>
      </c>
    </row>
    <row r="1226" spans="1:10">
      <c r="A1226" s="2">
        <v>24148784</v>
      </c>
      <c r="B1226" s="2">
        <v>2414878401</v>
      </c>
      <c r="C1226" s="2">
        <v>1</v>
      </c>
      <c r="D1226" s="2">
        <v>2018</v>
      </c>
      <c r="E1226" s="2">
        <v>1</v>
      </c>
      <c r="F1226" s="2">
        <v>196.36</v>
      </c>
      <c r="G1226" s="2">
        <v>502.04</v>
      </c>
      <c r="H1226" s="2" t="str">
        <f>VLOOKUP(qhkz_4dqm[[#This Row],[fuel_type]],lookup!A:B,2,FALSE)</f>
        <v>Gasoline</v>
      </c>
      <c r="I1226" s="2">
        <f ca="1">YEAR(TODAY())-qhkz_4dqm[[#This Row],[year]]</f>
        <v>8</v>
      </c>
      <c r="J1226" s="2" t="str" cm="1">
        <f t="array" aca="1" ref="J1226" ca="1">_xlfn.IFS(qhkz_4dqm[[#This Row],[vehicle_age]]&lt;=3,"Newer",qhkz_4dqm[[#This Row],[vehicle_age]]&lt;=9,"Mid-age",qhkz_4dqm[[#This Row],[vehicle_age]]&lt;=19,"Older",qhkz_4dqm[[#This Row],[vehicle_age]]&gt;=20,"Very Old")</f>
        <v>Mid-age</v>
      </c>
    </row>
    <row r="1227" spans="1:10">
      <c r="A1227" s="2">
        <v>24148792</v>
      </c>
      <c r="B1227" s="2">
        <v>2414879201</v>
      </c>
      <c r="C1227" s="2">
        <v>1</v>
      </c>
      <c r="D1227" s="2">
        <v>2014</v>
      </c>
      <c r="E1227" s="2">
        <v>1</v>
      </c>
      <c r="F1227" s="2">
        <v>514.16</v>
      </c>
      <c r="G1227" s="2">
        <v>332.63</v>
      </c>
      <c r="H1227" s="2" t="str">
        <f>VLOOKUP(qhkz_4dqm[[#This Row],[fuel_type]],lookup!A:B,2,FALSE)</f>
        <v>Gasoline</v>
      </c>
      <c r="I1227" s="2">
        <f ca="1">YEAR(TODAY())-qhkz_4dqm[[#This Row],[year]]</f>
        <v>12</v>
      </c>
      <c r="J1227" s="2" t="str" cm="1">
        <f t="array" aca="1" ref="J1227" ca="1">_xlfn.IFS(qhkz_4dqm[[#This Row],[vehicle_age]]&lt;=3,"Newer",qhkz_4dqm[[#This Row],[vehicle_age]]&lt;=9,"Mid-age",qhkz_4dqm[[#This Row],[vehicle_age]]&lt;=19,"Older",qhkz_4dqm[[#This Row],[vehicle_age]]&gt;=20,"Very Old")</f>
        <v>Older</v>
      </c>
    </row>
    <row r="1228" spans="1:10">
      <c r="A1228" s="2">
        <v>24148799</v>
      </c>
      <c r="B1228" s="2">
        <v>2414879901</v>
      </c>
      <c r="C1228" s="2">
        <v>1</v>
      </c>
      <c r="D1228" s="2">
        <v>2023</v>
      </c>
      <c r="E1228" s="2">
        <v>1</v>
      </c>
      <c r="F1228" s="2">
        <v>553.65</v>
      </c>
      <c r="G1228" s="2">
        <v>1013.99</v>
      </c>
      <c r="H1228" s="2" t="str">
        <f>VLOOKUP(qhkz_4dqm[[#This Row],[fuel_type]],lookup!A:B,2,FALSE)</f>
        <v>Gasoline</v>
      </c>
      <c r="I1228" s="2">
        <f ca="1">YEAR(TODAY())-qhkz_4dqm[[#This Row],[year]]</f>
        <v>3</v>
      </c>
      <c r="J1228" s="2" t="str" cm="1">
        <f t="array" aca="1" ref="J1228" ca="1">_xlfn.IFS(qhkz_4dqm[[#This Row],[vehicle_age]]&lt;=3,"Newer",qhkz_4dqm[[#This Row],[vehicle_age]]&lt;=9,"Mid-age",qhkz_4dqm[[#This Row],[vehicle_age]]&lt;=19,"Older",qhkz_4dqm[[#This Row],[vehicle_age]]&gt;=20,"Very Old")</f>
        <v>Newer</v>
      </c>
    </row>
    <row r="1229" spans="1:10">
      <c r="A1229" s="2">
        <v>24148814</v>
      </c>
      <c r="B1229" s="2">
        <v>2414881401</v>
      </c>
      <c r="C1229" s="2">
        <v>1</v>
      </c>
      <c r="D1229" s="2">
        <v>2014</v>
      </c>
      <c r="E1229" s="2">
        <v>1</v>
      </c>
      <c r="F1229" s="2">
        <v>686.05</v>
      </c>
      <c r="G1229" s="2">
        <v>290.83</v>
      </c>
      <c r="H1229" s="2" t="str">
        <f>VLOOKUP(qhkz_4dqm[[#This Row],[fuel_type]],lookup!A:B,2,FALSE)</f>
        <v>Gasoline</v>
      </c>
      <c r="I1229" s="2">
        <f ca="1">YEAR(TODAY())-qhkz_4dqm[[#This Row],[year]]</f>
        <v>12</v>
      </c>
      <c r="J1229" s="2" t="str" cm="1">
        <f t="array" aca="1" ref="J1229" ca="1">_xlfn.IFS(qhkz_4dqm[[#This Row],[vehicle_age]]&lt;=3,"Newer",qhkz_4dqm[[#This Row],[vehicle_age]]&lt;=9,"Mid-age",qhkz_4dqm[[#This Row],[vehicle_age]]&lt;=19,"Older",qhkz_4dqm[[#This Row],[vehicle_age]]&gt;=20,"Very Old")</f>
        <v>Older</v>
      </c>
    </row>
    <row r="1230" spans="1:10">
      <c r="A1230" s="2">
        <v>24148818</v>
      </c>
      <c r="B1230" s="2">
        <v>2414881801</v>
      </c>
      <c r="C1230" s="2">
        <v>1</v>
      </c>
      <c r="D1230" s="2">
        <v>1995</v>
      </c>
      <c r="E1230" s="2">
        <v>1</v>
      </c>
      <c r="F1230" s="2">
        <v>460.38</v>
      </c>
      <c r="G1230" s="2">
        <v>1561.46</v>
      </c>
      <c r="H1230" s="2" t="str">
        <f>VLOOKUP(qhkz_4dqm[[#This Row],[fuel_type]],lookup!A:B,2,FALSE)</f>
        <v>Gasoline</v>
      </c>
      <c r="I1230" s="2">
        <f ca="1">YEAR(TODAY())-qhkz_4dqm[[#This Row],[year]]</f>
        <v>31</v>
      </c>
      <c r="J1230" s="2" t="str" cm="1">
        <f t="array" aca="1" ref="J1230" ca="1">_xlfn.IFS(qhkz_4dqm[[#This Row],[vehicle_age]]&lt;=3,"Newer",qhkz_4dqm[[#This Row],[vehicle_age]]&lt;=9,"Mid-age",qhkz_4dqm[[#This Row],[vehicle_age]]&lt;=19,"Older",qhkz_4dqm[[#This Row],[vehicle_age]]&gt;=20,"Very Old")</f>
        <v>Very Old</v>
      </c>
    </row>
    <row r="1231" spans="1:10">
      <c r="A1231" s="2">
        <v>24148823</v>
      </c>
      <c r="B1231" s="2">
        <v>2414882301</v>
      </c>
      <c r="C1231" s="2">
        <v>1</v>
      </c>
      <c r="D1231" s="2">
        <v>2022</v>
      </c>
      <c r="E1231" s="2">
        <v>2</v>
      </c>
      <c r="F1231" s="2">
        <v>257.97000000000003</v>
      </c>
      <c r="G1231" s="2">
        <v>245.66</v>
      </c>
      <c r="H1231" s="2" t="str">
        <f>VLOOKUP(qhkz_4dqm[[#This Row],[fuel_type]],lookup!A:B,2,FALSE)</f>
        <v>Diesel</v>
      </c>
      <c r="I1231" s="2">
        <f ca="1">YEAR(TODAY())-qhkz_4dqm[[#This Row],[year]]</f>
        <v>4</v>
      </c>
      <c r="J1231" s="2" t="str" cm="1">
        <f t="array" aca="1" ref="J1231" ca="1">_xlfn.IFS(qhkz_4dqm[[#This Row],[vehicle_age]]&lt;=3,"Newer",qhkz_4dqm[[#This Row],[vehicle_age]]&lt;=9,"Mid-age",qhkz_4dqm[[#This Row],[vehicle_age]]&lt;=19,"Older",qhkz_4dqm[[#This Row],[vehicle_age]]&gt;=20,"Very Old")</f>
        <v>Mid-age</v>
      </c>
    </row>
    <row r="1232" spans="1:10">
      <c r="A1232" s="2">
        <v>24148834</v>
      </c>
      <c r="B1232" s="2">
        <v>2414883401</v>
      </c>
      <c r="C1232" s="2">
        <v>1</v>
      </c>
      <c r="D1232" s="2">
        <v>1998</v>
      </c>
      <c r="E1232" s="2">
        <v>1</v>
      </c>
      <c r="F1232" s="2">
        <v>2.74</v>
      </c>
      <c r="G1232" s="2">
        <v>315.66000000000003</v>
      </c>
      <c r="H1232" s="2" t="str">
        <f>VLOOKUP(qhkz_4dqm[[#This Row],[fuel_type]],lookup!A:B,2,FALSE)</f>
        <v>Gasoline</v>
      </c>
      <c r="I1232" s="2">
        <f ca="1">YEAR(TODAY())-qhkz_4dqm[[#This Row],[year]]</f>
        <v>28</v>
      </c>
      <c r="J1232" s="2" t="str" cm="1">
        <f t="array" aca="1" ref="J1232" ca="1">_xlfn.IFS(qhkz_4dqm[[#This Row],[vehicle_age]]&lt;=3,"Newer",qhkz_4dqm[[#This Row],[vehicle_age]]&lt;=9,"Mid-age",qhkz_4dqm[[#This Row],[vehicle_age]]&lt;=19,"Older",qhkz_4dqm[[#This Row],[vehicle_age]]&gt;=20,"Very Old")</f>
        <v>Very Old</v>
      </c>
    </row>
    <row r="1233" spans="1:10">
      <c r="A1233" s="2">
        <v>24148837</v>
      </c>
      <c r="B1233" s="2">
        <v>2414883701</v>
      </c>
      <c r="C1233" s="2">
        <v>1</v>
      </c>
      <c r="D1233" s="2">
        <v>2012</v>
      </c>
      <c r="E1233" s="2">
        <v>1</v>
      </c>
      <c r="F1233" s="2">
        <v>8.32</v>
      </c>
      <c r="G1233" s="2">
        <v>448.61</v>
      </c>
      <c r="H1233" s="2" t="str">
        <f>VLOOKUP(qhkz_4dqm[[#This Row],[fuel_type]],lookup!A:B,2,FALSE)</f>
        <v>Gasoline</v>
      </c>
      <c r="I1233" s="2">
        <f ca="1">YEAR(TODAY())-qhkz_4dqm[[#This Row],[year]]</f>
        <v>14</v>
      </c>
      <c r="J1233" s="2" t="str" cm="1">
        <f t="array" aca="1" ref="J1233" ca="1">_xlfn.IFS(qhkz_4dqm[[#This Row],[vehicle_age]]&lt;=3,"Newer",qhkz_4dqm[[#This Row],[vehicle_age]]&lt;=9,"Mid-age",qhkz_4dqm[[#This Row],[vehicle_age]]&lt;=19,"Older",qhkz_4dqm[[#This Row],[vehicle_age]]&gt;=20,"Very Old")</f>
        <v>Older</v>
      </c>
    </row>
    <row r="1234" spans="1:10">
      <c r="A1234" s="2">
        <v>24148862</v>
      </c>
      <c r="B1234" s="2">
        <v>2414886201</v>
      </c>
      <c r="C1234" s="2">
        <v>1</v>
      </c>
      <c r="D1234" s="2">
        <v>2021</v>
      </c>
      <c r="E1234" s="2">
        <v>1</v>
      </c>
      <c r="F1234" s="2">
        <v>1.04</v>
      </c>
      <c r="G1234" s="2">
        <v>81.459999999999994</v>
      </c>
      <c r="H1234" s="2" t="str">
        <f>VLOOKUP(qhkz_4dqm[[#This Row],[fuel_type]],lookup!A:B,2,FALSE)</f>
        <v>Gasoline</v>
      </c>
      <c r="I1234" s="2">
        <f ca="1">YEAR(TODAY())-qhkz_4dqm[[#This Row],[year]]</f>
        <v>5</v>
      </c>
      <c r="J1234" s="2" t="str" cm="1">
        <f t="array" aca="1" ref="J1234" ca="1">_xlfn.IFS(qhkz_4dqm[[#This Row],[vehicle_age]]&lt;=3,"Newer",qhkz_4dqm[[#This Row],[vehicle_age]]&lt;=9,"Mid-age",qhkz_4dqm[[#This Row],[vehicle_age]]&lt;=19,"Older",qhkz_4dqm[[#This Row],[vehicle_age]]&gt;=20,"Very Old")</f>
        <v>Mid-age</v>
      </c>
    </row>
    <row r="1235" spans="1:10">
      <c r="A1235" s="2">
        <v>24148866</v>
      </c>
      <c r="B1235" s="2">
        <v>2414886601</v>
      </c>
      <c r="C1235" s="2">
        <v>1</v>
      </c>
      <c r="D1235" s="2">
        <v>2010</v>
      </c>
      <c r="E1235" s="2">
        <v>1</v>
      </c>
      <c r="F1235" s="2">
        <v>1862.23</v>
      </c>
      <c r="G1235" s="2">
        <v>2140.54</v>
      </c>
      <c r="H1235" s="2" t="str">
        <f>VLOOKUP(qhkz_4dqm[[#This Row],[fuel_type]],lookup!A:B,2,FALSE)</f>
        <v>Gasoline</v>
      </c>
      <c r="I1235" s="2">
        <f ca="1">YEAR(TODAY())-qhkz_4dqm[[#This Row],[year]]</f>
        <v>16</v>
      </c>
      <c r="J1235" s="2" t="str" cm="1">
        <f t="array" aca="1" ref="J1235" ca="1">_xlfn.IFS(qhkz_4dqm[[#This Row],[vehicle_age]]&lt;=3,"Newer",qhkz_4dqm[[#This Row],[vehicle_age]]&lt;=9,"Mid-age",qhkz_4dqm[[#This Row],[vehicle_age]]&lt;=19,"Older",qhkz_4dqm[[#This Row],[vehicle_age]]&gt;=20,"Very Old")</f>
        <v>Older</v>
      </c>
    </row>
    <row r="1236" spans="1:10">
      <c r="A1236" s="2">
        <v>24148881</v>
      </c>
      <c r="B1236" s="2">
        <v>2414888101</v>
      </c>
      <c r="C1236" s="2">
        <v>1</v>
      </c>
      <c r="D1236" s="2">
        <v>2016</v>
      </c>
      <c r="E1236" s="2">
        <v>1</v>
      </c>
      <c r="F1236" s="2">
        <v>192.72</v>
      </c>
      <c r="G1236" s="2">
        <v>528.6</v>
      </c>
      <c r="H1236" s="2" t="str">
        <f>VLOOKUP(qhkz_4dqm[[#This Row],[fuel_type]],lookup!A:B,2,FALSE)</f>
        <v>Gasoline</v>
      </c>
      <c r="I1236" s="2">
        <f ca="1">YEAR(TODAY())-qhkz_4dqm[[#This Row],[year]]</f>
        <v>10</v>
      </c>
      <c r="J1236" s="2" t="str" cm="1">
        <f t="array" aca="1" ref="J1236" ca="1">_xlfn.IFS(qhkz_4dqm[[#This Row],[vehicle_age]]&lt;=3,"Newer",qhkz_4dqm[[#This Row],[vehicle_age]]&lt;=9,"Mid-age",qhkz_4dqm[[#This Row],[vehicle_age]]&lt;=19,"Older",qhkz_4dqm[[#This Row],[vehicle_age]]&gt;=20,"Very Old")</f>
        <v>Older</v>
      </c>
    </row>
    <row r="1237" spans="1:10">
      <c r="A1237" s="2">
        <v>24148910</v>
      </c>
      <c r="B1237" s="2">
        <v>2414891001</v>
      </c>
      <c r="C1237" s="2">
        <v>1</v>
      </c>
      <c r="D1237" s="2">
        <v>2021</v>
      </c>
      <c r="E1237" s="2">
        <v>1</v>
      </c>
      <c r="F1237" s="2">
        <v>410</v>
      </c>
      <c r="G1237" s="2">
        <v>1464.38</v>
      </c>
      <c r="H1237" s="2" t="str">
        <f>VLOOKUP(qhkz_4dqm[[#This Row],[fuel_type]],lookup!A:B,2,FALSE)</f>
        <v>Gasoline</v>
      </c>
      <c r="I1237" s="2">
        <f ca="1">YEAR(TODAY())-qhkz_4dqm[[#This Row],[year]]</f>
        <v>5</v>
      </c>
      <c r="J1237" s="2" t="str" cm="1">
        <f t="array" aca="1" ref="J1237" ca="1">_xlfn.IFS(qhkz_4dqm[[#This Row],[vehicle_age]]&lt;=3,"Newer",qhkz_4dqm[[#This Row],[vehicle_age]]&lt;=9,"Mid-age",qhkz_4dqm[[#This Row],[vehicle_age]]&lt;=19,"Older",qhkz_4dqm[[#This Row],[vehicle_age]]&gt;=20,"Very Old")</f>
        <v>Mid-age</v>
      </c>
    </row>
    <row r="1238" spans="1:10">
      <c r="A1238" s="2">
        <v>24148926</v>
      </c>
      <c r="B1238" s="2">
        <v>2414892601</v>
      </c>
      <c r="C1238" s="2">
        <v>1</v>
      </c>
      <c r="D1238" s="2">
        <v>2012</v>
      </c>
      <c r="E1238" s="2">
        <v>1</v>
      </c>
      <c r="F1238" s="2">
        <v>3106</v>
      </c>
      <c r="G1238" s="2">
        <v>4355.25</v>
      </c>
      <c r="H1238" s="2" t="str">
        <f>VLOOKUP(qhkz_4dqm[[#This Row],[fuel_type]],lookup!A:B,2,FALSE)</f>
        <v>Gasoline</v>
      </c>
      <c r="I1238" s="2">
        <f ca="1">YEAR(TODAY())-qhkz_4dqm[[#This Row],[year]]</f>
        <v>14</v>
      </c>
      <c r="J1238" s="2" t="str" cm="1">
        <f t="array" aca="1" ref="J1238" ca="1">_xlfn.IFS(qhkz_4dqm[[#This Row],[vehicle_age]]&lt;=3,"Newer",qhkz_4dqm[[#This Row],[vehicle_age]]&lt;=9,"Mid-age",qhkz_4dqm[[#This Row],[vehicle_age]]&lt;=19,"Older",qhkz_4dqm[[#This Row],[vehicle_age]]&gt;=20,"Very Old")</f>
        <v>Older</v>
      </c>
    </row>
    <row r="1239" spans="1:10">
      <c r="A1239" s="2">
        <v>24148936</v>
      </c>
      <c r="B1239" s="2">
        <v>2414893601</v>
      </c>
      <c r="C1239" s="2">
        <v>1</v>
      </c>
      <c r="D1239" s="2">
        <v>2007</v>
      </c>
      <c r="E1239" s="2">
        <v>1</v>
      </c>
      <c r="F1239" s="2">
        <v>664.67</v>
      </c>
      <c r="G1239" s="2">
        <v>258.10000000000002</v>
      </c>
      <c r="H1239" s="2" t="str">
        <f>VLOOKUP(qhkz_4dqm[[#This Row],[fuel_type]],lookup!A:B,2,FALSE)</f>
        <v>Gasoline</v>
      </c>
      <c r="I1239" s="2">
        <f ca="1">YEAR(TODAY())-qhkz_4dqm[[#This Row],[year]]</f>
        <v>19</v>
      </c>
      <c r="J1239" s="2" t="str" cm="1">
        <f t="array" aca="1" ref="J1239" ca="1">_xlfn.IFS(qhkz_4dqm[[#This Row],[vehicle_age]]&lt;=3,"Newer",qhkz_4dqm[[#This Row],[vehicle_age]]&lt;=9,"Mid-age",qhkz_4dqm[[#This Row],[vehicle_age]]&lt;=19,"Older",qhkz_4dqm[[#This Row],[vehicle_age]]&gt;=20,"Very Old")</f>
        <v>Older</v>
      </c>
    </row>
    <row r="1240" spans="1:10">
      <c r="A1240" s="2">
        <v>24148938</v>
      </c>
      <c r="B1240" s="2">
        <v>2414893801</v>
      </c>
      <c r="C1240" s="2">
        <v>1</v>
      </c>
      <c r="D1240" s="2">
        <v>2021</v>
      </c>
      <c r="E1240" s="2">
        <v>1</v>
      </c>
      <c r="F1240" s="2">
        <v>1.84</v>
      </c>
      <c r="G1240" s="2">
        <v>853.23</v>
      </c>
      <c r="H1240" s="2" t="str">
        <f>VLOOKUP(qhkz_4dqm[[#This Row],[fuel_type]],lookup!A:B,2,FALSE)</f>
        <v>Gasoline</v>
      </c>
      <c r="I1240" s="2">
        <f ca="1">YEAR(TODAY())-qhkz_4dqm[[#This Row],[year]]</f>
        <v>5</v>
      </c>
      <c r="J1240" s="2" t="str" cm="1">
        <f t="array" aca="1" ref="J1240" ca="1">_xlfn.IFS(qhkz_4dqm[[#This Row],[vehicle_age]]&lt;=3,"Newer",qhkz_4dqm[[#This Row],[vehicle_age]]&lt;=9,"Mid-age",qhkz_4dqm[[#This Row],[vehicle_age]]&lt;=19,"Older",qhkz_4dqm[[#This Row],[vehicle_age]]&gt;=20,"Very Old")</f>
        <v>Mid-age</v>
      </c>
    </row>
    <row r="1241" spans="1:10">
      <c r="A1241" s="2">
        <v>24148940</v>
      </c>
      <c r="B1241" s="2">
        <v>2414894001</v>
      </c>
      <c r="C1241" s="2">
        <v>1</v>
      </c>
      <c r="D1241" s="2">
        <v>2013</v>
      </c>
      <c r="E1241" s="2">
        <v>1</v>
      </c>
      <c r="F1241" s="2">
        <v>255.35</v>
      </c>
      <c r="G1241" s="2">
        <v>386.72</v>
      </c>
      <c r="H1241" s="2" t="str">
        <f>VLOOKUP(qhkz_4dqm[[#This Row],[fuel_type]],lookup!A:B,2,FALSE)</f>
        <v>Gasoline</v>
      </c>
      <c r="I1241" s="2">
        <f ca="1">YEAR(TODAY())-qhkz_4dqm[[#This Row],[year]]</f>
        <v>13</v>
      </c>
      <c r="J1241" s="2" t="str" cm="1">
        <f t="array" aca="1" ref="J1241" ca="1">_xlfn.IFS(qhkz_4dqm[[#This Row],[vehicle_age]]&lt;=3,"Newer",qhkz_4dqm[[#This Row],[vehicle_age]]&lt;=9,"Mid-age",qhkz_4dqm[[#This Row],[vehicle_age]]&lt;=19,"Older",qhkz_4dqm[[#This Row],[vehicle_age]]&gt;=20,"Very Old")</f>
        <v>Older</v>
      </c>
    </row>
    <row r="1242" spans="1:10">
      <c r="A1242" s="2">
        <v>24148969</v>
      </c>
      <c r="B1242" s="2">
        <v>2414896901</v>
      </c>
      <c r="C1242" s="2">
        <v>1</v>
      </c>
      <c r="D1242" s="2">
        <v>2002</v>
      </c>
      <c r="E1242" s="2">
        <v>1</v>
      </c>
      <c r="F1242" s="2">
        <v>580.44000000000005</v>
      </c>
      <c r="G1242" s="2">
        <v>791.98</v>
      </c>
      <c r="H1242" s="2" t="str">
        <f>VLOOKUP(qhkz_4dqm[[#This Row],[fuel_type]],lookup!A:B,2,FALSE)</f>
        <v>Gasoline</v>
      </c>
      <c r="I1242" s="2">
        <f ca="1">YEAR(TODAY())-qhkz_4dqm[[#This Row],[year]]</f>
        <v>24</v>
      </c>
      <c r="J1242" s="2" t="str" cm="1">
        <f t="array" aca="1" ref="J1242" ca="1">_xlfn.IFS(qhkz_4dqm[[#This Row],[vehicle_age]]&lt;=3,"Newer",qhkz_4dqm[[#This Row],[vehicle_age]]&lt;=9,"Mid-age",qhkz_4dqm[[#This Row],[vehicle_age]]&lt;=19,"Older",qhkz_4dqm[[#This Row],[vehicle_age]]&gt;=20,"Very Old")</f>
        <v>Very Old</v>
      </c>
    </row>
    <row r="1243" spans="1:10">
      <c r="A1243" s="2">
        <v>24148971</v>
      </c>
      <c r="B1243" s="2">
        <v>2414897101</v>
      </c>
      <c r="C1243" s="2">
        <v>1</v>
      </c>
      <c r="D1243" s="2">
        <v>2023</v>
      </c>
      <c r="E1243" s="2">
        <v>1</v>
      </c>
      <c r="F1243" s="2">
        <v>502.06</v>
      </c>
      <c r="G1243" s="2">
        <v>217.51</v>
      </c>
      <c r="H1243" s="2" t="str">
        <f>VLOOKUP(qhkz_4dqm[[#This Row],[fuel_type]],lookup!A:B,2,FALSE)</f>
        <v>Gasoline</v>
      </c>
      <c r="I1243" s="2">
        <f ca="1">YEAR(TODAY())-qhkz_4dqm[[#This Row],[year]]</f>
        <v>3</v>
      </c>
      <c r="J1243" s="2" t="str" cm="1">
        <f t="array" aca="1" ref="J1243" ca="1">_xlfn.IFS(qhkz_4dqm[[#This Row],[vehicle_age]]&lt;=3,"Newer",qhkz_4dqm[[#This Row],[vehicle_age]]&lt;=9,"Mid-age",qhkz_4dqm[[#This Row],[vehicle_age]]&lt;=19,"Older",qhkz_4dqm[[#This Row],[vehicle_age]]&gt;=20,"Very Old")</f>
        <v>Newer</v>
      </c>
    </row>
    <row r="1244" spans="1:10">
      <c r="A1244" s="2">
        <v>24148972</v>
      </c>
      <c r="B1244" s="2">
        <v>2414897201</v>
      </c>
      <c r="C1244" s="2">
        <v>1</v>
      </c>
      <c r="D1244" s="2">
        <v>2021</v>
      </c>
      <c r="E1244" s="2">
        <v>1</v>
      </c>
      <c r="F1244" s="2">
        <v>82.44</v>
      </c>
      <c r="G1244" s="2">
        <v>270.97000000000003</v>
      </c>
      <c r="H1244" s="2" t="str">
        <f>VLOOKUP(qhkz_4dqm[[#This Row],[fuel_type]],lookup!A:B,2,FALSE)</f>
        <v>Gasoline</v>
      </c>
      <c r="I1244" s="2">
        <f ca="1">YEAR(TODAY())-qhkz_4dqm[[#This Row],[year]]</f>
        <v>5</v>
      </c>
      <c r="J1244" s="2" t="str" cm="1">
        <f t="array" aca="1" ref="J1244" ca="1">_xlfn.IFS(qhkz_4dqm[[#This Row],[vehicle_age]]&lt;=3,"Newer",qhkz_4dqm[[#This Row],[vehicle_age]]&lt;=9,"Mid-age",qhkz_4dqm[[#This Row],[vehicle_age]]&lt;=19,"Older",qhkz_4dqm[[#This Row],[vehicle_age]]&gt;=20,"Very Old")</f>
        <v>Mid-age</v>
      </c>
    </row>
    <row r="1245" spans="1:10">
      <c r="A1245" s="2">
        <v>24148979</v>
      </c>
      <c r="B1245" s="2">
        <v>2414897901</v>
      </c>
      <c r="C1245" s="2">
        <v>1</v>
      </c>
      <c r="D1245" s="2">
        <v>2023</v>
      </c>
      <c r="E1245" s="2">
        <v>1</v>
      </c>
      <c r="F1245" s="2">
        <v>0.92</v>
      </c>
      <c r="G1245" s="2">
        <v>201.38</v>
      </c>
      <c r="H1245" s="2" t="str">
        <f>VLOOKUP(qhkz_4dqm[[#This Row],[fuel_type]],lookup!A:B,2,FALSE)</f>
        <v>Gasoline</v>
      </c>
      <c r="I1245" s="2">
        <f ca="1">YEAR(TODAY())-qhkz_4dqm[[#This Row],[year]]</f>
        <v>3</v>
      </c>
      <c r="J1245" s="2" t="str" cm="1">
        <f t="array" aca="1" ref="J1245" ca="1">_xlfn.IFS(qhkz_4dqm[[#This Row],[vehicle_age]]&lt;=3,"Newer",qhkz_4dqm[[#This Row],[vehicle_age]]&lt;=9,"Mid-age",qhkz_4dqm[[#This Row],[vehicle_age]]&lt;=19,"Older",qhkz_4dqm[[#This Row],[vehicle_age]]&gt;=20,"Very Old")</f>
        <v>Newer</v>
      </c>
    </row>
    <row r="1246" spans="1:10">
      <c r="A1246" s="2">
        <v>24149003</v>
      </c>
      <c r="B1246" s="2">
        <v>2414900301</v>
      </c>
      <c r="C1246" s="2">
        <v>1</v>
      </c>
      <c r="D1246" s="2">
        <v>2003</v>
      </c>
      <c r="E1246" s="2">
        <v>1</v>
      </c>
      <c r="F1246" s="2">
        <v>5470.16</v>
      </c>
      <c r="G1246" s="2">
        <v>4563</v>
      </c>
      <c r="H1246" s="2" t="str">
        <f>VLOOKUP(qhkz_4dqm[[#This Row],[fuel_type]],lookup!A:B,2,FALSE)</f>
        <v>Gasoline</v>
      </c>
      <c r="I1246" s="2">
        <f ca="1">YEAR(TODAY())-qhkz_4dqm[[#This Row],[year]]</f>
        <v>23</v>
      </c>
      <c r="J1246" s="2" t="str" cm="1">
        <f t="array" aca="1" ref="J1246" ca="1">_xlfn.IFS(qhkz_4dqm[[#This Row],[vehicle_age]]&lt;=3,"Newer",qhkz_4dqm[[#This Row],[vehicle_age]]&lt;=9,"Mid-age",qhkz_4dqm[[#This Row],[vehicle_age]]&lt;=19,"Older",qhkz_4dqm[[#This Row],[vehicle_age]]&gt;=20,"Very Old")</f>
        <v>Very Old</v>
      </c>
    </row>
    <row r="1247" spans="1:10">
      <c r="A1247" s="2">
        <v>24149015</v>
      </c>
      <c r="B1247" s="2">
        <v>2414901501</v>
      </c>
      <c r="C1247" s="2">
        <v>1</v>
      </c>
      <c r="D1247" s="2">
        <v>2020</v>
      </c>
      <c r="E1247" s="2">
        <v>1</v>
      </c>
      <c r="F1247" s="2">
        <v>0.92</v>
      </c>
      <c r="G1247" s="2">
        <v>231.24</v>
      </c>
      <c r="H1247" s="2" t="str">
        <f>VLOOKUP(qhkz_4dqm[[#This Row],[fuel_type]],lookup!A:B,2,FALSE)</f>
        <v>Gasoline</v>
      </c>
      <c r="I1247" s="2">
        <f ca="1">YEAR(TODAY())-qhkz_4dqm[[#This Row],[year]]</f>
        <v>6</v>
      </c>
      <c r="J1247" s="2" t="str" cm="1">
        <f t="array" aca="1" ref="J1247" ca="1">_xlfn.IFS(qhkz_4dqm[[#This Row],[vehicle_age]]&lt;=3,"Newer",qhkz_4dqm[[#This Row],[vehicle_age]]&lt;=9,"Mid-age",qhkz_4dqm[[#This Row],[vehicle_age]]&lt;=19,"Older",qhkz_4dqm[[#This Row],[vehicle_age]]&gt;=20,"Very Old")</f>
        <v>Mid-age</v>
      </c>
    </row>
    <row r="1248" spans="1:10">
      <c r="A1248" s="2">
        <v>24149034</v>
      </c>
      <c r="B1248" s="2">
        <v>2414903401</v>
      </c>
      <c r="C1248" s="2">
        <v>1</v>
      </c>
      <c r="D1248" s="2">
        <v>2021</v>
      </c>
      <c r="E1248" s="2">
        <v>1</v>
      </c>
      <c r="F1248" s="2">
        <v>748.78</v>
      </c>
      <c r="G1248" s="2">
        <v>768.6</v>
      </c>
      <c r="H1248" s="2" t="str">
        <f>VLOOKUP(qhkz_4dqm[[#This Row],[fuel_type]],lookup!A:B,2,FALSE)</f>
        <v>Gasoline</v>
      </c>
      <c r="I1248" s="2">
        <f ca="1">YEAR(TODAY())-qhkz_4dqm[[#This Row],[year]]</f>
        <v>5</v>
      </c>
      <c r="J1248" s="2" t="str" cm="1">
        <f t="array" aca="1" ref="J1248" ca="1">_xlfn.IFS(qhkz_4dqm[[#This Row],[vehicle_age]]&lt;=3,"Newer",qhkz_4dqm[[#This Row],[vehicle_age]]&lt;=9,"Mid-age",qhkz_4dqm[[#This Row],[vehicle_age]]&lt;=19,"Older",qhkz_4dqm[[#This Row],[vehicle_age]]&gt;=20,"Very Old")</f>
        <v>Mid-age</v>
      </c>
    </row>
    <row r="1249" spans="1:10">
      <c r="A1249" s="2">
        <v>24149036</v>
      </c>
      <c r="B1249" s="2">
        <v>2414903601</v>
      </c>
      <c r="C1249" s="2">
        <v>1</v>
      </c>
      <c r="D1249" s="2">
        <v>2013</v>
      </c>
      <c r="E1249" s="2">
        <v>1</v>
      </c>
      <c r="F1249" s="2">
        <v>1434.83</v>
      </c>
      <c r="G1249" s="2">
        <v>1411.29</v>
      </c>
      <c r="H1249" s="2" t="str">
        <f>VLOOKUP(qhkz_4dqm[[#This Row],[fuel_type]],lookup!A:B,2,FALSE)</f>
        <v>Gasoline</v>
      </c>
      <c r="I1249" s="2">
        <f ca="1">YEAR(TODAY())-qhkz_4dqm[[#This Row],[year]]</f>
        <v>13</v>
      </c>
      <c r="J1249" s="2" t="str" cm="1">
        <f t="array" aca="1" ref="J1249" ca="1">_xlfn.IFS(qhkz_4dqm[[#This Row],[vehicle_age]]&lt;=3,"Newer",qhkz_4dqm[[#This Row],[vehicle_age]]&lt;=9,"Mid-age",qhkz_4dqm[[#This Row],[vehicle_age]]&lt;=19,"Older",qhkz_4dqm[[#This Row],[vehicle_age]]&gt;=20,"Very Old")</f>
        <v>Older</v>
      </c>
    </row>
    <row r="1250" spans="1:10">
      <c r="A1250" s="2">
        <v>24149047</v>
      </c>
      <c r="B1250" s="2">
        <v>2414904701</v>
      </c>
      <c r="C1250" s="2">
        <v>1</v>
      </c>
      <c r="D1250" s="2">
        <v>2015</v>
      </c>
      <c r="E1250" s="2">
        <v>1</v>
      </c>
      <c r="F1250" s="2">
        <v>14.64</v>
      </c>
      <c r="G1250" s="2">
        <v>150.69999999999999</v>
      </c>
      <c r="H1250" s="2" t="str">
        <f>VLOOKUP(qhkz_4dqm[[#This Row],[fuel_type]],lookup!A:B,2,FALSE)</f>
        <v>Gasoline</v>
      </c>
      <c r="I1250" s="2">
        <f ca="1">YEAR(TODAY())-qhkz_4dqm[[#This Row],[year]]</f>
        <v>11</v>
      </c>
      <c r="J1250" s="2" t="str" cm="1">
        <f t="array" aca="1" ref="J1250" ca="1">_xlfn.IFS(qhkz_4dqm[[#This Row],[vehicle_age]]&lt;=3,"Newer",qhkz_4dqm[[#This Row],[vehicle_age]]&lt;=9,"Mid-age",qhkz_4dqm[[#This Row],[vehicle_age]]&lt;=19,"Older",qhkz_4dqm[[#This Row],[vehicle_age]]&gt;=20,"Very Old")</f>
        <v>Older</v>
      </c>
    </row>
    <row r="1251" spans="1:10">
      <c r="A1251" s="2">
        <v>24149050</v>
      </c>
      <c r="B1251" s="2">
        <v>2414905001</v>
      </c>
      <c r="C1251" s="2">
        <v>1</v>
      </c>
      <c r="D1251" s="2">
        <v>2020</v>
      </c>
      <c r="E1251" s="2">
        <v>1</v>
      </c>
      <c r="F1251" s="2">
        <v>201.25</v>
      </c>
      <c r="G1251" s="2">
        <v>372.43</v>
      </c>
      <c r="H1251" s="2" t="str">
        <f>VLOOKUP(qhkz_4dqm[[#This Row],[fuel_type]],lookup!A:B,2,FALSE)</f>
        <v>Gasoline</v>
      </c>
      <c r="I1251" s="2">
        <f ca="1">YEAR(TODAY())-qhkz_4dqm[[#This Row],[year]]</f>
        <v>6</v>
      </c>
      <c r="J1251" s="2" t="str" cm="1">
        <f t="array" aca="1" ref="J1251" ca="1">_xlfn.IFS(qhkz_4dqm[[#This Row],[vehicle_age]]&lt;=3,"Newer",qhkz_4dqm[[#This Row],[vehicle_age]]&lt;=9,"Mid-age",qhkz_4dqm[[#This Row],[vehicle_age]]&lt;=19,"Older",qhkz_4dqm[[#This Row],[vehicle_age]]&gt;=20,"Very Old")</f>
        <v>Mid-age</v>
      </c>
    </row>
    <row r="1252" spans="1:10">
      <c r="A1252" s="2">
        <v>24149053</v>
      </c>
      <c r="B1252" s="2">
        <v>2414905301</v>
      </c>
      <c r="C1252" s="2">
        <v>1</v>
      </c>
      <c r="D1252" s="2">
        <v>2019</v>
      </c>
      <c r="E1252" s="2">
        <v>1</v>
      </c>
      <c r="F1252" s="2">
        <v>411.49</v>
      </c>
      <c r="G1252" s="2">
        <v>543</v>
      </c>
      <c r="H1252" s="2" t="str">
        <f>VLOOKUP(qhkz_4dqm[[#This Row],[fuel_type]],lookup!A:B,2,FALSE)</f>
        <v>Gasoline</v>
      </c>
      <c r="I1252" s="2">
        <f ca="1">YEAR(TODAY())-qhkz_4dqm[[#This Row],[year]]</f>
        <v>7</v>
      </c>
      <c r="J1252" s="2" t="str" cm="1">
        <f t="array" aca="1" ref="J1252" ca="1">_xlfn.IFS(qhkz_4dqm[[#This Row],[vehicle_age]]&lt;=3,"Newer",qhkz_4dqm[[#This Row],[vehicle_age]]&lt;=9,"Mid-age",qhkz_4dqm[[#This Row],[vehicle_age]]&lt;=19,"Older",qhkz_4dqm[[#This Row],[vehicle_age]]&gt;=20,"Very Old")</f>
        <v>Mid-age</v>
      </c>
    </row>
    <row r="1253" spans="1:10">
      <c r="A1253" s="2">
        <v>24149055</v>
      </c>
      <c r="B1253" s="2">
        <v>2414905501</v>
      </c>
      <c r="C1253" s="2">
        <v>1</v>
      </c>
      <c r="D1253" s="2">
        <v>2022</v>
      </c>
      <c r="E1253" s="2">
        <v>2</v>
      </c>
      <c r="F1253" s="2">
        <v>539.29</v>
      </c>
      <c r="G1253" s="2">
        <v>444.79</v>
      </c>
      <c r="H1253" s="2" t="str">
        <f>VLOOKUP(qhkz_4dqm[[#This Row],[fuel_type]],lookup!A:B,2,FALSE)</f>
        <v>Diesel</v>
      </c>
      <c r="I1253" s="2">
        <f ca="1">YEAR(TODAY())-qhkz_4dqm[[#This Row],[year]]</f>
        <v>4</v>
      </c>
      <c r="J1253" s="2" t="str" cm="1">
        <f t="array" aca="1" ref="J1253" ca="1">_xlfn.IFS(qhkz_4dqm[[#This Row],[vehicle_age]]&lt;=3,"Newer",qhkz_4dqm[[#This Row],[vehicle_age]]&lt;=9,"Mid-age",qhkz_4dqm[[#This Row],[vehicle_age]]&lt;=19,"Older",qhkz_4dqm[[#This Row],[vehicle_age]]&gt;=20,"Very Old")</f>
        <v>Mid-age</v>
      </c>
    </row>
    <row r="1254" spans="1:10">
      <c r="A1254" s="2">
        <v>24149057</v>
      </c>
      <c r="B1254" s="2">
        <v>2414905701</v>
      </c>
      <c r="C1254" s="2">
        <v>1</v>
      </c>
      <c r="D1254" s="2">
        <v>2017</v>
      </c>
      <c r="E1254" s="2">
        <v>1</v>
      </c>
      <c r="F1254" s="2">
        <v>70.84</v>
      </c>
      <c r="G1254" s="2">
        <v>231.74</v>
      </c>
      <c r="H1254" s="2" t="str">
        <f>VLOOKUP(qhkz_4dqm[[#This Row],[fuel_type]],lookup!A:B,2,FALSE)</f>
        <v>Gasoline</v>
      </c>
      <c r="I1254" s="2">
        <f ca="1">YEAR(TODAY())-qhkz_4dqm[[#This Row],[year]]</f>
        <v>9</v>
      </c>
      <c r="J1254" s="2" t="str" cm="1">
        <f t="array" aca="1" ref="J1254" ca="1">_xlfn.IFS(qhkz_4dqm[[#This Row],[vehicle_age]]&lt;=3,"Newer",qhkz_4dqm[[#This Row],[vehicle_age]]&lt;=9,"Mid-age",qhkz_4dqm[[#This Row],[vehicle_age]]&lt;=19,"Older",qhkz_4dqm[[#This Row],[vehicle_age]]&gt;=20,"Very Old")</f>
        <v>Mid-age</v>
      </c>
    </row>
    <row r="1255" spans="1:10">
      <c r="A1255" s="2">
        <v>24149069</v>
      </c>
      <c r="B1255" s="2">
        <v>2414906901</v>
      </c>
      <c r="C1255" s="2">
        <v>1</v>
      </c>
      <c r="D1255" s="2">
        <v>2018</v>
      </c>
      <c r="E1255" s="2">
        <v>2</v>
      </c>
      <c r="F1255" s="2">
        <v>469.31</v>
      </c>
      <c r="G1255" s="2">
        <v>379.84</v>
      </c>
      <c r="H1255" s="2" t="str">
        <f>VLOOKUP(qhkz_4dqm[[#This Row],[fuel_type]],lookup!A:B,2,FALSE)</f>
        <v>Diesel</v>
      </c>
      <c r="I1255" s="2">
        <f ca="1">YEAR(TODAY())-qhkz_4dqm[[#This Row],[year]]</f>
        <v>8</v>
      </c>
      <c r="J1255" s="2" t="str" cm="1">
        <f t="array" aca="1" ref="J1255" ca="1">_xlfn.IFS(qhkz_4dqm[[#This Row],[vehicle_age]]&lt;=3,"Newer",qhkz_4dqm[[#This Row],[vehicle_age]]&lt;=9,"Mid-age",qhkz_4dqm[[#This Row],[vehicle_age]]&lt;=19,"Older",qhkz_4dqm[[#This Row],[vehicle_age]]&gt;=20,"Very Old")</f>
        <v>Mid-age</v>
      </c>
    </row>
    <row r="1256" spans="1:10">
      <c r="A1256" s="2">
        <v>24149081</v>
      </c>
      <c r="B1256" s="2">
        <v>2414908101</v>
      </c>
      <c r="C1256" s="2">
        <v>1</v>
      </c>
      <c r="D1256" s="2">
        <v>2018</v>
      </c>
      <c r="E1256" s="2">
        <v>1</v>
      </c>
      <c r="F1256" s="2">
        <v>723.55</v>
      </c>
      <c r="G1256" s="2">
        <v>361.27</v>
      </c>
      <c r="H1256" s="2" t="str">
        <f>VLOOKUP(qhkz_4dqm[[#This Row],[fuel_type]],lookup!A:B,2,FALSE)</f>
        <v>Gasoline</v>
      </c>
      <c r="I1256" s="2">
        <f ca="1">YEAR(TODAY())-qhkz_4dqm[[#This Row],[year]]</f>
        <v>8</v>
      </c>
      <c r="J1256" s="2" t="str" cm="1">
        <f t="array" aca="1" ref="J1256" ca="1">_xlfn.IFS(qhkz_4dqm[[#This Row],[vehicle_age]]&lt;=3,"Newer",qhkz_4dqm[[#This Row],[vehicle_age]]&lt;=9,"Mid-age",qhkz_4dqm[[#This Row],[vehicle_age]]&lt;=19,"Older",qhkz_4dqm[[#This Row],[vehicle_age]]&gt;=20,"Very Old")</f>
        <v>Mid-age</v>
      </c>
    </row>
    <row r="1257" spans="1:10">
      <c r="A1257" s="2">
        <v>24149097</v>
      </c>
      <c r="B1257" s="2">
        <v>2414909701</v>
      </c>
      <c r="C1257" s="2">
        <v>1</v>
      </c>
      <c r="D1257" s="2">
        <v>2010</v>
      </c>
      <c r="E1257" s="2">
        <v>1</v>
      </c>
      <c r="F1257" s="2">
        <v>11.2</v>
      </c>
      <c r="G1257" s="2">
        <v>141.19999999999999</v>
      </c>
      <c r="H1257" s="2" t="str">
        <f>VLOOKUP(qhkz_4dqm[[#This Row],[fuel_type]],lookup!A:B,2,FALSE)</f>
        <v>Gasoline</v>
      </c>
      <c r="I1257" s="2">
        <f ca="1">YEAR(TODAY())-qhkz_4dqm[[#This Row],[year]]</f>
        <v>16</v>
      </c>
      <c r="J1257" s="2" t="str" cm="1">
        <f t="array" aca="1" ref="J1257" ca="1">_xlfn.IFS(qhkz_4dqm[[#This Row],[vehicle_age]]&lt;=3,"Newer",qhkz_4dqm[[#This Row],[vehicle_age]]&lt;=9,"Mid-age",qhkz_4dqm[[#This Row],[vehicle_age]]&lt;=19,"Older",qhkz_4dqm[[#This Row],[vehicle_age]]&gt;=20,"Very Old")</f>
        <v>Older</v>
      </c>
    </row>
    <row r="1258" spans="1:10">
      <c r="A1258" s="2">
        <v>24149102</v>
      </c>
      <c r="B1258" s="2">
        <v>2414910201</v>
      </c>
      <c r="C1258" s="2">
        <v>1</v>
      </c>
      <c r="D1258" s="2">
        <v>2022</v>
      </c>
      <c r="E1258" s="2">
        <v>1</v>
      </c>
      <c r="F1258" s="2">
        <v>520.05999999999995</v>
      </c>
      <c r="G1258" s="2">
        <v>459.49</v>
      </c>
      <c r="H1258" s="2" t="str">
        <f>VLOOKUP(qhkz_4dqm[[#This Row],[fuel_type]],lookup!A:B,2,FALSE)</f>
        <v>Gasoline</v>
      </c>
      <c r="I1258" s="2">
        <f ca="1">YEAR(TODAY())-qhkz_4dqm[[#This Row],[year]]</f>
        <v>4</v>
      </c>
      <c r="J1258" s="2" t="str" cm="1">
        <f t="array" aca="1" ref="J1258" ca="1">_xlfn.IFS(qhkz_4dqm[[#This Row],[vehicle_age]]&lt;=3,"Newer",qhkz_4dqm[[#This Row],[vehicle_age]]&lt;=9,"Mid-age",qhkz_4dqm[[#This Row],[vehicle_age]]&lt;=19,"Older",qhkz_4dqm[[#This Row],[vehicle_age]]&gt;=20,"Very Old")</f>
        <v>Mid-age</v>
      </c>
    </row>
    <row r="1259" spans="1:10">
      <c r="A1259" s="2">
        <v>24149116</v>
      </c>
      <c r="B1259" s="2">
        <v>2414911601</v>
      </c>
      <c r="C1259" s="2">
        <v>1</v>
      </c>
      <c r="D1259" s="2">
        <v>2023</v>
      </c>
      <c r="E1259" s="2">
        <v>1</v>
      </c>
      <c r="F1259" s="2">
        <v>333.1</v>
      </c>
      <c r="G1259" s="2">
        <v>520.09</v>
      </c>
      <c r="H1259" s="2" t="str">
        <f>VLOOKUP(qhkz_4dqm[[#This Row],[fuel_type]],lookup!A:B,2,FALSE)</f>
        <v>Gasoline</v>
      </c>
      <c r="I1259" s="2">
        <f ca="1">YEAR(TODAY())-qhkz_4dqm[[#This Row],[year]]</f>
        <v>3</v>
      </c>
      <c r="J1259" s="2" t="str" cm="1">
        <f t="array" aca="1" ref="J1259" ca="1">_xlfn.IFS(qhkz_4dqm[[#This Row],[vehicle_age]]&lt;=3,"Newer",qhkz_4dqm[[#This Row],[vehicle_age]]&lt;=9,"Mid-age",qhkz_4dqm[[#This Row],[vehicle_age]]&lt;=19,"Older",qhkz_4dqm[[#This Row],[vehicle_age]]&gt;=20,"Very Old")</f>
        <v>Newer</v>
      </c>
    </row>
    <row r="1260" spans="1:10">
      <c r="A1260" s="2">
        <v>24149121</v>
      </c>
      <c r="B1260" s="2">
        <v>2414912101</v>
      </c>
      <c r="C1260" s="2">
        <v>1</v>
      </c>
      <c r="D1260" s="2">
        <v>2012</v>
      </c>
      <c r="E1260" s="2">
        <v>1</v>
      </c>
      <c r="F1260" s="2">
        <v>36.35</v>
      </c>
      <c r="G1260" s="2">
        <v>560.42999999999995</v>
      </c>
      <c r="H1260" s="2" t="str">
        <f>VLOOKUP(qhkz_4dqm[[#This Row],[fuel_type]],lookup!A:B,2,FALSE)</f>
        <v>Gasoline</v>
      </c>
      <c r="I1260" s="2">
        <f ca="1">YEAR(TODAY())-qhkz_4dqm[[#This Row],[year]]</f>
        <v>14</v>
      </c>
      <c r="J1260" s="2" t="str" cm="1">
        <f t="array" aca="1" ref="J1260" ca="1">_xlfn.IFS(qhkz_4dqm[[#This Row],[vehicle_age]]&lt;=3,"Newer",qhkz_4dqm[[#This Row],[vehicle_age]]&lt;=9,"Mid-age",qhkz_4dqm[[#This Row],[vehicle_age]]&lt;=19,"Older",qhkz_4dqm[[#This Row],[vehicle_age]]&gt;=20,"Very Old")</f>
        <v>Older</v>
      </c>
    </row>
    <row r="1261" spans="1:10">
      <c r="A1261" s="2">
        <v>24149130</v>
      </c>
      <c r="B1261" s="2">
        <v>2414913001</v>
      </c>
      <c r="C1261" s="2">
        <v>1</v>
      </c>
      <c r="D1261" s="2">
        <v>2019</v>
      </c>
      <c r="E1261" s="2">
        <v>1</v>
      </c>
      <c r="F1261" s="2">
        <v>382.28</v>
      </c>
      <c r="G1261" s="2">
        <v>456.91</v>
      </c>
      <c r="H1261" s="2" t="str">
        <f>VLOOKUP(qhkz_4dqm[[#This Row],[fuel_type]],lookup!A:B,2,FALSE)</f>
        <v>Gasoline</v>
      </c>
      <c r="I1261" s="2">
        <f ca="1">YEAR(TODAY())-qhkz_4dqm[[#This Row],[year]]</f>
        <v>7</v>
      </c>
      <c r="J1261" s="2" t="str" cm="1">
        <f t="array" aca="1" ref="J1261" ca="1">_xlfn.IFS(qhkz_4dqm[[#This Row],[vehicle_age]]&lt;=3,"Newer",qhkz_4dqm[[#This Row],[vehicle_age]]&lt;=9,"Mid-age",qhkz_4dqm[[#This Row],[vehicle_age]]&lt;=19,"Older",qhkz_4dqm[[#This Row],[vehicle_age]]&gt;=20,"Very Old")</f>
        <v>Mid-age</v>
      </c>
    </row>
    <row r="1262" spans="1:10">
      <c r="A1262" s="2">
        <v>24149140</v>
      </c>
      <c r="B1262" s="2">
        <v>2414914001</v>
      </c>
      <c r="C1262" s="2">
        <v>1</v>
      </c>
      <c r="D1262" s="2">
        <v>2008</v>
      </c>
      <c r="E1262" s="2">
        <v>1</v>
      </c>
      <c r="F1262" s="2">
        <v>4642.45</v>
      </c>
      <c r="G1262" s="2">
        <v>2739.97</v>
      </c>
      <c r="H1262" s="2" t="str">
        <f>VLOOKUP(qhkz_4dqm[[#This Row],[fuel_type]],lookup!A:B,2,FALSE)</f>
        <v>Gasoline</v>
      </c>
      <c r="I1262" s="2">
        <f ca="1">YEAR(TODAY())-qhkz_4dqm[[#This Row],[year]]</f>
        <v>18</v>
      </c>
      <c r="J1262" s="2" t="str" cm="1">
        <f t="array" aca="1" ref="J1262" ca="1">_xlfn.IFS(qhkz_4dqm[[#This Row],[vehicle_age]]&lt;=3,"Newer",qhkz_4dqm[[#This Row],[vehicle_age]]&lt;=9,"Mid-age",qhkz_4dqm[[#This Row],[vehicle_age]]&lt;=19,"Older",qhkz_4dqm[[#This Row],[vehicle_age]]&gt;=20,"Very Old")</f>
        <v>Older</v>
      </c>
    </row>
    <row r="1263" spans="1:10">
      <c r="A1263" s="2">
        <v>24149148</v>
      </c>
      <c r="B1263" s="2">
        <v>2414914801</v>
      </c>
      <c r="C1263" s="2">
        <v>1</v>
      </c>
      <c r="D1263" s="2">
        <v>2021</v>
      </c>
      <c r="E1263" s="2">
        <v>1</v>
      </c>
      <c r="F1263" s="2">
        <v>466.56</v>
      </c>
      <c r="G1263" s="2">
        <v>924.45</v>
      </c>
      <c r="H1263" s="2" t="str">
        <f>VLOOKUP(qhkz_4dqm[[#This Row],[fuel_type]],lookup!A:B,2,FALSE)</f>
        <v>Gasoline</v>
      </c>
      <c r="I1263" s="2">
        <f ca="1">YEAR(TODAY())-qhkz_4dqm[[#This Row],[year]]</f>
        <v>5</v>
      </c>
      <c r="J1263" s="2" t="str" cm="1">
        <f t="array" aca="1" ref="J1263" ca="1">_xlfn.IFS(qhkz_4dqm[[#This Row],[vehicle_age]]&lt;=3,"Newer",qhkz_4dqm[[#This Row],[vehicle_age]]&lt;=9,"Mid-age",qhkz_4dqm[[#This Row],[vehicle_age]]&lt;=19,"Older",qhkz_4dqm[[#This Row],[vehicle_age]]&gt;=20,"Very Old")</f>
        <v>Mid-age</v>
      </c>
    </row>
    <row r="1264" spans="1:10">
      <c r="A1264" s="2">
        <v>24149151</v>
      </c>
      <c r="B1264" s="2">
        <v>2414915101</v>
      </c>
      <c r="C1264" s="2">
        <v>1</v>
      </c>
      <c r="D1264" s="2">
        <v>2000</v>
      </c>
      <c r="E1264" s="2">
        <v>1</v>
      </c>
      <c r="F1264" s="2">
        <v>548.46</v>
      </c>
      <c r="G1264" s="2">
        <v>529.51</v>
      </c>
      <c r="H1264" s="2" t="str">
        <f>VLOOKUP(qhkz_4dqm[[#This Row],[fuel_type]],lookup!A:B,2,FALSE)</f>
        <v>Gasoline</v>
      </c>
      <c r="I1264" s="2">
        <f ca="1">YEAR(TODAY())-qhkz_4dqm[[#This Row],[year]]</f>
        <v>26</v>
      </c>
      <c r="J1264" s="2" t="str" cm="1">
        <f t="array" aca="1" ref="J1264" ca="1">_xlfn.IFS(qhkz_4dqm[[#This Row],[vehicle_age]]&lt;=3,"Newer",qhkz_4dqm[[#This Row],[vehicle_age]]&lt;=9,"Mid-age",qhkz_4dqm[[#This Row],[vehicle_age]]&lt;=19,"Older",qhkz_4dqm[[#This Row],[vehicle_age]]&gt;=20,"Very Old")</f>
        <v>Very Old</v>
      </c>
    </row>
    <row r="1265" spans="1:10">
      <c r="A1265" s="2">
        <v>24149177</v>
      </c>
      <c r="B1265" s="2">
        <v>2414917701</v>
      </c>
      <c r="C1265" s="2">
        <v>1</v>
      </c>
      <c r="D1265" s="2">
        <v>1995</v>
      </c>
      <c r="E1265" s="2">
        <v>1</v>
      </c>
      <c r="F1265" s="2">
        <v>78.099999999999994</v>
      </c>
      <c r="G1265" s="2">
        <v>863.32</v>
      </c>
      <c r="H1265" s="2" t="str">
        <f>VLOOKUP(qhkz_4dqm[[#This Row],[fuel_type]],lookup!A:B,2,FALSE)</f>
        <v>Gasoline</v>
      </c>
      <c r="I1265" s="2">
        <f ca="1">YEAR(TODAY())-qhkz_4dqm[[#This Row],[year]]</f>
        <v>31</v>
      </c>
      <c r="J1265" s="2" t="str" cm="1">
        <f t="array" aca="1" ref="J1265" ca="1">_xlfn.IFS(qhkz_4dqm[[#This Row],[vehicle_age]]&lt;=3,"Newer",qhkz_4dqm[[#This Row],[vehicle_age]]&lt;=9,"Mid-age",qhkz_4dqm[[#This Row],[vehicle_age]]&lt;=19,"Older",qhkz_4dqm[[#This Row],[vehicle_age]]&gt;=20,"Very Old")</f>
        <v>Very Old</v>
      </c>
    </row>
    <row r="1266" spans="1:10">
      <c r="A1266" s="2">
        <v>24149185</v>
      </c>
      <c r="B1266" s="2">
        <v>2414918501</v>
      </c>
      <c r="C1266" s="2">
        <v>1</v>
      </c>
      <c r="D1266" s="2">
        <v>2018</v>
      </c>
      <c r="E1266" s="2">
        <v>6</v>
      </c>
      <c r="F1266" s="2">
        <v>226.72</v>
      </c>
      <c r="G1266" s="2">
        <v>1330.56</v>
      </c>
      <c r="H1266" s="2" t="str">
        <f>VLOOKUP(qhkz_4dqm[[#This Row],[fuel_type]],lookup!A:B,2,FALSE)</f>
        <v>Other</v>
      </c>
      <c r="I1266" s="2">
        <f ca="1">YEAR(TODAY())-qhkz_4dqm[[#This Row],[year]]</f>
        <v>8</v>
      </c>
      <c r="J1266" s="2" t="str" cm="1">
        <f t="array" aca="1" ref="J1266" ca="1">_xlfn.IFS(qhkz_4dqm[[#This Row],[vehicle_age]]&lt;=3,"Newer",qhkz_4dqm[[#This Row],[vehicle_age]]&lt;=9,"Mid-age",qhkz_4dqm[[#This Row],[vehicle_age]]&lt;=19,"Older",qhkz_4dqm[[#This Row],[vehicle_age]]&gt;=20,"Very Old")</f>
        <v>Mid-age</v>
      </c>
    </row>
    <row r="1267" spans="1:10">
      <c r="A1267" s="2">
        <v>24149187</v>
      </c>
      <c r="B1267" s="2">
        <v>2414918701</v>
      </c>
      <c r="C1267" s="2">
        <v>1</v>
      </c>
      <c r="D1267" s="2">
        <v>2014</v>
      </c>
      <c r="E1267" s="2">
        <v>1</v>
      </c>
      <c r="F1267" s="2">
        <v>161.5</v>
      </c>
      <c r="G1267" s="2">
        <v>334.8</v>
      </c>
      <c r="H1267" s="2" t="str">
        <f>VLOOKUP(qhkz_4dqm[[#This Row],[fuel_type]],lookup!A:B,2,FALSE)</f>
        <v>Gasoline</v>
      </c>
      <c r="I1267" s="2">
        <f ca="1">YEAR(TODAY())-qhkz_4dqm[[#This Row],[year]]</f>
        <v>12</v>
      </c>
      <c r="J1267" s="2" t="str" cm="1">
        <f t="array" aca="1" ref="J1267" ca="1">_xlfn.IFS(qhkz_4dqm[[#This Row],[vehicle_age]]&lt;=3,"Newer",qhkz_4dqm[[#This Row],[vehicle_age]]&lt;=9,"Mid-age",qhkz_4dqm[[#This Row],[vehicle_age]]&lt;=19,"Older",qhkz_4dqm[[#This Row],[vehicle_age]]&gt;=20,"Very Old")</f>
        <v>Older</v>
      </c>
    </row>
    <row r="1268" spans="1:10">
      <c r="A1268" s="2">
        <v>24149191</v>
      </c>
      <c r="B1268" s="2">
        <v>2414919101</v>
      </c>
      <c r="C1268" s="2">
        <v>1</v>
      </c>
      <c r="D1268" s="2">
        <v>2023</v>
      </c>
      <c r="E1268" s="2">
        <v>1</v>
      </c>
      <c r="F1268" s="2">
        <v>1196.08</v>
      </c>
      <c r="G1268" s="2">
        <v>445.56</v>
      </c>
      <c r="H1268" s="2" t="str">
        <f>VLOOKUP(qhkz_4dqm[[#This Row],[fuel_type]],lookup!A:B,2,FALSE)</f>
        <v>Gasoline</v>
      </c>
      <c r="I1268" s="2">
        <f ca="1">YEAR(TODAY())-qhkz_4dqm[[#This Row],[year]]</f>
        <v>3</v>
      </c>
      <c r="J1268" s="2" t="str" cm="1">
        <f t="array" aca="1" ref="J1268" ca="1">_xlfn.IFS(qhkz_4dqm[[#This Row],[vehicle_age]]&lt;=3,"Newer",qhkz_4dqm[[#This Row],[vehicle_age]]&lt;=9,"Mid-age",qhkz_4dqm[[#This Row],[vehicle_age]]&lt;=19,"Older",qhkz_4dqm[[#This Row],[vehicle_age]]&gt;=20,"Very Old")</f>
        <v>Newer</v>
      </c>
    </row>
    <row r="1269" spans="1:10">
      <c r="A1269" s="2">
        <v>24149197</v>
      </c>
      <c r="B1269" s="2">
        <v>2414919701</v>
      </c>
      <c r="C1269" s="2">
        <v>1</v>
      </c>
      <c r="D1269" s="2">
        <v>2002</v>
      </c>
      <c r="E1269" s="2">
        <v>1</v>
      </c>
      <c r="F1269" s="2">
        <v>1502.03</v>
      </c>
      <c r="G1269" s="2">
        <v>2032.06</v>
      </c>
      <c r="H1269" s="2" t="str">
        <f>VLOOKUP(qhkz_4dqm[[#This Row],[fuel_type]],lookup!A:B,2,FALSE)</f>
        <v>Gasoline</v>
      </c>
      <c r="I1269" s="2">
        <f ca="1">YEAR(TODAY())-qhkz_4dqm[[#This Row],[year]]</f>
        <v>24</v>
      </c>
      <c r="J1269" s="2" t="str" cm="1">
        <f t="array" aca="1" ref="J1269" ca="1">_xlfn.IFS(qhkz_4dqm[[#This Row],[vehicle_age]]&lt;=3,"Newer",qhkz_4dqm[[#This Row],[vehicle_age]]&lt;=9,"Mid-age",qhkz_4dqm[[#This Row],[vehicle_age]]&lt;=19,"Older",qhkz_4dqm[[#This Row],[vehicle_age]]&gt;=20,"Very Old")</f>
        <v>Very Old</v>
      </c>
    </row>
    <row r="1270" spans="1:10">
      <c r="A1270" s="2">
        <v>24149198</v>
      </c>
      <c r="B1270" s="2">
        <v>2414919801</v>
      </c>
      <c r="C1270" s="2">
        <v>1</v>
      </c>
      <c r="D1270" s="2">
        <v>2022</v>
      </c>
      <c r="E1270" s="2">
        <v>1</v>
      </c>
      <c r="F1270" s="2">
        <v>513.54</v>
      </c>
      <c r="G1270" s="2">
        <v>290.49</v>
      </c>
      <c r="H1270" s="2" t="str">
        <f>VLOOKUP(qhkz_4dqm[[#This Row],[fuel_type]],lookup!A:B,2,FALSE)</f>
        <v>Gasoline</v>
      </c>
      <c r="I1270" s="2">
        <f ca="1">YEAR(TODAY())-qhkz_4dqm[[#This Row],[year]]</f>
        <v>4</v>
      </c>
      <c r="J1270" s="2" t="str" cm="1">
        <f t="array" aca="1" ref="J1270" ca="1">_xlfn.IFS(qhkz_4dqm[[#This Row],[vehicle_age]]&lt;=3,"Newer",qhkz_4dqm[[#This Row],[vehicle_age]]&lt;=9,"Mid-age",qhkz_4dqm[[#This Row],[vehicle_age]]&lt;=19,"Older",qhkz_4dqm[[#This Row],[vehicle_age]]&gt;=20,"Very Old")</f>
        <v>Mid-age</v>
      </c>
    </row>
    <row r="1271" spans="1:10">
      <c r="A1271" s="2">
        <v>24149199</v>
      </c>
      <c r="B1271" s="2">
        <v>2414919901</v>
      </c>
      <c r="C1271" s="2">
        <v>1</v>
      </c>
      <c r="D1271" s="2">
        <v>2002</v>
      </c>
      <c r="E1271" s="2">
        <v>1</v>
      </c>
      <c r="F1271" s="2">
        <v>345.49</v>
      </c>
      <c r="G1271" s="2">
        <v>339.66</v>
      </c>
      <c r="H1271" s="2" t="str">
        <f>VLOOKUP(qhkz_4dqm[[#This Row],[fuel_type]],lookup!A:B,2,FALSE)</f>
        <v>Gasoline</v>
      </c>
      <c r="I1271" s="2">
        <f ca="1">YEAR(TODAY())-qhkz_4dqm[[#This Row],[year]]</f>
        <v>24</v>
      </c>
      <c r="J1271" s="2" t="str" cm="1">
        <f t="array" aca="1" ref="J1271" ca="1">_xlfn.IFS(qhkz_4dqm[[#This Row],[vehicle_age]]&lt;=3,"Newer",qhkz_4dqm[[#This Row],[vehicle_age]]&lt;=9,"Mid-age",qhkz_4dqm[[#This Row],[vehicle_age]]&lt;=19,"Older",qhkz_4dqm[[#This Row],[vehicle_age]]&gt;=20,"Very Old")</f>
        <v>Very Old</v>
      </c>
    </row>
    <row r="1272" spans="1:10">
      <c r="A1272" s="2">
        <v>24149227</v>
      </c>
      <c r="B1272" s="2">
        <v>2414922701</v>
      </c>
      <c r="C1272" s="2">
        <v>1</v>
      </c>
      <c r="D1272" s="2">
        <v>2022</v>
      </c>
      <c r="E1272" s="2">
        <v>1</v>
      </c>
      <c r="F1272" s="2">
        <v>416.71</v>
      </c>
      <c r="G1272" s="2">
        <v>1288.42</v>
      </c>
      <c r="H1272" s="2" t="str">
        <f>VLOOKUP(qhkz_4dqm[[#This Row],[fuel_type]],lookup!A:B,2,FALSE)</f>
        <v>Gasoline</v>
      </c>
      <c r="I1272" s="2">
        <f ca="1">YEAR(TODAY())-qhkz_4dqm[[#This Row],[year]]</f>
        <v>4</v>
      </c>
      <c r="J1272" s="2" t="str" cm="1">
        <f t="array" aca="1" ref="J1272" ca="1">_xlfn.IFS(qhkz_4dqm[[#This Row],[vehicle_age]]&lt;=3,"Newer",qhkz_4dqm[[#This Row],[vehicle_age]]&lt;=9,"Mid-age",qhkz_4dqm[[#This Row],[vehicle_age]]&lt;=19,"Older",qhkz_4dqm[[#This Row],[vehicle_age]]&gt;=20,"Very Old")</f>
        <v>Mid-age</v>
      </c>
    </row>
    <row r="1273" spans="1:10">
      <c r="A1273" s="2">
        <v>24149238</v>
      </c>
      <c r="B1273" s="2">
        <v>2414923801</v>
      </c>
      <c r="C1273" s="2">
        <v>1</v>
      </c>
      <c r="D1273" s="2">
        <v>2019</v>
      </c>
      <c r="E1273" s="2">
        <v>1</v>
      </c>
      <c r="F1273" s="2">
        <v>145.12</v>
      </c>
      <c r="G1273" s="2">
        <v>1196.8599999999999</v>
      </c>
      <c r="H1273" s="2" t="str">
        <f>VLOOKUP(qhkz_4dqm[[#This Row],[fuel_type]],lookup!A:B,2,FALSE)</f>
        <v>Gasoline</v>
      </c>
      <c r="I1273" s="2">
        <f ca="1">YEAR(TODAY())-qhkz_4dqm[[#This Row],[year]]</f>
        <v>7</v>
      </c>
      <c r="J1273" s="2" t="str" cm="1">
        <f t="array" aca="1" ref="J1273" ca="1">_xlfn.IFS(qhkz_4dqm[[#This Row],[vehicle_age]]&lt;=3,"Newer",qhkz_4dqm[[#This Row],[vehicle_age]]&lt;=9,"Mid-age",qhkz_4dqm[[#This Row],[vehicle_age]]&lt;=19,"Older",qhkz_4dqm[[#This Row],[vehicle_age]]&gt;=20,"Very Old")</f>
        <v>Mid-age</v>
      </c>
    </row>
    <row r="1274" spans="1:10">
      <c r="A1274" s="2">
        <v>24149254</v>
      </c>
      <c r="B1274" s="2">
        <v>2414925401</v>
      </c>
      <c r="C1274" s="2">
        <v>1</v>
      </c>
      <c r="D1274" s="2">
        <v>2014</v>
      </c>
      <c r="E1274" s="2">
        <v>1</v>
      </c>
      <c r="F1274" s="2">
        <v>157.69</v>
      </c>
      <c r="G1274" s="2">
        <v>826.43</v>
      </c>
      <c r="H1274" s="2" t="str">
        <f>VLOOKUP(qhkz_4dqm[[#This Row],[fuel_type]],lookup!A:B,2,FALSE)</f>
        <v>Gasoline</v>
      </c>
      <c r="I1274" s="2">
        <f ca="1">YEAR(TODAY())-qhkz_4dqm[[#This Row],[year]]</f>
        <v>12</v>
      </c>
      <c r="J1274" s="2" t="str" cm="1">
        <f t="array" aca="1" ref="J1274" ca="1">_xlfn.IFS(qhkz_4dqm[[#This Row],[vehicle_age]]&lt;=3,"Newer",qhkz_4dqm[[#This Row],[vehicle_age]]&lt;=9,"Mid-age",qhkz_4dqm[[#This Row],[vehicle_age]]&lt;=19,"Older",qhkz_4dqm[[#This Row],[vehicle_age]]&gt;=20,"Very Old")</f>
        <v>Older</v>
      </c>
    </row>
    <row r="1275" spans="1:10">
      <c r="A1275" s="2">
        <v>24149260</v>
      </c>
      <c r="B1275" s="2">
        <v>2414926001</v>
      </c>
      <c r="C1275" s="2">
        <v>1</v>
      </c>
      <c r="D1275" s="2">
        <v>2008</v>
      </c>
      <c r="E1275" s="2">
        <v>1</v>
      </c>
      <c r="F1275" s="2">
        <v>1395.93</v>
      </c>
      <c r="G1275" s="2">
        <v>1904.91</v>
      </c>
      <c r="H1275" s="2" t="str">
        <f>VLOOKUP(qhkz_4dqm[[#This Row],[fuel_type]],lookup!A:B,2,FALSE)</f>
        <v>Gasoline</v>
      </c>
      <c r="I1275" s="2">
        <f ca="1">YEAR(TODAY())-qhkz_4dqm[[#This Row],[year]]</f>
        <v>18</v>
      </c>
      <c r="J1275" s="2" t="str" cm="1">
        <f t="array" aca="1" ref="J1275" ca="1">_xlfn.IFS(qhkz_4dqm[[#This Row],[vehicle_age]]&lt;=3,"Newer",qhkz_4dqm[[#This Row],[vehicle_age]]&lt;=9,"Mid-age",qhkz_4dqm[[#This Row],[vehicle_age]]&lt;=19,"Older",qhkz_4dqm[[#This Row],[vehicle_age]]&gt;=20,"Very Old")</f>
        <v>Older</v>
      </c>
    </row>
    <row r="1276" spans="1:10">
      <c r="A1276" s="2">
        <v>24149284</v>
      </c>
      <c r="B1276" s="2">
        <v>2414928401</v>
      </c>
      <c r="C1276" s="2">
        <v>1</v>
      </c>
      <c r="D1276" s="2">
        <v>2008</v>
      </c>
      <c r="E1276" s="2">
        <v>1</v>
      </c>
      <c r="F1276" s="2">
        <v>118.51</v>
      </c>
      <c r="G1276" s="2">
        <v>297.52</v>
      </c>
      <c r="H1276" s="2" t="str">
        <f>VLOOKUP(qhkz_4dqm[[#This Row],[fuel_type]],lookup!A:B,2,FALSE)</f>
        <v>Gasoline</v>
      </c>
      <c r="I1276" s="2">
        <f ca="1">YEAR(TODAY())-qhkz_4dqm[[#This Row],[year]]</f>
        <v>18</v>
      </c>
      <c r="J1276" s="2" t="str" cm="1">
        <f t="array" aca="1" ref="J1276" ca="1">_xlfn.IFS(qhkz_4dqm[[#This Row],[vehicle_age]]&lt;=3,"Newer",qhkz_4dqm[[#This Row],[vehicle_age]]&lt;=9,"Mid-age",qhkz_4dqm[[#This Row],[vehicle_age]]&lt;=19,"Older",qhkz_4dqm[[#This Row],[vehicle_age]]&gt;=20,"Very Old")</f>
        <v>Older</v>
      </c>
    </row>
    <row r="1277" spans="1:10">
      <c r="A1277" s="2">
        <v>24149286</v>
      </c>
      <c r="B1277" s="2">
        <v>2414928601</v>
      </c>
      <c r="C1277" s="2">
        <v>1</v>
      </c>
      <c r="D1277" s="2">
        <v>2020</v>
      </c>
      <c r="E1277" s="2">
        <v>2</v>
      </c>
      <c r="F1277" s="2">
        <v>1570.62</v>
      </c>
      <c r="G1277" s="2">
        <v>1753.05</v>
      </c>
      <c r="H1277" s="2" t="str">
        <f>VLOOKUP(qhkz_4dqm[[#This Row],[fuel_type]],lookup!A:B,2,FALSE)</f>
        <v>Diesel</v>
      </c>
      <c r="I1277" s="2">
        <f ca="1">YEAR(TODAY())-qhkz_4dqm[[#This Row],[year]]</f>
        <v>6</v>
      </c>
      <c r="J1277" s="2" t="str" cm="1">
        <f t="array" aca="1" ref="J1277" ca="1">_xlfn.IFS(qhkz_4dqm[[#This Row],[vehicle_age]]&lt;=3,"Newer",qhkz_4dqm[[#This Row],[vehicle_age]]&lt;=9,"Mid-age",qhkz_4dqm[[#This Row],[vehicle_age]]&lt;=19,"Older",qhkz_4dqm[[#This Row],[vehicle_age]]&gt;=20,"Very Old")</f>
        <v>Mid-age</v>
      </c>
    </row>
    <row r="1278" spans="1:10">
      <c r="A1278" s="2">
        <v>24149307</v>
      </c>
      <c r="B1278" s="2">
        <v>2414930701</v>
      </c>
      <c r="C1278" s="2">
        <v>1</v>
      </c>
      <c r="D1278" s="2">
        <v>2016</v>
      </c>
      <c r="E1278" s="2">
        <v>1</v>
      </c>
      <c r="F1278" s="2">
        <v>67.569999999999993</v>
      </c>
      <c r="G1278" s="2">
        <v>201.49</v>
      </c>
      <c r="H1278" s="2" t="str">
        <f>VLOOKUP(qhkz_4dqm[[#This Row],[fuel_type]],lookup!A:B,2,FALSE)</f>
        <v>Gasoline</v>
      </c>
      <c r="I1278" s="2">
        <f ca="1">YEAR(TODAY())-qhkz_4dqm[[#This Row],[year]]</f>
        <v>10</v>
      </c>
      <c r="J1278" s="2" t="str" cm="1">
        <f t="array" aca="1" ref="J1278" ca="1">_xlfn.IFS(qhkz_4dqm[[#This Row],[vehicle_age]]&lt;=3,"Newer",qhkz_4dqm[[#This Row],[vehicle_age]]&lt;=9,"Mid-age",qhkz_4dqm[[#This Row],[vehicle_age]]&lt;=19,"Older",qhkz_4dqm[[#This Row],[vehicle_age]]&gt;=20,"Very Old")</f>
        <v>Older</v>
      </c>
    </row>
    <row r="1279" spans="1:10">
      <c r="A1279" s="2">
        <v>24149314</v>
      </c>
      <c r="B1279" s="2">
        <v>2414931401</v>
      </c>
      <c r="C1279" s="2">
        <v>1</v>
      </c>
      <c r="D1279" s="2">
        <v>2005</v>
      </c>
      <c r="E1279" s="2">
        <v>1</v>
      </c>
      <c r="F1279" s="2">
        <v>261.44</v>
      </c>
      <c r="G1279" s="2">
        <v>258.89</v>
      </c>
      <c r="H1279" s="2" t="str">
        <f>VLOOKUP(qhkz_4dqm[[#This Row],[fuel_type]],lookup!A:B,2,FALSE)</f>
        <v>Gasoline</v>
      </c>
      <c r="I1279" s="2">
        <f ca="1">YEAR(TODAY())-qhkz_4dqm[[#This Row],[year]]</f>
        <v>21</v>
      </c>
      <c r="J1279" s="2" t="str" cm="1">
        <f t="array" aca="1" ref="J1279" ca="1">_xlfn.IFS(qhkz_4dqm[[#This Row],[vehicle_age]]&lt;=3,"Newer",qhkz_4dqm[[#This Row],[vehicle_age]]&lt;=9,"Mid-age",qhkz_4dqm[[#This Row],[vehicle_age]]&lt;=19,"Older",qhkz_4dqm[[#This Row],[vehicle_age]]&gt;=20,"Very Old")</f>
        <v>Very Old</v>
      </c>
    </row>
    <row r="1280" spans="1:10">
      <c r="A1280" s="2">
        <v>24149323</v>
      </c>
      <c r="B1280" s="2">
        <v>2414932301</v>
      </c>
      <c r="C1280" s="2">
        <v>1</v>
      </c>
      <c r="D1280" s="2">
        <v>2004</v>
      </c>
      <c r="E1280" s="2">
        <v>1</v>
      </c>
      <c r="F1280" s="2">
        <v>15.96</v>
      </c>
      <c r="G1280" s="2">
        <v>81.36</v>
      </c>
      <c r="H1280" s="2" t="str">
        <f>VLOOKUP(qhkz_4dqm[[#This Row],[fuel_type]],lookup!A:B,2,FALSE)</f>
        <v>Gasoline</v>
      </c>
      <c r="I1280" s="2">
        <f ca="1">YEAR(TODAY())-qhkz_4dqm[[#This Row],[year]]</f>
        <v>22</v>
      </c>
      <c r="J1280" s="2" t="str" cm="1">
        <f t="array" aca="1" ref="J1280" ca="1">_xlfn.IFS(qhkz_4dqm[[#This Row],[vehicle_age]]&lt;=3,"Newer",qhkz_4dqm[[#This Row],[vehicle_age]]&lt;=9,"Mid-age",qhkz_4dqm[[#This Row],[vehicle_age]]&lt;=19,"Older",qhkz_4dqm[[#This Row],[vehicle_age]]&gt;=20,"Very Old")</f>
        <v>Very Old</v>
      </c>
    </row>
    <row r="1281" spans="1:10">
      <c r="A1281" s="2">
        <v>24149328</v>
      </c>
      <c r="B1281" s="2">
        <v>2414932801</v>
      </c>
      <c r="C1281" s="2">
        <v>1</v>
      </c>
      <c r="D1281" s="2">
        <v>2023</v>
      </c>
      <c r="E1281" s="2">
        <v>1</v>
      </c>
      <c r="F1281" s="2">
        <v>776.64</v>
      </c>
      <c r="G1281" s="2">
        <v>739.6</v>
      </c>
      <c r="H1281" s="2" t="str">
        <f>VLOOKUP(qhkz_4dqm[[#This Row],[fuel_type]],lookup!A:B,2,FALSE)</f>
        <v>Gasoline</v>
      </c>
      <c r="I1281" s="2">
        <f ca="1">YEAR(TODAY())-qhkz_4dqm[[#This Row],[year]]</f>
        <v>3</v>
      </c>
      <c r="J1281" s="2" t="str" cm="1">
        <f t="array" aca="1" ref="J1281" ca="1">_xlfn.IFS(qhkz_4dqm[[#This Row],[vehicle_age]]&lt;=3,"Newer",qhkz_4dqm[[#This Row],[vehicle_age]]&lt;=9,"Mid-age",qhkz_4dqm[[#This Row],[vehicle_age]]&lt;=19,"Older",qhkz_4dqm[[#This Row],[vehicle_age]]&gt;=20,"Very Old")</f>
        <v>Newer</v>
      </c>
    </row>
    <row r="1282" spans="1:10">
      <c r="A1282" s="2">
        <v>24149338</v>
      </c>
      <c r="B1282" s="2">
        <v>2414933801</v>
      </c>
      <c r="C1282" s="2">
        <v>1</v>
      </c>
      <c r="D1282" s="2">
        <v>2014</v>
      </c>
      <c r="E1282" s="2">
        <v>1</v>
      </c>
      <c r="F1282" s="2">
        <v>227.26</v>
      </c>
      <c r="G1282" s="2">
        <v>708.01</v>
      </c>
      <c r="H1282" s="2" t="str">
        <f>VLOOKUP(qhkz_4dqm[[#This Row],[fuel_type]],lookup!A:B,2,FALSE)</f>
        <v>Gasoline</v>
      </c>
      <c r="I1282" s="2">
        <f ca="1">YEAR(TODAY())-qhkz_4dqm[[#This Row],[year]]</f>
        <v>12</v>
      </c>
      <c r="J1282" s="2" t="str" cm="1">
        <f t="array" aca="1" ref="J1282" ca="1">_xlfn.IFS(qhkz_4dqm[[#This Row],[vehicle_age]]&lt;=3,"Newer",qhkz_4dqm[[#This Row],[vehicle_age]]&lt;=9,"Mid-age",qhkz_4dqm[[#This Row],[vehicle_age]]&lt;=19,"Older",qhkz_4dqm[[#This Row],[vehicle_age]]&gt;=20,"Very Old")</f>
        <v>Older</v>
      </c>
    </row>
    <row r="1283" spans="1:10">
      <c r="A1283" s="2">
        <v>24149344</v>
      </c>
      <c r="B1283" s="2">
        <v>2414934401</v>
      </c>
      <c r="C1283" s="2">
        <v>1</v>
      </c>
      <c r="D1283" s="2">
        <v>2017</v>
      </c>
      <c r="E1283" s="2">
        <v>1</v>
      </c>
      <c r="F1283" s="2">
        <v>721.9</v>
      </c>
      <c r="G1283" s="2">
        <v>1285.1199999999999</v>
      </c>
      <c r="H1283" s="2" t="str">
        <f>VLOOKUP(qhkz_4dqm[[#This Row],[fuel_type]],lookup!A:B,2,FALSE)</f>
        <v>Gasoline</v>
      </c>
      <c r="I1283" s="2">
        <f ca="1">YEAR(TODAY())-qhkz_4dqm[[#This Row],[year]]</f>
        <v>9</v>
      </c>
      <c r="J1283" s="2" t="str" cm="1">
        <f t="array" aca="1" ref="J1283" ca="1">_xlfn.IFS(qhkz_4dqm[[#This Row],[vehicle_age]]&lt;=3,"Newer",qhkz_4dqm[[#This Row],[vehicle_age]]&lt;=9,"Mid-age",qhkz_4dqm[[#This Row],[vehicle_age]]&lt;=19,"Older",qhkz_4dqm[[#This Row],[vehicle_age]]&gt;=20,"Very Old")</f>
        <v>Mid-age</v>
      </c>
    </row>
    <row r="1284" spans="1:10">
      <c r="A1284" s="2">
        <v>24149360</v>
      </c>
      <c r="B1284" s="2">
        <v>2414936001</v>
      </c>
      <c r="C1284" s="2">
        <v>1</v>
      </c>
      <c r="D1284" s="2">
        <v>2022</v>
      </c>
      <c r="E1284" s="2">
        <v>1</v>
      </c>
      <c r="F1284" s="2">
        <v>489.23</v>
      </c>
      <c r="G1284" s="2">
        <v>697.02</v>
      </c>
      <c r="H1284" s="2" t="str">
        <f>VLOOKUP(qhkz_4dqm[[#This Row],[fuel_type]],lookup!A:B,2,FALSE)</f>
        <v>Gasoline</v>
      </c>
      <c r="I1284" s="2">
        <f ca="1">YEAR(TODAY())-qhkz_4dqm[[#This Row],[year]]</f>
        <v>4</v>
      </c>
      <c r="J1284" s="2" t="str" cm="1">
        <f t="array" aca="1" ref="J1284" ca="1">_xlfn.IFS(qhkz_4dqm[[#This Row],[vehicle_age]]&lt;=3,"Newer",qhkz_4dqm[[#This Row],[vehicle_age]]&lt;=9,"Mid-age",qhkz_4dqm[[#This Row],[vehicle_age]]&lt;=19,"Older",qhkz_4dqm[[#This Row],[vehicle_age]]&gt;=20,"Very Old")</f>
        <v>Mid-age</v>
      </c>
    </row>
    <row r="1285" spans="1:10">
      <c r="A1285" s="2">
        <v>24149367</v>
      </c>
      <c r="B1285" s="2">
        <v>2414936701</v>
      </c>
      <c r="C1285" s="2">
        <v>1</v>
      </c>
      <c r="D1285" s="2">
        <v>2007</v>
      </c>
      <c r="E1285" s="2">
        <v>1</v>
      </c>
      <c r="F1285" s="2">
        <v>33.64</v>
      </c>
      <c r="G1285" s="2">
        <v>145.36000000000001</v>
      </c>
      <c r="H1285" s="2" t="str">
        <f>VLOOKUP(qhkz_4dqm[[#This Row],[fuel_type]],lookup!A:B,2,FALSE)</f>
        <v>Gasoline</v>
      </c>
      <c r="I1285" s="2">
        <f ca="1">YEAR(TODAY())-qhkz_4dqm[[#This Row],[year]]</f>
        <v>19</v>
      </c>
      <c r="J1285" s="2" t="str" cm="1">
        <f t="array" aca="1" ref="J1285" ca="1">_xlfn.IFS(qhkz_4dqm[[#This Row],[vehicle_age]]&lt;=3,"Newer",qhkz_4dqm[[#This Row],[vehicle_age]]&lt;=9,"Mid-age",qhkz_4dqm[[#This Row],[vehicle_age]]&lt;=19,"Older",qhkz_4dqm[[#This Row],[vehicle_age]]&gt;=20,"Very Old")</f>
        <v>Older</v>
      </c>
    </row>
    <row r="1286" spans="1:10">
      <c r="A1286" s="2">
        <v>24149372</v>
      </c>
      <c r="B1286" s="2">
        <v>2414937201</v>
      </c>
      <c r="C1286" s="2">
        <v>1</v>
      </c>
      <c r="D1286" s="2">
        <v>2013</v>
      </c>
      <c r="E1286" s="2">
        <v>1</v>
      </c>
      <c r="F1286" s="2">
        <v>5258</v>
      </c>
      <c r="G1286" s="2">
        <v>1866.99</v>
      </c>
      <c r="H1286" s="2" t="str">
        <f>VLOOKUP(qhkz_4dqm[[#This Row],[fuel_type]],lookup!A:B,2,FALSE)</f>
        <v>Gasoline</v>
      </c>
      <c r="I1286" s="2">
        <f ca="1">YEAR(TODAY())-qhkz_4dqm[[#This Row],[year]]</f>
        <v>13</v>
      </c>
      <c r="J1286" s="2" t="str" cm="1">
        <f t="array" aca="1" ref="J1286" ca="1">_xlfn.IFS(qhkz_4dqm[[#This Row],[vehicle_age]]&lt;=3,"Newer",qhkz_4dqm[[#This Row],[vehicle_age]]&lt;=9,"Mid-age",qhkz_4dqm[[#This Row],[vehicle_age]]&lt;=19,"Older",qhkz_4dqm[[#This Row],[vehicle_age]]&gt;=20,"Very Old")</f>
        <v>Older</v>
      </c>
    </row>
    <row r="1287" spans="1:10">
      <c r="A1287" s="2">
        <v>24149379</v>
      </c>
      <c r="B1287" s="2">
        <v>2414937901</v>
      </c>
      <c r="C1287" s="2">
        <v>1</v>
      </c>
      <c r="D1287" s="2">
        <v>2013</v>
      </c>
      <c r="E1287" s="2">
        <v>1</v>
      </c>
      <c r="F1287" s="2">
        <v>0.61</v>
      </c>
      <c r="G1287" s="2">
        <v>95.13</v>
      </c>
      <c r="H1287" s="2" t="str">
        <f>VLOOKUP(qhkz_4dqm[[#This Row],[fuel_type]],lookup!A:B,2,FALSE)</f>
        <v>Gasoline</v>
      </c>
      <c r="I1287" s="2">
        <f ca="1">YEAR(TODAY())-qhkz_4dqm[[#This Row],[year]]</f>
        <v>13</v>
      </c>
      <c r="J1287" s="2" t="str" cm="1">
        <f t="array" aca="1" ref="J1287" ca="1">_xlfn.IFS(qhkz_4dqm[[#This Row],[vehicle_age]]&lt;=3,"Newer",qhkz_4dqm[[#This Row],[vehicle_age]]&lt;=9,"Mid-age",qhkz_4dqm[[#This Row],[vehicle_age]]&lt;=19,"Older",qhkz_4dqm[[#This Row],[vehicle_age]]&gt;=20,"Very Old")</f>
        <v>Older</v>
      </c>
    </row>
    <row r="1288" spans="1:10">
      <c r="A1288" s="2">
        <v>24149382</v>
      </c>
      <c r="B1288" s="2">
        <v>2414938201</v>
      </c>
      <c r="C1288" s="2">
        <v>1</v>
      </c>
      <c r="D1288" s="2">
        <v>2020</v>
      </c>
      <c r="E1288" s="2">
        <v>1</v>
      </c>
      <c r="F1288" s="2">
        <v>551.75</v>
      </c>
      <c r="G1288" s="2">
        <v>552.84</v>
      </c>
      <c r="H1288" s="2" t="str">
        <f>VLOOKUP(qhkz_4dqm[[#This Row],[fuel_type]],lookup!A:B,2,FALSE)</f>
        <v>Gasoline</v>
      </c>
      <c r="I1288" s="2">
        <f ca="1">YEAR(TODAY())-qhkz_4dqm[[#This Row],[year]]</f>
        <v>6</v>
      </c>
      <c r="J1288" s="2" t="str" cm="1">
        <f t="array" aca="1" ref="J1288" ca="1">_xlfn.IFS(qhkz_4dqm[[#This Row],[vehicle_age]]&lt;=3,"Newer",qhkz_4dqm[[#This Row],[vehicle_age]]&lt;=9,"Mid-age",qhkz_4dqm[[#This Row],[vehicle_age]]&lt;=19,"Older",qhkz_4dqm[[#This Row],[vehicle_age]]&gt;=20,"Very Old")</f>
        <v>Mid-age</v>
      </c>
    </row>
    <row r="1289" spans="1:10">
      <c r="A1289" s="2">
        <v>24149384</v>
      </c>
      <c r="B1289" s="2">
        <v>2414938401</v>
      </c>
      <c r="C1289" s="2">
        <v>1</v>
      </c>
      <c r="D1289" s="2">
        <v>2020</v>
      </c>
      <c r="E1289" s="2">
        <v>1</v>
      </c>
      <c r="F1289" s="2">
        <v>465.02</v>
      </c>
      <c r="G1289" s="2">
        <v>888.17</v>
      </c>
      <c r="H1289" s="2" t="str">
        <f>VLOOKUP(qhkz_4dqm[[#This Row],[fuel_type]],lookup!A:B,2,FALSE)</f>
        <v>Gasoline</v>
      </c>
      <c r="I1289" s="2">
        <f ca="1">YEAR(TODAY())-qhkz_4dqm[[#This Row],[year]]</f>
        <v>6</v>
      </c>
      <c r="J1289" s="2" t="str" cm="1">
        <f t="array" aca="1" ref="J1289" ca="1">_xlfn.IFS(qhkz_4dqm[[#This Row],[vehicle_age]]&lt;=3,"Newer",qhkz_4dqm[[#This Row],[vehicle_age]]&lt;=9,"Mid-age",qhkz_4dqm[[#This Row],[vehicle_age]]&lt;=19,"Older",qhkz_4dqm[[#This Row],[vehicle_age]]&gt;=20,"Very Old")</f>
        <v>Mid-age</v>
      </c>
    </row>
    <row r="1290" spans="1:10">
      <c r="A1290" s="2">
        <v>24149399</v>
      </c>
      <c r="B1290" s="2">
        <v>2414939901</v>
      </c>
      <c r="C1290" s="2">
        <v>1</v>
      </c>
      <c r="D1290" s="2">
        <v>2015</v>
      </c>
      <c r="E1290" s="2">
        <v>1</v>
      </c>
      <c r="F1290" s="2">
        <v>66.53</v>
      </c>
      <c r="G1290" s="2">
        <v>339.66</v>
      </c>
      <c r="H1290" s="2" t="str">
        <f>VLOOKUP(qhkz_4dqm[[#This Row],[fuel_type]],lookup!A:B,2,FALSE)</f>
        <v>Gasoline</v>
      </c>
      <c r="I1290" s="2">
        <f ca="1">YEAR(TODAY())-qhkz_4dqm[[#This Row],[year]]</f>
        <v>11</v>
      </c>
      <c r="J1290" s="2" t="str" cm="1">
        <f t="array" aca="1" ref="J1290" ca="1">_xlfn.IFS(qhkz_4dqm[[#This Row],[vehicle_age]]&lt;=3,"Newer",qhkz_4dqm[[#This Row],[vehicle_age]]&lt;=9,"Mid-age",qhkz_4dqm[[#This Row],[vehicle_age]]&lt;=19,"Older",qhkz_4dqm[[#This Row],[vehicle_age]]&gt;=20,"Very Old")</f>
        <v>Older</v>
      </c>
    </row>
    <row r="1291" spans="1:10">
      <c r="A1291" s="2">
        <v>24149405</v>
      </c>
      <c r="B1291" s="2">
        <v>2414940501</v>
      </c>
      <c r="C1291" s="2">
        <v>1</v>
      </c>
      <c r="D1291" s="2">
        <v>2024</v>
      </c>
      <c r="E1291" s="2">
        <v>1</v>
      </c>
      <c r="F1291" s="2">
        <v>132.47999999999999</v>
      </c>
      <c r="G1291" s="2">
        <v>190.36</v>
      </c>
      <c r="H1291" s="2" t="str">
        <f>VLOOKUP(qhkz_4dqm[[#This Row],[fuel_type]],lookup!A:B,2,FALSE)</f>
        <v>Gasoline</v>
      </c>
      <c r="I1291" s="2">
        <f ca="1">YEAR(TODAY())-qhkz_4dqm[[#This Row],[year]]</f>
        <v>2</v>
      </c>
      <c r="J1291" s="2" t="str" cm="1">
        <f t="array" aca="1" ref="J1291" ca="1">_xlfn.IFS(qhkz_4dqm[[#This Row],[vehicle_age]]&lt;=3,"Newer",qhkz_4dqm[[#This Row],[vehicle_age]]&lt;=9,"Mid-age",qhkz_4dqm[[#This Row],[vehicle_age]]&lt;=19,"Older",qhkz_4dqm[[#This Row],[vehicle_age]]&gt;=20,"Very Old")</f>
        <v>Newer</v>
      </c>
    </row>
    <row r="1292" spans="1:10">
      <c r="A1292" s="2">
        <v>24149412</v>
      </c>
      <c r="B1292" s="2">
        <v>2414941201</v>
      </c>
      <c r="C1292" s="2">
        <v>1</v>
      </c>
      <c r="D1292" s="2">
        <v>2019</v>
      </c>
      <c r="E1292" s="2">
        <v>1</v>
      </c>
      <c r="F1292" s="2">
        <v>697.52</v>
      </c>
      <c r="G1292" s="2">
        <v>515.77</v>
      </c>
      <c r="H1292" s="2" t="str">
        <f>VLOOKUP(qhkz_4dqm[[#This Row],[fuel_type]],lookup!A:B,2,FALSE)</f>
        <v>Gasoline</v>
      </c>
      <c r="I1292" s="2">
        <f ca="1">YEAR(TODAY())-qhkz_4dqm[[#This Row],[year]]</f>
        <v>7</v>
      </c>
      <c r="J1292" s="2" t="str" cm="1">
        <f t="array" aca="1" ref="J1292" ca="1">_xlfn.IFS(qhkz_4dqm[[#This Row],[vehicle_age]]&lt;=3,"Newer",qhkz_4dqm[[#This Row],[vehicle_age]]&lt;=9,"Mid-age",qhkz_4dqm[[#This Row],[vehicle_age]]&lt;=19,"Older",qhkz_4dqm[[#This Row],[vehicle_age]]&gt;=20,"Very Old")</f>
        <v>Mid-age</v>
      </c>
    </row>
    <row r="1293" spans="1:10">
      <c r="A1293" s="2">
        <v>24149416</v>
      </c>
      <c r="B1293" s="2">
        <v>2414941601</v>
      </c>
      <c r="C1293" s="2">
        <v>1</v>
      </c>
      <c r="D1293" s="2">
        <v>2005</v>
      </c>
      <c r="E1293" s="2">
        <v>7</v>
      </c>
      <c r="F1293" s="2">
        <v>196.21</v>
      </c>
      <c r="G1293" s="2">
        <v>487.11</v>
      </c>
      <c r="H1293" s="2" t="str">
        <f>VLOOKUP(qhkz_4dqm[[#This Row],[fuel_type]],lookup!A:B,2,FALSE)</f>
        <v>Don't Know / Not Reported</v>
      </c>
      <c r="I1293" s="2">
        <f ca="1">YEAR(TODAY())-qhkz_4dqm[[#This Row],[year]]</f>
        <v>21</v>
      </c>
      <c r="J1293" s="2" t="str" cm="1">
        <f t="array" aca="1" ref="J1293" ca="1">_xlfn.IFS(qhkz_4dqm[[#This Row],[vehicle_age]]&lt;=3,"Newer",qhkz_4dqm[[#This Row],[vehicle_age]]&lt;=9,"Mid-age",qhkz_4dqm[[#This Row],[vehicle_age]]&lt;=19,"Older",qhkz_4dqm[[#This Row],[vehicle_age]]&gt;=20,"Very Old")</f>
        <v>Very Old</v>
      </c>
    </row>
    <row r="1294" spans="1:10">
      <c r="A1294" s="2">
        <v>24149435</v>
      </c>
      <c r="B1294" s="2">
        <v>2414943501</v>
      </c>
      <c r="C1294" s="2">
        <v>1</v>
      </c>
      <c r="D1294" s="2">
        <v>2023</v>
      </c>
      <c r="E1294" s="2">
        <v>4</v>
      </c>
      <c r="F1294" s="2">
        <v>0.92</v>
      </c>
      <c r="G1294" s="2">
        <v>729.7</v>
      </c>
      <c r="H1294" s="2" t="str">
        <f>VLOOKUP(qhkz_4dqm[[#This Row],[fuel_type]],lookup!A:B,2,FALSE)</f>
        <v>Electric</v>
      </c>
      <c r="I1294" s="2">
        <f ca="1">YEAR(TODAY())-qhkz_4dqm[[#This Row],[year]]</f>
        <v>3</v>
      </c>
      <c r="J1294" s="2" t="str" cm="1">
        <f t="array" aca="1" ref="J1294" ca="1">_xlfn.IFS(qhkz_4dqm[[#This Row],[vehicle_age]]&lt;=3,"Newer",qhkz_4dqm[[#This Row],[vehicle_age]]&lt;=9,"Mid-age",qhkz_4dqm[[#This Row],[vehicle_age]]&lt;=19,"Older",qhkz_4dqm[[#This Row],[vehicle_age]]&gt;=20,"Very Old")</f>
        <v>Newer</v>
      </c>
    </row>
    <row r="1295" spans="1:10">
      <c r="A1295" s="2">
        <v>24149439</v>
      </c>
      <c r="B1295" s="2">
        <v>2414943901</v>
      </c>
      <c r="C1295" s="2">
        <v>1</v>
      </c>
      <c r="D1295" s="2">
        <v>2016</v>
      </c>
      <c r="E1295" s="2">
        <v>1</v>
      </c>
      <c r="F1295" s="2">
        <v>511.9</v>
      </c>
      <c r="G1295" s="2">
        <v>594.72</v>
      </c>
      <c r="H1295" s="2" t="str">
        <f>VLOOKUP(qhkz_4dqm[[#This Row],[fuel_type]],lookup!A:B,2,FALSE)</f>
        <v>Gasoline</v>
      </c>
      <c r="I1295" s="2">
        <f ca="1">YEAR(TODAY())-qhkz_4dqm[[#This Row],[year]]</f>
        <v>10</v>
      </c>
      <c r="J1295" s="2" t="str" cm="1">
        <f t="array" aca="1" ref="J1295" ca="1">_xlfn.IFS(qhkz_4dqm[[#This Row],[vehicle_age]]&lt;=3,"Newer",qhkz_4dqm[[#This Row],[vehicle_age]]&lt;=9,"Mid-age",qhkz_4dqm[[#This Row],[vehicle_age]]&lt;=19,"Older",qhkz_4dqm[[#This Row],[vehicle_age]]&gt;=20,"Very Old")</f>
        <v>Older</v>
      </c>
    </row>
    <row r="1296" spans="1:10">
      <c r="A1296" s="2">
        <v>24149440</v>
      </c>
      <c r="B1296" s="2">
        <v>2414944001</v>
      </c>
      <c r="C1296" s="2">
        <v>1</v>
      </c>
      <c r="D1296" s="2">
        <v>2002</v>
      </c>
      <c r="E1296" s="2">
        <v>1</v>
      </c>
      <c r="F1296" s="2">
        <v>179.08</v>
      </c>
      <c r="G1296" s="2">
        <v>520.79</v>
      </c>
      <c r="H1296" s="2" t="str">
        <f>VLOOKUP(qhkz_4dqm[[#This Row],[fuel_type]],lookup!A:B,2,FALSE)</f>
        <v>Gasoline</v>
      </c>
      <c r="I1296" s="2">
        <f ca="1">YEAR(TODAY())-qhkz_4dqm[[#This Row],[year]]</f>
        <v>24</v>
      </c>
      <c r="J1296" s="2" t="str" cm="1">
        <f t="array" aca="1" ref="J1296" ca="1">_xlfn.IFS(qhkz_4dqm[[#This Row],[vehicle_age]]&lt;=3,"Newer",qhkz_4dqm[[#This Row],[vehicle_age]]&lt;=9,"Mid-age",qhkz_4dqm[[#This Row],[vehicle_age]]&lt;=19,"Older",qhkz_4dqm[[#This Row],[vehicle_age]]&gt;=20,"Very Old")</f>
        <v>Very Old</v>
      </c>
    </row>
    <row r="1297" spans="1:10">
      <c r="A1297" s="2">
        <v>24149455</v>
      </c>
      <c r="B1297" s="2">
        <v>2414945501</v>
      </c>
      <c r="C1297" s="2">
        <v>1</v>
      </c>
      <c r="D1297" s="2">
        <v>2016</v>
      </c>
      <c r="E1297" s="2">
        <v>1</v>
      </c>
      <c r="F1297" s="2">
        <v>1076.1199999999999</v>
      </c>
      <c r="G1297" s="2">
        <v>1058.46</v>
      </c>
      <c r="H1297" s="2" t="str">
        <f>VLOOKUP(qhkz_4dqm[[#This Row],[fuel_type]],lookup!A:B,2,FALSE)</f>
        <v>Gasoline</v>
      </c>
      <c r="I1297" s="2">
        <f ca="1">YEAR(TODAY())-qhkz_4dqm[[#This Row],[year]]</f>
        <v>10</v>
      </c>
      <c r="J1297" s="2" t="str" cm="1">
        <f t="array" aca="1" ref="J1297" ca="1">_xlfn.IFS(qhkz_4dqm[[#This Row],[vehicle_age]]&lt;=3,"Newer",qhkz_4dqm[[#This Row],[vehicle_age]]&lt;=9,"Mid-age",qhkz_4dqm[[#This Row],[vehicle_age]]&lt;=19,"Older",qhkz_4dqm[[#This Row],[vehicle_age]]&gt;=20,"Very Old")</f>
        <v>Older</v>
      </c>
    </row>
    <row r="1298" spans="1:10">
      <c r="A1298" s="2">
        <v>24149460</v>
      </c>
      <c r="B1298" s="2">
        <v>2414946001</v>
      </c>
      <c r="C1298" s="2">
        <v>1</v>
      </c>
      <c r="D1298" s="2">
        <v>2022</v>
      </c>
      <c r="E1298" s="2">
        <v>4</v>
      </c>
      <c r="F1298" s="2">
        <v>996.01</v>
      </c>
      <c r="G1298" s="2">
        <v>1282.8599999999999</v>
      </c>
      <c r="H1298" s="2" t="str">
        <f>VLOOKUP(qhkz_4dqm[[#This Row],[fuel_type]],lookup!A:B,2,FALSE)</f>
        <v>Electric</v>
      </c>
      <c r="I1298" s="2">
        <f ca="1">YEAR(TODAY())-qhkz_4dqm[[#This Row],[year]]</f>
        <v>4</v>
      </c>
      <c r="J1298" s="2" t="str" cm="1">
        <f t="array" aca="1" ref="J1298" ca="1">_xlfn.IFS(qhkz_4dqm[[#This Row],[vehicle_age]]&lt;=3,"Newer",qhkz_4dqm[[#This Row],[vehicle_age]]&lt;=9,"Mid-age",qhkz_4dqm[[#This Row],[vehicle_age]]&lt;=19,"Older",qhkz_4dqm[[#This Row],[vehicle_age]]&gt;=20,"Very Old")</f>
        <v>Mid-age</v>
      </c>
    </row>
    <row r="1299" spans="1:10">
      <c r="A1299" s="2">
        <v>24149483</v>
      </c>
      <c r="B1299" s="2">
        <v>2414948301</v>
      </c>
      <c r="C1299" s="2">
        <v>1</v>
      </c>
      <c r="D1299" s="2">
        <v>2014</v>
      </c>
      <c r="E1299" s="2">
        <v>1</v>
      </c>
      <c r="F1299" s="2">
        <v>2.35</v>
      </c>
      <c r="G1299" s="2">
        <v>949.9</v>
      </c>
      <c r="H1299" s="2" t="str">
        <f>VLOOKUP(qhkz_4dqm[[#This Row],[fuel_type]],lookup!A:B,2,FALSE)</f>
        <v>Gasoline</v>
      </c>
      <c r="I1299" s="2">
        <f ca="1">YEAR(TODAY())-qhkz_4dqm[[#This Row],[year]]</f>
        <v>12</v>
      </c>
      <c r="J1299" s="2" t="str" cm="1">
        <f t="array" aca="1" ref="J1299" ca="1">_xlfn.IFS(qhkz_4dqm[[#This Row],[vehicle_age]]&lt;=3,"Newer",qhkz_4dqm[[#This Row],[vehicle_age]]&lt;=9,"Mid-age",qhkz_4dqm[[#This Row],[vehicle_age]]&lt;=19,"Older",qhkz_4dqm[[#This Row],[vehicle_age]]&gt;=20,"Very Old")</f>
        <v>Older</v>
      </c>
    </row>
    <row r="1300" spans="1:10">
      <c r="A1300" s="2">
        <v>24149490</v>
      </c>
      <c r="B1300" s="2">
        <v>2414949001</v>
      </c>
      <c r="C1300" s="2">
        <v>1</v>
      </c>
      <c r="D1300" s="2">
        <v>2008</v>
      </c>
      <c r="E1300" s="2">
        <v>1</v>
      </c>
      <c r="F1300" s="2">
        <v>0.92</v>
      </c>
      <c r="G1300" s="2">
        <v>257.54000000000002</v>
      </c>
      <c r="H1300" s="2" t="str">
        <f>VLOOKUP(qhkz_4dqm[[#This Row],[fuel_type]],lookup!A:B,2,FALSE)</f>
        <v>Gasoline</v>
      </c>
      <c r="I1300" s="2">
        <f ca="1">YEAR(TODAY())-qhkz_4dqm[[#This Row],[year]]</f>
        <v>18</v>
      </c>
      <c r="J1300" s="2" t="str" cm="1">
        <f t="array" aca="1" ref="J1300" ca="1">_xlfn.IFS(qhkz_4dqm[[#This Row],[vehicle_age]]&lt;=3,"Newer",qhkz_4dqm[[#This Row],[vehicle_age]]&lt;=9,"Mid-age",qhkz_4dqm[[#This Row],[vehicle_age]]&lt;=19,"Older",qhkz_4dqm[[#This Row],[vehicle_age]]&gt;=20,"Very Old")</f>
        <v>Older</v>
      </c>
    </row>
    <row r="1301" spans="1:10">
      <c r="A1301" s="2">
        <v>24149521</v>
      </c>
      <c r="B1301" s="2">
        <v>2414952101</v>
      </c>
      <c r="C1301" s="2">
        <v>1</v>
      </c>
      <c r="D1301" s="2">
        <v>2019</v>
      </c>
      <c r="E1301" s="2">
        <v>1</v>
      </c>
      <c r="F1301" s="2">
        <v>2627.74</v>
      </c>
      <c r="G1301" s="2">
        <v>298.57</v>
      </c>
      <c r="H1301" s="2" t="str">
        <f>VLOOKUP(qhkz_4dqm[[#This Row],[fuel_type]],lookup!A:B,2,FALSE)</f>
        <v>Gasoline</v>
      </c>
      <c r="I1301" s="2">
        <f ca="1">YEAR(TODAY())-qhkz_4dqm[[#This Row],[year]]</f>
        <v>7</v>
      </c>
      <c r="J1301" s="2" t="str" cm="1">
        <f t="array" aca="1" ref="J1301" ca="1">_xlfn.IFS(qhkz_4dqm[[#This Row],[vehicle_age]]&lt;=3,"Newer",qhkz_4dqm[[#This Row],[vehicle_age]]&lt;=9,"Mid-age",qhkz_4dqm[[#This Row],[vehicle_age]]&lt;=19,"Older",qhkz_4dqm[[#This Row],[vehicle_age]]&gt;=20,"Very Old")</f>
        <v>Mid-age</v>
      </c>
    </row>
    <row r="1302" spans="1:10">
      <c r="A1302" s="2">
        <v>24149528</v>
      </c>
      <c r="B1302" s="2">
        <v>2414952801</v>
      </c>
      <c r="C1302" s="2">
        <v>1</v>
      </c>
      <c r="D1302" s="2">
        <v>2014</v>
      </c>
      <c r="E1302" s="2">
        <v>1</v>
      </c>
      <c r="F1302" s="2">
        <v>954.19</v>
      </c>
      <c r="G1302" s="2">
        <v>1014.49</v>
      </c>
      <c r="H1302" s="2" t="str">
        <f>VLOOKUP(qhkz_4dqm[[#This Row],[fuel_type]],lookup!A:B,2,FALSE)</f>
        <v>Gasoline</v>
      </c>
      <c r="I1302" s="2">
        <f ca="1">YEAR(TODAY())-qhkz_4dqm[[#This Row],[year]]</f>
        <v>12</v>
      </c>
      <c r="J1302" s="2" t="str" cm="1">
        <f t="array" aca="1" ref="J1302" ca="1">_xlfn.IFS(qhkz_4dqm[[#This Row],[vehicle_age]]&lt;=3,"Newer",qhkz_4dqm[[#This Row],[vehicle_age]]&lt;=9,"Mid-age",qhkz_4dqm[[#This Row],[vehicle_age]]&lt;=19,"Older",qhkz_4dqm[[#This Row],[vehicle_age]]&gt;=20,"Very Old")</f>
        <v>Older</v>
      </c>
    </row>
    <row r="1303" spans="1:10">
      <c r="A1303" s="2">
        <v>24149535</v>
      </c>
      <c r="B1303" s="2">
        <v>2414953501</v>
      </c>
      <c r="C1303" s="2">
        <v>1</v>
      </c>
      <c r="D1303" s="2">
        <v>2024</v>
      </c>
      <c r="E1303" s="2">
        <v>1</v>
      </c>
      <c r="F1303" s="2">
        <v>180.39</v>
      </c>
      <c r="G1303" s="2">
        <v>635.28</v>
      </c>
      <c r="H1303" s="2" t="str">
        <f>VLOOKUP(qhkz_4dqm[[#This Row],[fuel_type]],lookup!A:B,2,FALSE)</f>
        <v>Gasoline</v>
      </c>
      <c r="I1303" s="2">
        <f ca="1">YEAR(TODAY())-qhkz_4dqm[[#This Row],[year]]</f>
        <v>2</v>
      </c>
      <c r="J1303" s="2" t="str" cm="1">
        <f t="array" aca="1" ref="J1303" ca="1">_xlfn.IFS(qhkz_4dqm[[#This Row],[vehicle_age]]&lt;=3,"Newer",qhkz_4dqm[[#This Row],[vehicle_age]]&lt;=9,"Mid-age",qhkz_4dqm[[#This Row],[vehicle_age]]&lt;=19,"Older",qhkz_4dqm[[#This Row],[vehicle_age]]&gt;=20,"Very Old")</f>
        <v>Newer</v>
      </c>
    </row>
    <row r="1304" spans="1:10">
      <c r="A1304" s="2">
        <v>24149539</v>
      </c>
      <c r="B1304" s="2">
        <v>2414953901</v>
      </c>
      <c r="C1304" s="2">
        <v>1</v>
      </c>
      <c r="D1304" s="2">
        <v>2016</v>
      </c>
      <c r="E1304" s="2">
        <v>1</v>
      </c>
      <c r="F1304" s="2">
        <v>1479.72</v>
      </c>
      <c r="G1304" s="2">
        <v>707.62</v>
      </c>
      <c r="H1304" s="2" t="str">
        <f>VLOOKUP(qhkz_4dqm[[#This Row],[fuel_type]],lookup!A:B,2,FALSE)</f>
        <v>Gasoline</v>
      </c>
      <c r="I1304" s="2">
        <f ca="1">YEAR(TODAY())-qhkz_4dqm[[#This Row],[year]]</f>
        <v>10</v>
      </c>
      <c r="J1304" s="2" t="str" cm="1">
        <f t="array" aca="1" ref="J1304" ca="1">_xlfn.IFS(qhkz_4dqm[[#This Row],[vehicle_age]]&lt;=3,"Newer",qhkz_4dqm[[#This Row],[vehicle_age]]&lt;=9,"Mid-age",qhkz_4dqm[[#This Row],[vehicle_age]]&lt;=19,"Older",qhkz_4dqm[[#This Row],[vehicle_age]]&gt;=20,"Very Old")</f>
        <v>Older</v>
      </c>
    </row>
    <row r="1305" spans="1:10">
      <c r="A1305" s="2">
        <v>24149543</v>
      </c>
      <c r="B1305" s="2">
        <v>2414954301</v>
      </c>
      <c r="C1305" s="2">
        <v>1</v>
      </c>
      <c r="D1305" s="2">
        <v>2016</v>
      </c>
      <c r="E1305" s="2">
        <v>1</v>
      </c>
      <c r="F1305" s="2">
        <v>201.3</v>
      </c>
      <c r="G1305" s="2">
        <v>290.99</v>
      </c>
      <c r="H1305" s="2" t="str">
        <f>VLOOKUP(qhkz_4dqm[[#This Row],[fuel_type]],lookup!A:B,2,FALSE)</f>
        <v>Gasoline</v>
      </c>
      <c r="I1305" s="2">
        <f ca="1">YEAR(TODAY())-qhkz_4dqm[[#This Row],[year]]</f>
        <v>10</v>
      </c>
      <c r="J1305" s="2" t="str" cm="1">
        <f t="array" aca="1" ref="J1305" ca="1">_xlfn.IFS(qhkz_4dqm[[#This Row],[vehicle_age]]&lt;=3,"Newer",qhkz_4dqm[[#This Row],[vehicle_age]]&lt;=9,"Mid-age",qhkz_4dqm[[#This Row],[vehicle_age]]&lt;=19,"Older",qhkz_4dqm[[#This Row],[vehicle_age]]&gt;=20,"Very Old")</f>
        <v>Older</v>
      </c>
    </row>
    <row r="1306" spans="1:10">
      <c r="A1306" s="2">
        <v>24149549</v>
      </c>
      <c r="B1306" s="2">
        <v>2414954901</v>
      </c>
      <c r="C1306" s="2">
        <v>1</v>
      </c>
      <c r="D1306" s="2">
        <v>2015</v>
      </c>
      <c r="E1306" s="2">
        <v>1</v>
      </c>
      <c r="F1306" s="2">
        <v>659.11</v>
      </c>
      <c r="G1306" s="2">
        <v>3046.54</v>
      </c>
      <c r="H1306" s="2" t="str">
        <f>VLOOKUP(qhkz_4dqm[[#This Row],[fuel_type]],lookup!A:B,2,FALSE)</f>
        <v>Gasoline</v>
      </c>
      <c r="I1306" s="2">
        <f ca="1">YEAR(TODAY())-qhkz_4dqm[[#This Row],[year]]</f>
        <v>11</v>
      </c>
      <c r="J1306" s="2" t="str" cm="1">
        <f t="array" aca="1" ref="J1306" ca="1">_xlfn.IFS(qhkz_4dqm[[#This Row],[vehicle_age]]&lt;=3,"Newer",qhkz_4dqm[[#This Row],[vehicle_age]]&lt;=9,"Mid-age",qhkz_4dqm[[#This Row],[vehicle_age]]&lt;=19,"Older",qhkz_4dqm[[#This Row],[vehicle_age]]&gt;=20,"Very Old")</f>
        <v>Older</v>
      </c>
    </row>
    <row r="1307" spans="1:10">
      <c r="A1307" s="2">
        <v>24149552</v>
      </c>
      <c r="B1307" s="2">
        <v>2414955201</v>
      </c>
      <c r="C1307" s="2">
        <v>1</v>
      </c>
      <c r="D1307" s="2">
        <v>2011</v>
      </c>
      <c r="E1307" s="2">
        <v>1</v>
      </c>
      <c r="F1307" s="2">
        <v>721.92</v>
      </c>
      <c r="G1307" s="2">
        <v>238.47</v>
      </c>
      <c r="H1307" s="2" t="str">
        <f>VLOOKUP(qhkz_4dqm[[#This Row],[fuel_type]],lookup!A:B,2,FALSE)</f>
        <v>Gasoline</v>
      </c>
      <c r="I1307" s="2">
        <f ca="1">YEAR(TODAY())-qhkz_4dqm[[#This Row],[year]]</f>
        <v>15</v>
      </c>
      <c r="J1307" s="2" t="str" cm="1">
        <f t="array" aca="1" ref="J1307" ca="1">_xlfn.IFS(qhkz_4dqm[[#This Row],[vehicle_age]]&lt;=3,"Newer",qhkz_4dqm[[#This Row],[vehicle_age]]&lt;=9,"Mid-age",qhkz_4dqm[[#This Row],[vehicle_age]]&lt;=19,"Older",qhkz_4dqm[[#This Row],[vehicle_age]]&gt;=20,"Very Old")</f>
        <v>Older</v>
      </c>
    </row>
    <row r="1308" spans="1:10">
      <c r="A1308" s="2">
        <v>24149585</v>
      </c>
      <c r="B1308" s="2">
        <v>2414958501</v>
      </c>
      <c r="C1308" s="2">
        <v>1</v>
      </c>
      <c r="D1308" s="2">
        <v>2018</v>
      </c>
      <c r="E1308" s="2">
        <v>1</v>
      </c>
      <c r="F1308" s="2">
        <v>562.35</v>
      </c>
      <c r="G1308" s="2">
        <v>762.49</v>
      </c>
      <c r="H1308" s="2" t="str">
        <f>VLOOKUP(qhkz_4dqm[[#This Row],[fuel_type]],lookup!A:B,2,FALSE)</f>
        <v>Gasoline</v>
      </c>
      <c r="I1308" s="2">
        <f ca="1">YEAR(TODAY())-qhkz_4dqm[[#This Row],[year]]</f>
        <v>8</v>
      </c>
      <c r="J1308" s="2" t="str" cm="1">
        <f t="array" aca="1" ref="J1308" ca="1">_xlfn.IFS(qhkz_4dqm[[#This Row],[vehicle_age]]&lt;=3,"Newer",qhkz_4dqm[[#This Row],[vehicle_age]]&lt;=9,"Mid-age",qhkz_4dqm[[#This Row],[vehicle_age]]&lt;=19,"Older",qhkz_4dqm[[#This Row],[vehicle_age]]&gt;=20,"Very Old")</f>
        <v>Mid-age</v>
      </c>
    </row>
    <row r="1309" spans="1:10">
      <c r="A1309" s="2">
        <v>24149610</v>
      </c>
      <c r="B1309" s="2">
        <v>2414961001</v>
      </c>
      <c r="C1309" s="2">
        <v>1</v>
      </c>
      <c r="D1309" s="2">
        <v>2012</v>
      </c>
      <c r="E1309" s="2">
        <v>1</v>
      </c>
      <c r="F1309" s="2">
        <v>32.369999999999997</v>
      </c>
      <c r="G1309" s="2">
        <v>294.35000000000002</v>
      </c>
      <c r="H1309" s="2" t="str">
        <f>VLOOKUP(qhkz_4dqm[[#This Row],[fuel_type]],lookup!A:B,2,FALSE)</f>
        <v>Gasoline</v>
      </c>
      <c r="I1309" s="2">
        <f ca="1">YEAR(TODAY())-qhkz_4dqm[[#This Row],[year]]</f>
        <v>14</v>
      </c>
      <c r="J1309" s="2" t="str" cm="1">
        <f t="array" aca="1" ref="J1309" ca="1">_xlfn.IFS(qhkz_4dqm[[#This Row],[vehicle_age]]&lt;=3,"Newer",qhkz_4dqm[[#This Row],[vehicle_age]]&lt;=9,"Mid-age",qhkz_4dqm[[#This Row],[vehicle_age]]&lt;=19,"Older",qhkz_4dqm[[#This Row],[vehicle_age]]&gt;=20,"Very Old")</f>
        <v>Older</v>
      </c>
    </row>
    <row r="1310" spans="1:10">
      <c r="A1310" s="2">
        <v>24149615</v>
      </c>
      <c r="B1310" s="2">
        <v>2414961501</v>
      </c>
      <c r="C1310" s="2">
        <v>1</v>
      </c>
      <c r="D1310" s="2">
        <v>2016</v>
      </c>
      <c r="E1310" s="2">
        <v>1</v>
      </c>
      <c r="F1310" s="2">
        <v>3016.41</v>
      </c>
      <c r="G1310" s="2">
        <v>5505.91</v>
      </c>
      <c r="H1310" s="2" t="str">
        <f>VLOOKUP(qhkz_4dqm[[#This Row],[fuel_type]],lookup!A:B,2,FALSE)</f>
        <v>Gasoline</v>
      </c>
      <c r="I1310" s="2">
        <f ca="1">YEAR(TODAY())-qhkz_4dqm[[#This Row],[year]]</f>
        <v>10</v>
      </c>
      <c r="J1310" s="2" t="str" cm="1">
        <f t="array" aca="1" ref="J1310" ca="1">_xlfn.IFS(qhkz_4dqm[[#This Row],[vehicle_age]]&lt;=3,"Newer",qhkz_4dqm[[#This Row],[vehicle_age]]&lt;=9,"Mid-age",qhkz_4dqm[[#This Row],[vehicle_age]]&lt;=19,"Older",qhkz_4dqm[[#This Row],[vehicle_age]]&gt;=20,"Very Old")</f>
        <v>Older</v>
      </c>
    </row>
    <row r="1311" spans="1:10">
      <c r="A1311" s="2">
        <v>24149620</v>
      </c>
      <c r="B1311" s="2">
        <v>2414962001</v>
      </c>
      <c r="C1311" s="2">
        <v>1</v>
      </c>
      <c r="D1311" s="2">
        <v>2021</v>
      </c>
      <c r="E1311" s="2">
        <v>1</v>
      </c>
      <c r="F1311" s="2">
        <v>939.54</v>
      </c>
      <c r="G1311" s="2">
        <v>1406.63</v>
      </c>
      <c r="H1311" s="2" t="str">
        <f>VLOOKUP(qhkz_4dqm[[#This Row],[fuel_type]],lookup!A:B,2,FALSE)</f>
        <v>Gasoline</v>
      </c>
      <c r="I1311" s="2">
        <f ca="1">YEAR(TODAY())-qhkz_4dqm[[#This Row],[year]]</f>
        <v>5</v>
      </c>
      <c r="J1311" s="2" t="str" cm="1">
        <f t="array" aca="1" ref="J1311" ca="1">_xlfn.IFS(qhkz_4dqm[[#This Row],[vehicle_age]]&lt;=3,"Newer",qhkz_4dqm[[#This Row],[vehicle_age]]&lt;=9,"Mid-age",qhkz_4dqm[[#This Row],[vehicle_age]]&lt;=19,"Older",qhkz_4dqm[[#This Row],[vehicle_age]]&gt;=20,"Very Old")</f>
        <v>Mid-age</v>
      </c>
    </row>
    <row r="1312" spans="1:10">
      <c r="A1312" s="2">
        <v>24149634</v>
      </c>
      <c r="B1312" s="2">
        <v>2414963401</v>
      </c>
      <c r="C1312" s="2">
        <v>1</v>
      </c>
      <c r="D1312" s="2">
        <v>2012</v>
      </c>
      <c r="E1312" s="2">
        <v>1</v>
      </c>
      <c r="F1312" s="2">
        <v>3455.08</v>
      </c>
      <c r="G1312" s="2">
        <v>984.78</v>
      </c>
      <c r="H1312" s="2" t="str">
        <f>VLOOKUP(qhkz_4dqm[[#This Row],[fuel_type]],lookup!A:B,2,FALSE)</f>
        <v>Gasoline</v>
      </c>
      <c r="I1312" s="2">
        <f ca="1">YEAR(TODAY())-qhkz_4dqm[[#This Row],[year]]</f>
        <v>14</v>
      </c>
      <c r="J1312" s="2" t="str" cm="1">
        <f t="array" aca="1" ref="J1312" ca="1">_xlfn.IFS(qhkz_4dqm[[#This Row],[vehicle_age]]&lt;=3,"Newer",qhkz_4dqm[[#This Row],[vehicle_age]]&lt;=9,"Mid-age",qhkz_4dqm[[#This Row],[vehicle_age]]&lt;=19,"Older",qhkz_4dqm[[#This Row],[vehicle_age]]&gt;=20,"Very Old")</f>
        <v>Older</v>
      </c>
    </row>
    <row r="1313" spans="1:10">
      <c r="A1313" s="2">
        <v>24149657</v>
      </c>
      <c r="B1313" s="2">
        <v>2414965701</v>
      </c>
      <c r="C1313" s="2">
        <v>1</v>
      </c>
      <c r="D1313" s="2">
        <v>2023</v>
      </c>
      <c r="E1313" s="2">
        <v>1</v>
      </c>
      <c r="F1313" s="2">
        <v>397.87</v>
      </c>
      <c r="G1313" s="2">
        <v>270.97000000000003</v>
      </c>
      <c r="H1313" s="2" t="str">
        <f>VLOOKUP(qhkz_4dqm[[#This Row],[fuel_type]],lookup!A:B,2,FALSE)</f>
        <v>Gasoline</v>
      </c>
      <c r="I1313" s="2">
        <f ca="1">YEAR(TODAY())-qhkz_4dqm[[#This Row],[year]]</f>
        <v>3</v>
      </c>
      <c r="J1313" s="2" t="str" cm="1">
        <f t="array" aca="1" ref="J1313" ca="1">_xlfn.IFS(qhkz_4dqm[[#This Row],[vehicle_age]]&lt;=3,"Newer",qhkz_4dqm[[#This Row],[vehicle_age]]&lt;=9,"Mid-age",qhkz_4dqm[[#This Row],[vehicle_age]]&lt;=19,"Older",qhkz_4dqm[[#This Row],[vehicle_age]]&gt;=20,"Very Old")</f>
        <v>Newer</v>
      </c>
    </row>
    <row r="1314" spans="1:10">
      <c r="A1314" s="2">
        <v>24149662</v>
      </c>
      <c r="B1314" s="2">
        <v>2414966201</v>
      </c>
      <c r="C1314" s="2">
        <v>1</v>
      </c>
      <c r="D1314" s="2">
        <v>2024</v>
      </c>
      <c r="E1314" s="2">
        <v>1</v>
      </c>
      <c r="F1314" s="2">
        <v>201.27</v>
      </c>
      <c r="G1314" s="2">
        <v>217.63</v>
      </c>
      <c r="H1314" s="2" t="str">
        <f>VLOOKUP(qhkz_4dqm[[#This Row],[fuel_type]],lookup!A:B,2,FALSE)</f>
        <v>Gasoline</v>
      </c>
      <c r="I1314" s="2">
        <f ca="1">YEAR(TODAY())-qhkz_4dqm[[#This Row],[year]]</f>
        <v>2</v>
      </c>
      <c r="J1314" s="2" t="str" cm="1">
        <f t="array" aca="1" ref="J1314" ca="1">_xlfn.IFS(qhkz_4dqm[[#This Row],[vehicle_age]]&lt;=3,"Newer",qhkz_4dqm[[#This Row],[vehicle_age]]&lt;=9,"Mid-age",qhkz_4dqm[[#This Row],[vehicle_age]]&lt;=19,"Older",qhkz_4dqm[[#This Row],[vehicle_age]]&gt;=20,"Very Old")</f>
        <v>Newer</v>
      </c>
    </row>
    <row r="1315" spans="1:10">
      <c r="A1315" s="2">
        <v>24149666</v>
      </c>
      <c r="B1315" s="2">
        <v>2414966601</v>
      </c>
      <c r="C1315" s="2">
        <v>1</v>
      </c>
      <c r="D1315" s="2">
        <v>2007</v>
      </c>
      <c r="E1315" s="2">
        <v>1</v>
      </c>
      <c r="F1315" s="2">
        <v>311.23</v>
      </c>
      <c r="G1315" s="2">
        <v>593.75</v>
      </c>
      <c r="H1315" s="2" t="str">
        <f>VLOOKUP(qhkz_4dqm[[#This Row],[fuel_type]],lookup!A:B,2,FALSE)</f>
        <v>Gasoline</v>
      </c>
      <c r="I1315" s="2">
        <f ca="1">YEAR(TODAY())-qhkz_4dqm[[#This Row],[year]]</f>
        <v>19</v>
      </c>
      <c r="J1315" s="2" t="str" cm="1">
        <f t="array" aca="1" ref="J1315" ca="1">_xlfn.IFS(qhkz_4dqm[[#This Row],[vehicle_age]]&lt;=3,"Newer",qhkz_4dqm[[#This Row],[vehicle_age]]&lt;=9,"Mid-age",qhkz_4dqm[[#This Row],[vehicle_age]]&lt;=19,"Older",qhkz_4dqm[[#This Row],[vehicle_age]]&gt;=20,"Very Old")</f>
        <v>Older</v>
      </c>
    </row>
    <row r="1316" spans="1:10">
      <c r="A1316" s="2">
        <v>24149688</v>
      </c>
      <c r="B1316" s="2">
        <v>2414968801</v>
      </c>
      <c r="C1316" s="2">
        <v>1</v>
      </c>
      <c r="D1316" s="2">
        <v>2022</v>
      </c>
      <c r="E1316" s="2">
        <v>1</v>
      </c>
      <c r="F1316" s="2">
        <v>1285.23</v>
      </c>
      <c r="G1316" s="2">
        <v>4559.51</v>
      </c>
      <c r="H1316" s="2" t="str">
        <f>VLOOKUP(qhkz_4dqm[[#This Row],[fuel_type]],lookup!A:B,2,FALSE)</f>
        <v>Gasoline</v>
      </c>
      <c r="I1316" s="2">
        <f ca="1">YEAR(TODAY())-qhkz_4dqm[[#This Row],[year]]</f>
        <v>4</v>
      </c>
      <c r="J1316" s="2" t="str" cm="1">
        <f t="array" aca="1" ref="J1316" ca="1">_xlfn.IFS(qhkz_4dqm[[#This Row],[vehicle_age]]&lt;=3,"Newer",qhkz_4dqm[[#This Row],[vehicle_age]]&lt;=9,"Mid-age",qhkz_4dqm[[#This Row],[vehicle_age]]&lt;=19,"Older",qhkz_4dqm[[#This Row],[vehicle_age]]&gt;=20,"Very Old")</f>
        <v>Mid-age</v>
      </c>
    </row>
    <row r="1317" spans="1:10">
      <c r="A1317" s="2">
        <v>24149693</v>
      </c>
      <c r="B1317" s="2">
        <v>2414969301</v>
      </c>
      <c r="C1317" s="2">
        <v>1</v>
      </c>
      <c r="D1317" s="2">
        <v>2020</v>
      </c>
      <c r="E1317" s="2">
        <v>1</v>
      </c>
      <c r="F1317" s="2">
        <v>857.52</v>
      </c>
      <c r="G1317" s="2">
        <v>141.53</v>
      </c>
      <c r="H1317" s="2" t="str">
        <f>VLOOKUP(qhkz_4dqm[[#This Row],[fuel_type]],lookup!A:B,2,FALSE)</f>
        <v>Gasoline</v>
      </c>
      <c r="I1317" s="2">
        <f ca="1">YEAR(TODAY())-qhkz_4dqm[[#This Row],[year]]</f>
        <v>6</v>
      </c>
      <c r="J1317" s="2" t="str" cm="1">
        <f t="array" aca="1" ref="J1317" ca="1">_xlfn.IFS(qhkz_4dqm[[#This Row],[vehicle_age]]&lt;=3,"Newer",qhkz_4dqm[[#This Row],[vehicle_age]]&lt;=9,"Mid-age",qhkz_4dqm[[#This Row],[vehicle_age]]&lt;=19,"Older",qhkz_4dqm[[#This Row],[vehicle_age]]&gt;=20,"Very Old")</f>
        <v>Mid-age</v>
      </c>
    </row>
    <row r="1318" spans="1:10">
      <c r="A1318" s="2">
        <v>24149706</v>
      </c>
      <c r="B1318" s="2">
        <v>2414970601</v>
      </c>
      <c r="C1318" s="2">
        <v>1</v>
      </c>
      <c r="D1318" s="2">
        <v>2022</v>
      </c>
      <c r="E1318" s="2">
        <v>1</v>
      </c>
      <c r="F1318" s="2">
        <v>10.25</v>
      </c>
      <c r="G1318" s="2">
        <v>259.87</v>
      </c>
      <c r="H1318" s="2" t="str">
        <f>VLOOKUP(qhkz_4dqm[[#This Row],[fuel_type]],lookup!A:B,2,FALSE)</f>
        <v>Gasoline</v>
      </c>
      <c r="I1318" s="2">
        <f ca="1">YEAR(TODAY())-qhkz_4dqm[[#This Row],[year]]</f>
        <v>4</v>
      </c>
      <c r="J1318" s="2" t="str" cm="1">
        <f t="array" aca="1" ref="J1318" ca="1">_xlfn.IFS(qhkz_4dqm[[#This Row],[vehicle_age]]&lt;=3,"Newer",qhkz_4dqm[[#This Row],[vehicle_age]]&lt;=9,"Mid-age",qhkz_4dqm[[#This Row],[vehicle_age]]&lt;=19,"Older",qhkz_4dqm[[#This Row],[vehicle_age]]&gt;=20,"Very Old")</f>
        <v>Mid-age</v>
      </c>
    </row>
    <row r="1319" spans="1:10">
      <c r="A1319" s="2">
        <v>24149716</v>
      </c>
      <c r="B1319" s="2">
        <v>2414971601</v>
      </c>
      <c r="C1319" s="2">
        <v>1</v>
      </c>
      <c r="D1319" s="2">
        <v>2019</v>
      </c>
      <c r="E1319" s="2">
        <v>1</v>
      </c>
      <c r="F1319" s="2">
        <v>37.4</v>
      </c>
      <c r="G1319" s="2">
        <v>198.12</v>
      </c>
      <c r="H1319" s="2" t="str">
        <f>VLOOKUP(qhkz_4dqm[[#This Row],[fuel_type]],lookup!A:B,2,FALSE)</f>
        <v>Gasoline</v>
      </c>
      <c r="I1319" s="2">
        <f ca="1">YEAR(TODAY())-qhkz_4dqm[[#This Row],[year]]</f>
        <v>7</v>
      </c>
      <c r="J1319" s="2" t="str" cm="1">
        <f t="array" aca="1" ref="J1319" ca="1">_xlfn.IFS(qhkz_4dqm[[#This Row],[vehicle_age]]&lt;=3,"Newer",qhkz_4dqm[[#This Row],[vehicle_age]]&lt;=9,"Mid-age",qhkz_4dqm[[#This Row],[vehicle_age]]&lt;=19,"Older",qhkz_4dqm[[#This Row],[vehicle_age]]&gt;=20,"Very Old")</f>
        <v>Mid-age</v>
      </c>
    </row>
    <row r="1320" spans="1:10">
      <c r="A1320" s="2">
        <v>24149722</v>
      </c>
      <c r="B1320" s="2">
        <v>2414972201</v>
      </c>
      <c r="C1320" s="2">
        <v>1</v>
      </c>
      <c r="D1320" s="2">
        <v>2018</v>
      </c>
      <c r="E1320" s="2">
        <v>1</v>
      </c>
      <c r="F1320" s="2">
        <v>191.64</v>
      </c>
      <c r="G1320" s="2">
        <v>383.42</v>
      </c>
      <c r="H1320" s="2" t="str">
        <f>VLOOKUP(qhkz_4dqm[[#This Row],[fuel_type]],lookup!A:B,2,FALSE)</f>
        <v>Gasoline</v>
      </c>
      <c r="I1320" s="2">
        <f ca="1">YEAR(TODAY())-qhkz_4dqm[[#This Row],[year]]</f>
        <v>8</v>
      </c>
      <c r="J1320" s="2" t="str" cm="1">
        <f t="array" aca="1" ref="J1320" ca="1">_xlfn.IFS(qhkz_4dqm[[#This Row],[vehicle_age]]&lt;=3,"Newer",qhkz_4dqm[[#This Row],[vehicle_age]]&lt;=9,"Mid-age",qhkz_4dqm[[#This Row],[vehicle_age]]&lt;=19,"Older",qhkz_4dqm[[#This Row],[vehicle_age]]&gt;=20,"Very Old")</f>
        <v>Mid-age</v>
      </c>
    </row>
    <row r="1321" spans="1:10">
      <c r="A1321" s="2">
        <v>24149729</v>
      </c>
      <c r="B1321" s="2">
        <v>2414972901</v>
      </c>
      <c r="C1321" s="2">
        <v>1</v>
      </c>
      <c r="D1321" s="2">
        <v>2006</v>
      </c>
      <c r="E1321" s="2">
        <v>1</v>
      </c>
      <c r="F1321" s="2">
        <v>2217.46</v>
      </c>
      <c r="G1321" s="2">
        <v>906.16</v>
      </c>
      <c r="H1321" s="2" t="str">
        <f>VLOOKUP(qhkz_4dqm[[#This Row],[fuel_type]],lookup!A:B,2,FALSE)</f>
        <v>Gasoline</v>
      </c>
      <c r="I1321" s="2">
        <f ca="1">YEAR(TODAY())-qhkz_4dqm[[#This Row],[year]]</f>
        <v>20</v>
      </c>
      <c r="J1321" s="2" t="str" cm="1">
        <f t="array" aca="1" ref="J1321" ca="1">_xlfn.IFS(qhkz_4dqm[[#This Row],[vehicle_age]]&lt;=3,"Newer",qhkz_4dqm[[#This Row],[vehicle_age]]&lt;=9,"Mid-age",qhkz_4dqm[[#This Row],[vehicle_age]]&lt;=19,"Older",qhkz_4dqm[[#This Row],[vehicle_age]]&gt;=20,"Very Old")</f>
        <v>Very Old</v>
      </c>
    </row>
    <row r="1322" spans="1:10">
      <c r="A1322" s="2">
        <v>24149732</v>
      </c>
      <c r="B1322" s="2">
        <v>2414973201</v>
      </c>
      <c r="C1322" s="2">
        <v>1</v>
      </c>
      <c r="D1322" s="2">
        <v>2022</v>
      </c>
      <c r="E1322" s="2">
        <v>1</v>
      </c>
      <c r="F1322" s="2">
        <v>875.83</v>
      </c>
      <c r="G1322" s="2">
        <v>1254.53</v>
      </c>
      <c r="H1322" s="2" t="str">
        <f>VLOOKUP(qhkz_4dqm[[#This Row],[fuel_type]],lookup!A:B,2,FALSE)</f>
        <v>Gasoline</v>
      </c>
      <c r="I1322" s="2">
        <f ca="1">YEAR(TODAY())-qhkz_4dqm[[#This Row],[year]]</f>
        <v>4</v>
      </c>
      <c r="J1322" s="2" t="str" cm="1">
        <f t="array" aca="1" ref="J1322" ca="1">_xlfn.IFS(qhkz_4dqm[[#This Row],[vehicle_age]]&lt;=3,"Newer",qhkz_4dqm[[#This Row],[vehicle_age]]&lt;=9,"Mid-age",qhkz_4dqm[[#This Row],[vehicle_age]]&lt;=19,"Older",qhkz_4dqm[[#This Row],[vehicle_age]]&gt;=20,"Very Old")</f>
        <v>Mid-age</v>
      </c>
    </row>
    <row r="1323" spans="1:10">
      <c r="A1323" s="2">
        <v>24149769</v>
      </c>
      <c r="B1323" s="2">
        <v>2414976901</v>
      </c>
      <c r="C1323" s="2">
        <v>1</v>
      </c>
      <c r="D1323" s="2">
        <v>2020</v>
      </c>
      <c r="E1323" s="2">
        <v>1</v>
      </c>
      <c r="F1323" s="2">
        <v>7.38</v>
      </c>
      <c r="G1323" s="2">
        <v>430.33</v>
      </c>
      <c r="H1323" s="2" t="str">
        <f>VLOOKUP(qhkz_4dqm[[#This Row],[fuel_type]],lookup!A:B,2,FALSE)</f>
        <v>Gasoline</v>
      </c>
      <c r="I1323" s="2">
        <f ca="1">YEAR(TODAY())-qhkz_4dqm[[#This Row],[year]]</f>
        <v>6</v>
      </c>
      <c r="J1323" s="2" t="str" cm="1">
        <f t="array" aca="1" ref="J1323" ca="1">_xlfn.IFS(qhkz_4dqm[[#This Row],[vehicle_age]]&lt;=3,"Newer",qhkz_4dqm[[#This Row],[vehicle_age]]&lt;=9,"Mid-age",qhkz_4dqm[[#This Row],[vehicle_age]]&lt;=19,"Older",qhkz_4dqm[[#This Row],[vehicle_age]]&gt;=20,"Very Old")</f>
        <v>Mid-age</v>
      </c>
    </row>
    <row r="1324" spans="1:10">
      <c r="A1324" s="2">
        <v>24149790</v>
      </c>
      <c r="B1324" s="2">
        <v>2414979001</v>
      </c>
      <c r="C1324" s="2">
        <v>1</v>
      </c>
      <c r="D1324" s="2">
        <v>2011</v>
      </c>
      <c r="E1324" s="2">
        <v>1</v>
      </c>
      <c r="F1324" s="2">
        <v>399.69</v>
      </c>
      <c r="G1324" s="2">
        <v>924.45</v>
      </c>
      <c r="H1324" s="2" t="str">
        <f>VLOOKUP(qhkz_4dqm[[#This Row],[fuel_type]],lookup!A:B,2,FALSE)</f>
        <v>Gasoline</v>
      </c>
      <c r="I1324" s="2">
        <f ca="1">YEAR(TODAY())-qhkz_4dqm[[#This Row],[year]]</f>
        <v>15</v>
      </c>
      <c r="J1324" s="2" t="str" cm="1">
        <f t="array" aca="1" ref="J1324" ca="1">_xlfn.IFS(qhkz_4dqm[[#This Row],[vehicle_age]]&lt;=3,"Newer",qhkz_4dqm[[#This Row],[vehicle_age]]&lt;=9,"Mid-age",qhkz_4dqm[[#This Row],[vehicle_age]]&lt;=19,"Older",qhkz_4dqm[[#This Row],[vehicle_age]]&gt;=20,"Very Old")</f>
        <v>Older</v>
      </c>
    </row>
    <row r="1325" spans="1:10">
      <c r="A1325" s="2">
        <v>24149796</v>
      </c>
      <c r="B1325" s="2">
        <v>2414979601</v>
      </c>
      <c r="C1325" s="2">
        <v>1</v>
      </c>
      <c r="D1325" s="2">
        <v>2009</v>
      </c>
      <c r="E1325" s="2">
        <v>1</v>
      </c>
      <c r="F1325" s="2">
        <v>2273.79</v>
      </c>
      <c r="G1325" s="2">
        <v>739.6</v>
      </c>
      <c r="H1325" s="2" t="str">
        <f>VLOOKUP(qhkz_4dqm[[#This Row],[fuel_type]],lookup!A:B,2,FALSE)</f>
        <v>Gasoline</v>
      </c>
      <c r="I1325" s="2">
        <f ca="1">YEAR(TODAY())-qhkz_4dqm[[#This Row],[year]]</f>
        <v>17</v>
      </c>
      <c r="J1325" s="2" t="str" cm="1">
        <f t="array" aca="1" ref="J1325" ca="1">_xlfn.IFS(qhkz_4dqm[[#This Row],[vehicle_age]]&lt;=3,"Newer",qhkz_4dqm[[#This Row],[vehicle_age]]&lt;=9,"Mid-age",qhkz_4dqm[[#This Row],[vehicle_age]]&lt;=19,"Older",qhkz_4dqm[[#This Row],[vehicle_age]]&gt;=20,"Very Old")</f>
        <v>Older</v>
      </c>
    </row>
    <row r="1326" spans="1:10">
      <c r="A1326" s="2">
        <v>24149797</v>
      </c>
      <c r="B1326" s="2">
        <v>2414979701</v>
      </c>
      <c r="C1326" s="2">
        <v>1</v>
      </c>
      <c r="D1326" s="2">
        <v>2016</v>
      </c>
      <c r="E1326" s="2">
        <v>1</v>
      </c>
      <c r="F1326" s="2">
        <v>1024.19</v>
      </c>
      <c r="G1326" s="2">
        <v>502.41</v>
      </c>
      <c r="H1326" s="2" t="str">
        <f>VLOOKUP(qhkz_4dqm[[#This Row],[fuel_type]],lookup!A:B,2,FALSE)</f>
        <v>Gasoline</v>
      </c>
      <c r="I1326" s="2">
        <f ca="1">YEAR(TODAY())-qhkz_4dqm[[#This Row],[year]]</f>
        <v>10</v>
      </c>
      <c r="J1326" s="2" t="str" cm="1">
        <f t="array" aca="1" ref="J1326" ca="1">_xlfn.IFS(qhkz_4dqm[[#This Row],[vehicle_age]]&lt;=3,"Newer",qhkz_4dqm[[#This Row],[vehicle_age]]&lt;=9,"Mid-age",qhkz_4dqm[[#This Row],[vehicle_age]]&lt;=19,"Older",qhkz_4dqm[[#This Row],[vehicle_age]]&gt;=20,"Very Old")</f>
        <v>Older</v>
      </c>
    </row>
    <row r="1327" spans="1:10">
      <c r="A1327" s="2">
        <v>24149801</v>
      </c>
      <c r="B1327" s="2">
        <v>2414980101</v>
      </c>
      <c r="C1327" s="2">
        <v>1</v>
      </c>
      <c r="D1327" s="2">
        <v>2016</v>
      </c>
      <c r="E1327" s="2">
        <v>1</v>
      </c>
      <c r="F1327" s="2">
        <v>2227.89</v>
      </c>
      <c r="G1327" s="2">
        <v>4430.16</v>
      </c>
      <c r="H1327" s="2" t="str">
        <f>VLOOKUP(qhkz_4dqm[[#This Row],[fuel_type]],lookup!A:B,2,FALSE)</f>
        <v>Gasoline</v>
      </c>
      <c r="I1327" s="2">
        <f ca="1">YEAR(TODAY())-qhkz_4dqm[[#This Row],[year]]</f>
        <v>10</v>
      </c>
      <c r="J1327" s="2" t="str" cm="1">
        <f t="array" aca="1" ref="J1327" ca="1">_xlfn.IFS(qhkz_4dqm[[#This Row],[vehicle_age]]&lt;=3,"Newer",qhkz_4dqm[[#This Row],[vehicle_age]]&lt;=9,"Mid-age",qhkz_4dqm[[#This Row],[vehicle_age]]&lt;=19,"Older",qhkz_4dqm[[#This Row],[vehicle_age]]&gt;=20,"Very Old")</f>
        <v>Older</v>
      </c>
    </row>
    <row r="1328" spans="1:10">
      <c r="A1328" s="2">
        <v>24149805</v>
      </c>
      <c r="B1328" s="2">
        <v>2414980501</v>
      </c>
      <c r="C1328" s="2">
        <v>1</v>
      </c>
      <c r="D1328" s="2">
        <v>2020</v>
      </c>
      <c r="E1328" s="2">
        <v>1</v>
      </c>
      <c r="F1328" s="2">
        <v>2.64</v>
      </c>
      <c r="G1328" s="2">
        <v>475.01</v>
      </c>
      <c r="H1328" s="2" t="str">
        <f>VLOOKUP(qhkz_4dqm[[#This Row],[fuel_type]],lookup!A:B,2,FALSE)</f>
        <v>Gasoline</v>
      </c>
      <c r="I1328" s="2">
        <f ca="1">YEAR(TODAY())-qhkz_4dqm[[#This Row],[year]]</f>
        <v>6</v>
      </c>
      <c r="J1328" s="2" t="str" cm="1">
        <f t="array" aca="1" ref="J1328" ca="1">_xlfn.IFS(qhkz_4dqm[[#This Row],[vehicle_age]]&lt;=3,"Newer",qhkz_4dqm[[#This Row],[vehicle_age]]&lt;=9,"Mid-age",qhkz_4dqm[[#This Row],[vehicle_age]]&lt;=19,"Older",qhkz_4dqm[[#This Row],[vehicle_age]]&gt;=20,"Very Old")</f>
        <v>Mid-age</v>
      </c>
    </row>
    <row r="1329" spans="1:10">
      <c r="A1329" s="2">
        <v>24149822</v>
      </c>
      <c r="B1329" s="2">
        <v>2414982201</v>
      </c>
      <c r="C1329" s="2">
        <v>1</v>
      </c>
      <c r="D1329" s="2">
        <v>2015</v>
      </c>
      <c r="E1329" s="2">
        <v>1</v>
      </c>
      <c r="F1329" s="2">
        <v>6.24</v>
      </c>
      <c r="G1329" s="2">
        <v>188.41</v>
      </c>
      <c r="H1329" s="2" t="str">
        <f>VLOOKUP(qhkz_4dqm[[#This Row],[fuel_type]],lookup!A:B,2,FALSE)</f>
        <v>Gasoline</v>
      </c>
      <c r="I1329" s="2">
        <f ca="1">YEAR(TODAY())-qhkz_4dqm[[#This Row],[year]]</f>
        <v>11</v>
      </c>
      <c r="J1329" s="2" t="str" cm="1">
        <f t="array" aca="1" ref="J1329" ca="1">_xlfn.IFS(qhkz_4dqm[[#This Row],[vehicle_age]]&lt;=3,"Newer",qhkz_4dqm[[#This Row],[vehicle_age]]&lt;=9,"Mid-age",qhkz_4dqm[[#This Row],[vehicle_age]]&lt;=19,"Older",qhkz_4dqm[[#This Row],[vehicle_age]]&gt;=20,"Very Old")</f>
        <v>Older</v>
      </c>
    </row>
    <row r="1330" spans="1:10">
      <c r="A1330" s="2">
        <v>24149826</v>
      </c>
      <c r="B1330" s="2">
        <v>2414982601</v>
      </c>
      <c r="C1330" s="2">
        <v>1</v>
      </c>
      <c r="D1330" s="2">
        <v>2015</v>
      </c>
      <c r="E1330" s="2">
        <v>1</v>
      </c>
      <c r="F1330" s="2">
        <v>0.92</v>
      </c>
      <c r="G1330" s="2">
        <v>217.63</v>
      </c>
      <c r="H1330" s="2" t="str">
        <f>VLOOKUP(qhkz_4dqm[[#This Row],[fuel_type]],lookup!A:B,2,FALSE)</f>
        <v>Gasoline</v>
      </c>
      <c r="I1330" s="2">
        <f ca="1">YEAR(TODAY())-qhkz_4dqm[[#This Row],[year]]</f>
        <v>11</v>
      </c>
      <c r="J1330" s="2" t="str" cm="1">
        <f t="array" aca="1" ref="J1330" ca="1">_xlfn.IFS(qhkz_4dqm[[#This Row],[vehicle_age]]&lt;=3,"Newer",qhkz_4dqm[[#This Row],[vehicle_age]]&lt;=9,"Mid-age",qhkz_4dqm[[#This Row],[vehicle_age]]&lt;=19,"Older",qhkz_4dqm[[#This Row],[vehicle_age]]&gt;=20,"Very Old")</f>
        <v>Older</v>
      </c>
    </row>
    <row r="1331" spans="1:10">
      <c r="A1331" s="2">
        <v>24149828</v>
      </c>
      <c r="B1331" s="2">
        <v>2414982801</v>
      </c>
      <c r="C1331" s="2">
        <v>1</v>
      </c>
      <c r="D1331" s="2">
        <v>2015</v>
      </c>
      <c r="E1331" s="2">
        <v>1</v>
      </c>
      <c r="F1331" s="2">
        <v>1.83</v>
      </c>
      <c r="G1331" s="2">
        <v>195.98</v>
      </c>
      <c r="H1331" s="2" t="str">
        <f>VLOOKUP(qhkz_4dqm[[#This Row],[fuel_type]],lookup!A:B,2,FALSE)</f>
        <v>Gasoline</v>
      </c>
      <c r="I1331" s="2">
        <f ca="1">YEAR(TODAY())-qhkz_4dqm[[#This Row],[year]]</f>
        <v>11</v>
      </c>
      <c r="J1331" s="2" t="str" cm="1">
        <f t="array" aca="1" ref="J1331" ca="1">_xlfn.IFS(qhkz_4dqm[[#This Row],[vehicle_age]]&lt;=3,"Newer",qhkz_4dqm[[#This Row],[vehicle_age]]&lt;=9,"Mid-age",qhkz_4dqm[[#This Row],[vehicle_age]]&lt;=19,"Older",qhkz_4dqm[[#This Row],[vehicle_age]]&gt;=20,"Very Old")</f>
        <v>Older</v>
      </c>
    </row>
    <row r="1332" spans="1:10">
      <c r="A1332" s="2">
        <v>24149835</v>
      </c>
      <c r="B1332" s="2">
        <v>2414983501</v>
      </c>
      <c r="C1332" s="2">
        <v>1</v>
      </c>
      <c r="D1332" s="2">
        <v>2019</v>
      </c>
      <c r="E1332" s="2">
        <v>1</v>
      </c>
      <c r="F1332" s="2">
        <v>443.03</v>
      </c>
      <c r="G1332" s="2">
        <v>445.31</v>
      </c>
      <c r="H1332" s="2" t="str">
        <f>VLOOKUP(qhkz_4dqm[[#This Row],[fuel_type]],lookup!A:B,2,FALSE)</f>
        <v>Gasoline</v>
      </c>
      <c r="I1332" s="2">
        <f ca="1">YEAR(TODAY())-qhkz_4dqm[[#This Row],[year]]</f>
        <v>7</v>
      </c>
      <c r="J1332" s="2" t="str" cm="1">
        <f t="array" aca="1" ref="J1332" ca="1">_xlfn.IFS(qhkz_4dqm[[#This Row],[vehicle_age]]&lt;=3,"Newer",qhkz_4dqm[[#This Row],[vehicle_age]]&lt;=9,"Mid-age",qhkz_4dqm[[#This Row],[vehicle_age]]&lt;=19,"Older",qhkz_4dqm[[#This Row],[vehicle_age]]&gt;=20,"Very Old")</f>
        <v>Mid-age</v>
      </c>
    </row>
    <row r="1333" spans="1:10">
      <c r="A1333" s="2">
        <v>24149836</v>
      </c>
      <c r="B1333" s="2">
        <v>2414983601</v>
      </c>
      <c r="C1333" s="2">
        <v>1</v>
      </c>
      <c r="D1333" s="2">
        <v>2017</v>
      </c>
      <c r="E1333" s="2">
        <v>1</v>
      </c>
      <c r="F1333" s="2">
        <v>5113.3599999999997</v>
      </c>
      <c r="G1333" s="2">
        <v>4407.84</v>
      </c>
      <c r="H1333" s="2" t="str">
        <f>VLOOKUP(qhkz_4dqm[[#This Row],[fuel_type]],lookup!A:B,2,FALSE)</f>
        <v>Gasoline</v>
      </c>
      <c r="I1333" s="2">
        <f ca="1">YEAR(TODAY())-qhkz_4dqm[[#This Row],[year]]</f>
        <v>9</v>
      </c>
      <c r="J1333" s="2" t="str" cm="1">
        <f t="array" aca="1" ref="J1333" ca="1">_xlfn.IFS(qhkz_4dqm[[#This Row],[vehicle_age]]&lt;=3,"Newer",qhkz_4dqm[[#This Row],[vehicle_age]]&lt;=9,"Mid-age",qhkz_4dqm[[#This Row],[vehicle_age]]&lt;=19,"Older",qhkz_4dqm[[#This Row],[vehicle_age]]&gt;=20,"Very Old")</f>
        <v>Mid-age</v>
      </c>
    </row>
    <row r="1334" spans="1:10">
      <c r="A1334" s="2">
        <v>24149856</v>
      </c>
      <c r="B1334" s="2">
        <v>2414985601</v>
      </c>
      <c r="C1334" s="2">
        <v>1</v>
      </c>
      <c r="D1334" s="2">
        <v>2007</v>
      </c>
      <c r="E1334" s="2">
        <v>1</v>
      </c>
      <c r="F1334" s="2">
        <v>821.89</v>
      </c>
      <c r="G1334" s="2">
        <v>634.38</v>
      </c>
      <c r="H1334" s="2" t="str">
        <f>VLOOKUP(qhkz_4dqm[[#This Row],[fuel_type]],lookup!A:B,2,FALSE)</f>
        <v>Gasoline</v>
      </c>
      <c r="I1334" s="2">
        <f ca="1">YEAR(TODAY())-qhkz_4dqm[[#This Row],[year]]</f>
        <v>19</v>
      </c>
      <c r="J1334" s="2" t="str" cm="1">
        <f t="array" aca="1" ref="J1334" ca="1">_xlfn.IFS(qhkz_4dqm[[#This Row],[vehicle_age]]&lt;=3,"Newer",qhkz_4dqm[[#This Row],[vehicle_age]]&lt;=9,"Mid-age",qhkz_4dqm[[#This Row],[vehicle_age]]&lt;=19,"Older",qhkz_4dqm[[#This Row],[vehicle_age]]&gt;=20,"Very Old")</f>
        <v>Older</v>
      </c>
    </row>
    <row r="1335" spans="1:10">
      <c r="A1335" s="2">
        <v>24149859</v>
      </c>
      <c r="B1335" s="2">
        <v>2414985901</v>
      </c>
      <c r="C1335" s="2">
        <v>1</v>
      </c>
      <c r="D1335" s="2">
        <v>2008</v>
      </c>
      <c r="E1335" s="2">
        <v>1</v>
      </c>
      <c r="F1335" s="2">
        <v>1109.82</v>
      </c>
      <c r="G1335" s="2">
        <v>1424.08</v>
      </c>
      <c r="H1335" s="2" t="str">
        <f>VLOOKUP(qhkz_4dqm[[#This Row],[fuel_type]],lookup!A:B,2,FALSE)</f>
        <v>Gasoline</v>
      </c>
      <c r="I1335" s="2">
        <f ca="1">YEAR(TODAY())-qhkz_4dqm[[#This Row],[year]]</f>
        <v>18</v>
      </c>
      <c r="J1335" s="2" t="str" cm="1">
        <f t="array" aca="1" ref="J1335" ca="1">_xlfn.IFS(qhkz_4dqm[[#This Row],[vehicle_age]]&lt;=3,"Newer",qhkz_4dqm[[#This Row],[vehicle_age]]&lt;=9,"Mid-age",qhkz_4dqm[[#This Row],[vehicle_age]]&lt;=19,"Older",qhkz_4dqm[[#This Row],[vehicle_age]]&gt;=20,"Very Old")</f>
        <v>Older</v>
      </c>
    </row>
    <row r="1336" spans="1:10">
      <c r="A1336" s="2">
        <v>24149860</v>
      </c>
      <c r="B1336" s="2">
        <v>2414986001</v>
      </c>
      <c r="C1336" s="2">
        <v>1</v>
      </c>
      <c r="D1336" s="2">
        <v>2016</v>
      </c>
      <c r="E1336" s="2">
        <v>1</v>
      </c>
      <c r="F1336" s="2">
        <v>1624.47</v>
      </c>
      <c r="G1336" s="2">
        <v>502.02</v>
      </c>
      <c r="H1336" s="2" t="str">
        <f>VLOOKUP(qhkz_4dqm[[#This Row],[fuel_type]],lookup!A:B,2,FALSE)</f>
        <v>Gasoline</v>
      </c>
      <c r="I1336" s="2">
        <f ca="1">YEAR(TODAY())-qhkz_4dqm[[#This Row],[year]]</f>
        <v>10</v>
      </c>
      <c r="J1336" s="2" t="str" cm="1">
        <f t="array" aca="1" ref="J1336" ca="1">_xlfn.IFS(qhkz_4dqm[[#This Row],[vehicle_age]]&lt;=3,"Newer",qhkz_4dqm[[#This Row],[vehicle_age]]&lt;=9,"Mid-age",qhkz_4dqm[[#This Row],[vehicle_age]]&lt;=19,"Older",qhkz_4dqm[[#This Row],[vehicle_age]]&gt;=20,"Very Old")</f>
        <v>Older</v>
      </c>
    </row>
    <row r="1337" spans="1:10">
      <c r="A1337" s="2">
        <v>24149873</v>
      </c>
      <c r="B1337" s="2">
        <v>2414987301</v>
      </c>
      <c r="C1337" s="2">
        <v>1</v>
      </c>
      <c r="D1337" s="2">
        <v>2019</v>
      </c>
      <c r="E1337" s="2">
        <v>1</v>
      </c>
      <c r="F1337" s="2">
        <v>5472.51</v>
      </c>
      <c r="G1337" s="2">
        <v>2497.75</v>
      </c>
      <c r="H1337" s="2" t="str">
        <f>VLOOKUP(qhkz_4dqm[[#This Row],[fuel_type]],lookup!A:B,2,FALSE)</f>
        <v>Gasoline</v>
      </c>
      <c r="I1337" s="2">
        <f ca="1">YEAR(TODAY())-qhkz_4dqm[[#This Row],[year]]</f>
        <v>7</v>
      </c>
      <c r="J1337" s="2" t="str" cm="1">
        <f t="array" aca="1" ref="J1337" ca="1">_xlfn.IFS(qhkz_4dqm[[#This Row],[vehicle_age]]&lt;=3,"Newer",qhkz_4dqm[[#This Row],[vehicle_age]]&lt;=9,"Mid-age",qhkz_4dqm[[#This Row],[vehicle_age]]&lt;=19,"Older",qhkz_4dqm[[#This Row],[vehicle_age]]&gt;=20,"Very Old")</f>
        <v>Mid-age</v>
      </c>
    </row>
    <row r="1338" spans="1:10">
      <c r="A1338" s="2">
        <v>24149878</v>
      </c>
      <c r="B1338" s="2">
        <v>2414987801</v>
      </c>
      <c r="C1338" s="2">
        <v>1</v>
      </c>
      <c r="D1338" s="2">
        <v>2016</v>
      </c>
      <c r="E1338" s="2">
        <v>1</v>
      </c>
      <c r="F1338" s="2">
        <v>8.99</v>
      </c>
      <c r="G1338" s="2">
        <v>192.61</v>
      </c>
      <c r="H1338" s="2" t="str">
        <f>VLOOKUP(qhkz_4dqm[[#This Row],[fuel_type]],lookup!A:B,2,FALSE)</f>
        <v>Gasoline</v>
      </c>
      <c r="I1338" s="2">
        <f ca="1">YEAR(TODAY())-qhkz_4dqm[[#This Row],[year]]</f>
        <v>10</v>
      </c>
      <c r="J1338" s="2" t="str" cm="1">
        <f t="array" aca="1" ref="J1338" ca="1">_xlfn.IFS(qhkz_4dqm[[#This Row],[vehicle_age]]&lt;=3,"Newer",qhkz_4dqm[[#This Row],[vehicle_age]]&lt;=9,"Mid-age",qhkz_4dqm[[#This Row],[vehicle_age]]&lt;=19,"Older",qhkz_4dqm[[#This Row],[vehicle_age]]&gt;=20,"Very Old")</f>
        <v>Older</v>
      </c>
    </row>
    <row r="1339" spans="1:10">
      <c r="A1339" s="2">
        <v>24149880</v>
      </c>
      <c r="B1339" s="2">
        <v>2414988001</v>
      </c>
      <c r="C1339" s="2">
        <v>1</v>
      </c>
      <c r="D1339" s="2">
        <v>2022</v>
      </c>
      <c r="E1339" s="2">
        <v>1</v>
      </c>
      <c r="F1339" s="2">
        <v>1408.67</v>
      </c>
      <c r="G1339" s="2">
        <v>1806.99</v>
      </c>
      <c r="H1339" s="2" t="str">
        <f>VLOOKUP(qhkz_4dqm[[#This Row],[fuel_type]],lookup!A:B,2,FALSE)</f>
        <v>Gasoline</v>
      </c>
      <c r="I1339" s="2">
        <f ca="1">YEAR(TODAY())-qhkz_4dqm[[#This Row],[year]]</f>
        <v>4</v>
      </c>
      <c r="J1339" s="2" t="str" cm="1">
        <f t="array" aca="1" ref="J1339" ca="1">_xlfn.IFS(qhkz_4dqm[[#This Row],[vehicle_age]]&lt;=3,"Newer",qhkz_4dqm[[#This Row],[vehicle_age]]&lt;=9,"Mid-age",qhkz_4dqm[[#This Row],[vehicle_age]]&lt;=19,"Older",qhkz_4dqm[[#This Row],[vehicle_age]]&gt;=20,"Very Old")</f>
        <v>Mid-age</v>
      </c>
    </row>
    <row r="1340" spans="1:10">
      <c r="A1340" s="2">
        <v>24149887</v>
      </c>
      <c r="B1340" s="2">
        <v>2414988701</v>
      </c>
      <c r="C1340" s="2">
        <v>1</v>
      </c>
      <c r="D1340" s="2">
        <v>2020</v>
      </c>
      <c r="E1340" s="2">
        <v>1</v>
      </c>
      <c r="F1340" s="2">
        <v>133</v>
      </c>
      <c r="G1340" s="2">
        <v>192.94</v>
      </c>
      <c r="H1340" s="2" t="str">
        <f>VLOOKUP(qhkz_4dqm[[#This Row],[fuel_type]],lookup!A:B,2,FALSE)</f>
        <v>Gasoline</v>
      </c>
      <c r="I1340" s="2">
        <f ca="1">YEAR(TODAY())-qhkz_4dqm[[#This Row],[year]]</f>
        <v>6</v>
      </c>
      <c r="J1340" s="2" t="str" cm="1">
        <f t="array" aca="1" ref="J1340" ca="1">_xlfn.IFS(qhkz_4dqm[[#This Row],[vehicle_age]]&lt;=3,"Newer",qhkz_4dqm[[#This Row],[vehicle_age]]&lt;=9,"Mid-age",qhkz_4dqm[[#This Row],[vehicle_age]]&lt;=19,"Older",qhkz_4dqm[[#This Row],[vehicle_age]]&gt;=20,"Very Old")</f>
        <v>Mid-age</v>
      </c>
    </row>
    <row r="1341" spans="1:10">
      <c r="A1341" s="2">
        <v>24149889</v>
      </c>
      <c r="B1341" s="2">
        <v>2414988901</v>
      </c>
      <c r="C1341" s="2">
        <v>1</v>
      </c>
      <c r="D1341" s="2">
        <v>2008</v>
      </c>
      <c r="E1341" s="2">
        <v>5</v>
      </c>
      <c r="F1341" s="2">
        <v>204.91</v>
      </c>
      <c r="G1341" s="2">
        <v>476.56</v>
      </c>
      <c r="H1341" s="2" t="str">
        <f>VLOOKUP(qhkz_4dqm[[#This Row],[fuel_type]],lookup!A:B,2,FALSE)</f>
        <v>Plug-in Hybrid</v>
      </c>
      <c r="I1341" s="2">
        <f ca="1">YEAR(TODAY())-qhkz_4dqm[[#This Row],[year]]</f>
        <v>18</v>
      </c>
      <c r="J1341" s="2" t="str" cm="1">
        <f t="array" aca="1" ref="J1341" ca="1">_xlfn.IFS(qhkz_4dqm[[#This Row],[vehicle_age]]&lt;=3,"Newer",qhkz_4dqm[[#This Row],[vehicle_age]]&lt;=9,"Mid-age",qhkz_4dqm[[#This Row],[vehicle_age]]&lt;=19,"Older",qhkz_4dqm[[#This Row],[vehicle_age]]&gt;=20,"Very Old")</f>
        <v>Older</v>
      </c>
    </row>
    <row r="1342" spans="1:10">
      <c r="A1342" s="2">
        <v>24149896</v>
      </c>
      <c r="B1342" s="2">
        <v>2414989601</v>
      </c>
      <c r="C1342" s="2">
        <v>1</v>
      </c>
      <c r="D1342" s="2">
        <v>2018</v>
      </c>
      <c r="E1342" s="2">
        <v>1</v>
      </c>
      <c r="F1342" s="2">
        <v>862.14</v>
      </c>
      <c r="G1342" s="2">
        <v>475.27</v>
      </c>
      <c r="H1342" s="2" t="str">
        <f>VLOOKUP(qhkz_4dqm[[#This Row],[fuel_type]],lookup!A:B,2,FALSE)</f>
        <v>Gasoline</v>
      </c>
      <c r="I1342" s="2">
        <f ca="1">YEAR(TODAY())-qhkz_4dqm[[#This Row],[year]]</f>
        <v>8</v>
      </c>
      <c r="J1342" s="2" t="str" cm="1">
        <f t="array" aca="1" ref="J1342" ca="1">_xlfn.IFS(qhkz_4dqm[[#This Row],[vehicle_age]]&lt;=3,"Newer",qhkz_4dqm[[#This Row],[vehicle_age]]&lt;=9,"Mid-age",qhkz_4dqm[[#This Row],[vehicle_age]]&lt;=19,"Older",qhkz_4dqm[[#This Row],[vehicle_age]]&gt;=20,"Very Old")</f>
        <v>Mid-age</v>
      </c>
    </row>
    <row r="1343" spans="1:10">
      <c r="A1343" s="2">
        <v>24149904</v>
      </c>
      <c r="B1343" s="2">
        <v>2414990401</v>
      </c>
      <c r="C1343" s="2">
        <v>1</v>
      </c>
      <c r="D1343" s="2">
        <v>2014</v>
      </c>
      <c r="E1343" s="2">
        <v>1</v>
      </c>
      <c r="F1343" s="2">
        <v>277.23</v>
      </c>
      <c r="G1343" s="2">
        <v>397.27</v>
      </c>
      <c r="H1343" s="2" t="str">
        <f>VLOOKUP(qhkz_4dqm[[#This Row],[fuel_type]],lookup!A:B,2,FALSE)</f>
        <v>Gasoline</v>
      </c>
      <c r="I1343" s="2">
        <f ca="1">YEAR(TODAY())-qhkz_4dqm[[#This Row],[year]]</f>
        <v>12</v>
      </c>
      <c r="J1343" s="2" t="str" cm="1">
        <f t="array" aca="1" ref="J1343" ca="1">_xlfn.IFS(qhkz_4dqm[[#This Row],[vehicle_age]]&lt;=3,"Newer",qhkz_4dqm[[#This Row],[vehicle_age]]&lt;=9,"Mid-age",qhkz_4dqm[[#This Row],[vehicle_age]]&lt;=19,"Older",qhkz_4dqm[[#This Row],[vehicle_age]]&gt;=20,"Very Old")</f>
        <v>Older</v>
      </c>
    </row>
    <row r="1344" spans="1:10">
      <c r="A1344" s="2">
        <v>24149910</v>
      </c>
      <c r="B1344" s="2">
        <v>2414991001</v>
      </c>
      <c r="C1344" s="2">
        <v>1</v>
      </c>
      <c r="D1344" s="2">
        <v>2018</v>
      </c>
      <c r="E1344" s="2">
        <v>1</v>
      </c>
      <c r="F1344" s="2">
        <v>409.49</v>
      </c>
      <c r="G1344" s="2">
        <v>475.27</v>
      </c>
      <c r="H1344" s="2" t="str">
        <f>VLOOKUP(qhkz_4dqm[[#This Row],[fuel_type]],lookup!A:B,2,FALSE)</f>
        <v>Gasoline</v>
      </c>
      <c r="I1344" s="2">
        <f ca="1">YEAR(TODAY())-qhkz_4dqm[[#This Row],[year]]</f>
        <v>8</v>
      </c>
      <c r="J1344" s="2" t="str" cm="1">
        <f t="array" aca="1" ref="J1344" ca="1">_xlfn.IFS(qhkz_4dqm[[#This Row],[vehicle_age]]&lt;=3,"Newer",qhkz_4dqm[[#This Row],[vehicle_age]]&lt;=9,"Mid-age",qhkz_4dqm[[#This Row],[vehicle_age]]&lt;=19,"Older",qhkz_4dqm[[#This Row],[vehicle_age]]&gt;=20,"Very Old")</f>
        <v>Mid-age</v>
      </c>
    </row>
    <row r="1345" spans="1:10">
      <c r="A1345" s="2">
        <v>24149912</v>
      </c>
      <c r="B1345" s="2">
        <v>2414991201</v>
      </c>
      <c r="C1345" s="2">
        <v>1</v>
      </c>
      <c r="D1345" s="2">
        <v>2009</v>
      </c>
      <c r="E1345" s="2">
        <v>1</v>
      </c>
      <c r="F1345" s="2">
        <v>63.5</v>
      </c>
      <c r="G1345" s="2">
        <v>562.62</v>
      </c>
      <c r="H1345" s="2" t="str">
        <f>VLOOKUP(qhkz_4dqm[[#This Row],[fuel_type]],lookup!A:B,2,FALSE)</f>
        <v>Gasoline</v>
      </c>
      <c r="I1345" s="2">
        <f ca="1">YEAR(TODAY())-qhkz_4dqm[[#This Row],[year]]</f>
        <v>17</v>
      </c>
      <c r="J1345" s="2" t="str" cm="1">
        <f t="array" aca="1" ref="J1345" ca="1">_xlfn.IFS(qhkz_4dqm[[#This Row],[vehicle_age]]&lt;=3,"Newer",qhkz_4dqm[[#This Row],[vehicle_age]]&lt;=9,"Mid-age",qhkz_4dqm[[#This Row],[vehicle_age]]&lt;=19,"Older",qhkz_4dqm[[#This Row],[vehicle_age]]&gt;=20,"Very Old")</f>
        <v>Older</v>
      </c>
    </row>
    <row r="1346" spans="1:10">
      <c r="A1346" s="2">
        <v>24149922</v>
      </c>
      <c r="B1346" s="2">
        <v>2414992201</v>
      </c>
      <c r="C1346" s="2">
        <v>1</v>
      </c>
      <c r="D1346" s="2">
        <v>2015</v>
      </c>
      <c r="E1346" s="2">
        <v>1</v>
      </c>
      <c r="F1346" s="2">
        <v>667.18</v>
      </c>
      <c r="G1346" s="2">
        <v>1767.49</v>
      </c>
      <c r="H1346" s="2" t="str">
        <f>VLOOKUP(qhkz_4dqm[[#This Row],[fuel_type]],lookup!A:B,2,FALSE)</f>
        <v>Gasoline</v>
      </c>
      <c r="I1346" s="2">
        <f ca="1">YEAR(TODAY())-qhkz_4dqm[[#This Row],[year]]</f>
        <v>11</v>
      </c>
      <c r="J1346" s="2" t="str" cm="1">
        <f t="array" aca="1" ref="J1346" ca="1">_xlfn.IFS(qhkz_4dqm[[#This Row],[vehicle_age]]&lt;=3,"Newer",qhkz_4dqm[[#This Row],[vehicle_age]]&lt;=9,"Mid-age",qhkz_4dqm[[#This Row],[vehicle_age]]&lt;=19,"Older",qhkz_4dqm[[#This Row],[vehicle_age]]&gt;=20,"Very Old")</f>
        <v>Older</v>
      </c>
    </row>
    <row r="1347" spans="1:10">
      <c r="A1347" s="2">
        <v>24149924</v>
      </c>
      <c r="B1347" s="2">
        <v>2414992401</v>
      </c>
      <c r="C1347" s="2">
        <v>1</v>
      </c>
      <c r="D1347" s="2">
        <v>2020</v>
      </c>
      <c r="E1347" s="2">
        <v>1</v>
      </c>
      <c r="F1347" s="2">
        <v>33.39</v>
      </c>
      <c r="G1347" s="2">
        <v>599.55999999999995</v>
      </c>
      <c r="H1347" s="2" t="str">
        <f>VLOOKUP(qhkz_4dqm[[#This Row],[fuel_type]],lookup!A:B,2,FALSE)</f>
        <v>Gasoline</v>
      </c>
      <c r="I1347" s="2">
        <f ca="1">YEAR(TODAY())-qhkz_4dqm[[#This Row],[year]]</f>
        <v>6</v>
      </c>
      <c r="J1347" s="2" t="str" cm="1">
        <f t="array" aca="1" ref="J1347" ca="1">_xlfn.IFS(qhkz_4dqm[[#This Row],[vehicle_age]]&lt;=3,"Newer",qhkz_4dqm[[#This Row],[vehicle_age]]&lt;=9,"Mid-age",qhkz_4dqm[[#This Row],[vehicle_age]]&lt;=19,"Older",qhkz_4dqm[[#This Row],[vehicle_age]]&gt;=20,"Very Old")</f>
        <v>Mid-age</v>
      </c>
    </row>
    <row r="1348" spans="1:10">
      <c r="A1348" s="2">
        <v>24149943</v>
      </c>
      <c r="B1348" s="2">
        <v>2414994301</v>
      </c>
      <c r="C1348" s="2">
        <v>1</v>
      </c>
      <c r="D1348" s="2">
        <v>2017</v>
      </c>
      <c r="E1348" s="2">
        <v>1</v>
      </c>
      <c r="F1348" s="2">
        <v>1.58</v>
      </c>
      <c r="G1348" s="2">
        <v>290.49</v>
      </c>
      <c r="H1348" s="2" t="str">
        <f>VLOOKUP(qhkz_4dqm[[#This Row],[fuel_type]],lookup!A:B,2,FALSE)</f>
        <v>Gasoline</v>
      </c>
      <c r="I1348" s="2">
        <f ca="1">YEAR(TODAY())-qhkz_4dqm[[#This Row],[year]]</f>
        <v>9</v>
      </c>
      <c r="J1348" s="2" t="str" cm="1">
        <f t="array" aca="1" ref="J1348" ca="1">_xlfn.IFS(qhkz_4dqm[[#This Row],[vehicle_age]]&lt;=3,"Newer",qhkz_4dqm[[#This Row],[vehicle_age]]&lt;=9,"Mid-age",qhkz_4dqm[[#This Row],[vehicle_age]]&lt;=19,"Older",qhkz_4dqm[[#This Row],[vehicle_age]]&gt;=20,"Very Old")</f>
        <v>Mid-age</v>
      </c>
    </row>
    <row r="1349" spans="1:10">
      <c r="A1349" s="2">
        <v>24149946</v>
      </c>
      <c r="B1349" s="2">
        <v>2414994601</v>
      </c>
      <c r="C1349" s="2">
        <v>1</v>
      </c>
      <c r="D1349" s="2">
        <v>2022</v>
      </c>
      <c r="E1349" s="2">
        <v>1</v>
      </c>
      <c r="F1349" s="2">
        <v>2977.94</v>
      </c>
      <c r="G1349" s="2">
        <v>3044.61</v>
      </c>
      <c r="H1349" s="2" t="str">
        <f>VLOOKUP(qhkz_4dqm[[#This Row],[fuel_type]],lookup!A:B,2,FALSE)</f>
        <v>Gasoline</v>
      </c>
      <c r="I1349" s="2">
        <f ca="1">YEAR(TODAY())-qhkz_4dqm[[#This Row],[year]]</f>
        <v>4</v>
      </c>
      <c r="J1349" s="2" t="str" cm="1">
        <f t="array" aca="1" ref="J1349" ca="1">_xlfn.IFS(qhkz_4dqm[[#This Row],[vehicle_age]]&lt;=3,"Newer",qhkz_4dqm[[#This Row],[vehicle_age]]&lt;=9,"Mid-age",qhkz_4dqm[[#This Row],[vehicle_age]]&lt;=19,"Older",qhkz_4dqm[[#This Row],[vehicle_age]]&gt;=20,"Very Old")</f>
        <v>Mid-age</v>
      </c>
    </row>
    <row r="1350" spans="1:10">
      <c r="A1350" s="2">
        <v>24149958</v>
      </c>
      <c r="B1350" s="2">
        <v>2414995801</v>
      </c>
      <c r="C1350" s="2">
        <v>1</v>
      </c>
      <c r="D1350" s="2">
        <v>2017</v>
      </c>
      <c r="E1350" s="2">
        <v>1</v>
      </c>
      <c r="F1350" s="2">
        <v>200.27</v>
      </c>
      <c r="G1350" s="2">
        <v>252.17</v>
      </c>
      <c r="H1350" s="2" t="str">
        <f>VLOOKUP(qhkz_4dqm[[#This Row],[fuel_type]],lookup!A:B,2,FALSE)</f>
        <v>Gasoline</v>
      </c>
      <c r="I1350" s="2">
        <f ca="1">YEAR(TODAY())-qhkz_4dqm[[#This Row],[year]]</f>
        <v>9</v>
      </c>
      <c r="J1350" s="2" t="str" cm="1">
        <f t="array" aca="1" ref="J1350" ca="1">_xlfn.IFS(qhkz_4dqm[[#This Row],[vehicle_age]]&lt;=3,"Newer",qhkz_4dqm[[#This Row],[vehicle_age]]&lt;=9,"Mid-age",qhkz_4dqm[[#This Row],[vehicle_age]]&lt;=19,"Older",qhkz_4dqm[[#This Row],[vehicle_age]]&gt;=20,"Very Old")</f>
        <v>Mid-age</v>
      </c>
    </row>
    <row r="1351" spans="1:10">
      <c r="A1351" s="2">
        <v>24149969</v>
      </c>
      <c r="B1351" s="2">
        <v>2414996901</v>
      </c>
      <c r="C1351" s="2">
        <v>1</v>
      </c>
      <c r="D1351" s="2">
        <v>2022</v>
      </c>
      <c r="E1351" s="2">
        <v>1</v>
      </c>
      <c r="F1351" s="2">
        <v>1039.83</v>
      </c>
      <c r="G1351" s="2">
        <v>1117.05</v>
      </c>
      <c r="H1351" s="2" t="str">
        <f>VLOOKUP(qhkz_4dqm[[#This Row],[fuel_type]],lookup!A:B,2,FALSE)</f>
        <v>Gasoline</v>
      </c>
      <c r="I1351" s="2">
        <f ca="1">YEAR(TODAY())-qhkz_4dqm[[#This Row],[year]]</f>
        <v>4</v>
      </c>
      <c r="J1351" s="2" t="str" cm="1">
        <f t="array" aca="1" ref="J1351" ca="1">_xlfn.IFS(qhkz_4dqm[[#This Row],[vehicle_age]]&lt;=3,"Newer",qhkz_4dqm[[#This Row],[vehicle_age]]&lt;=9,"Mid-age",qhkz_4dqm[[#This Row],[vehicle_age]]&lt;=19,"Older",qhkz_4dqm[[#This Row],[vehicle_age]]&gt;=20,"Very Old")</f>
        <v>Mid-age</v>
      </c>
    </row>
    <row r="1352" spans="1:10">
      <c r="A1352" s="2">
        <v>24149970</v>
      </c>
      <c r="B1352" s="2">
        <v>2414997001</v>
      </c>
      <c r="C1352" s="2">
        <v>1</v>
      </c>
      <c r="D1352" s="2">
        <v>2016</v>
      </c>
      <c r="E1352" s="2">
        <v>1</v>
      </c>
      <c r="F1352" s="2">
        <v>1.29</v>
      </c>
      <c r="G1352" s="2">
        <v>204.11</v>
      </c>
      <c r="H1352" s="2" t="str">
        <f>VLOOKUP(qhkz_4dqm[[#This Row],[fuel_type]],lookup!A:B,2,FALSE)</f>
        <v>Gasoline</v>
      </c>
      <c r="I1352" s="2">
        <f ca="1">YEAR(TODAY())-qhkz_4dqm[[#This Row],[year]]</f>
        <v>10</v>
      </c>
      <c r="J1352" s="2" t="str" cm="1">
        <f t="array" aca="1" ref="J1352" ca="1">_xlfn.IFS(qhkz_4dqm[[#This Row],[vehicle_age]]&lt;=3,"Newer",qhkz_4dqm[[#This Row],[vehicle_age]]&lt;=9,"Mid-age",qhkz_4dqm[[#This Row],[vehicle_age]]&lt;=19,"Older",qhkz_4dqm[[#This Row],[vehicle_age]]&gt;=20,"Very Old")</f>
        <v>Older</v>
      </c>
    </row>
    <row r="1353" spans="1:10">
      <c r="A1353" s="2">
        <v>24149973</v>
      </c>
      <c r="B1353" s="2">
        <v>2414997301</v>
      </c>
      <c r="C1353" s="2">
        <v>1</v>
      </c>
      <c r="D1353" s="2">
        <v>2024</v>
      </c>
      <c r="E1353" s="2">
        <v>1</v>
      </c>
      <c r="F1353" s="2">
        <v>29.01</v>
      </c>
      <c r="G1353" s="2">
        <v>258.49</v>
      </c>
      <c r="H1353" s="2" t="str">
        <f>VLOOKUP(qhkz_4dqm[[#This Row],[fuel_type]],lookup!A:B,2,FALSE)</f>
        <v>Gasoline</v>
      </c>
      <c r="I1353" s="2">
        <f ca="1">YEAR(TODAY())-qhkz_4dqm[[#This Row],[year]]</f>
        <v>2</v>
      </c>
      <c r="J1353" s="2" t="str" cm="1">
        <f t="array" aca="1" ref="J1353" ca="1">_xlfn.IFS(qhkz_4dqm[[#This Row],[vehicle_age]]&lt;=3,"Newer",qhkz_4dqm[[#This Row],[vehicle_age]]&lt;=9,"Mid-age",qhkz_4dqm[[#This Row],[vehicle_age]]&lt;=19,"Older",qhkz_4dqm[[#This Row],[vehicle_age]]&gt;=20,"Very Old")</f>
        <v>Newer</v>
      </c>
    </row>
    <row r="1354" spans="1:10">
      <c r="A1354" s="2">
        <v>24149974</v>
      </c>
      <c r="B1354" s="2">
        <v>2414997401</v>
      </c>
      <c r="C1354" s="2">
        <v>1</v>
      </c>
      <c r="D1354" s="2">
        <v>2016</v>
      </c>
      <c r="E1354" s="2">
        <v>1</v>
      </c>
      <c r="F1354" s="2">
        <v>124.52</v>
      </c>
      <c r="G1354" s="2">
        <v>430.86</v>
      </c>
      <c r="H1354" s="2" t="str">
        <f>VLOOKUP(qhkz_4dqm[[#This Row],[fuel_type]],lookup!A:B,2,FALSE)</f>
        <v>Gasoline</v>
      </c>
      <c r="I1354" s="2">
        <f ca="1">YEAR(TODAY())-qhkz_4dqm[[#This Row],[year]]</f>
        <v>10</v>
      </c>
      <c r="J1354" s="2" t="str" cm="1">
        <f t="array" aca="1" ref="J1354" ca="1">_xlfn.IFS(qhkz_4dqm[[#This Row],[vehicle_age]]&lt;=3,"Newer",qhkz_4dqm[[#This Row],[vehicle_age]]&lt;=9,"Mid-age",qhkz_4dqm[[#This Row],[vehicle_age]]&lt;=19,"Older",qhkz_4dqm[[#This Row],[vehicle_age]]&gt;=20,"Very Old")</f>
        <v>Older</v>
      </c>
    </row>
    <row r="1355" spans="1:10">
      <c r="A1355" s="2">
        <v>24149998</v>
      </c>
      <c r="B1355" s="2">
        <v>2414999801</v>
      </c>
      <c r="C1355" s="2">
        <v>1</v>
      </c>
      <c r="D1355" s="2">
        <v>2015</v>
      </c>
      <c r="E1355" s="2">
        <v>1</v>
      </c>
      <c r="F1355" s="2">
        <v>1239.22</v>
      </c>
      <c r="G1355" s="2">
        <v>1282.8599999999999</v>
      </c>
      <c r="H1355" s="2" t="str">
        <f>VLOOKUP(qhkz_4dqm[[#This Row],[fuel_type]],lookup!A:B,2,FALSE)</f>
        <v>Gasoline</v>
      </c>
      <c r="I1355" s="2">
        <f ca="1">YEAR(TODAY())-qhkz_4dqm[[#This Row],[year]]</f>
        <v>11</v>
      </c>
      <c r="J1355" s="2" t="str" cm="1">
        <f t="array" aca="1" ref="J1355" ca="1">_xlfn.IFS(qhkz_4dqm[[#This Row],[vehicle_age]]&lt;=3,"Newer",qhkz_4dqm[[#This Row],[vehicle_age]]&lt;=9,"Mid-age",qhkz_4dqm[[#This Row],[vehicle_age]]&lt;=19,"Older",qhkz_4dqm[[#This Row],[vehicle_age]]&gt;=20,"Very Old")</f>
        <v>Older</v>
      </c>
    </row>
    <row r="1356" spans="1:10">
      <c r="A1356" s="2">
        <v>24150011</v>
      </c>
      <c r="B1356" s="2">
        <v>2415001101</v>
      </c>
      <c r="C1356" s="2">
        <v>1</v>
      </c>
      <c r="D1356" s="2">
        <v>1995</v>
      </c>
      <c r="E1356" s="2">
        <v>1</v>
      </c>
      <c r="F1356" s="2">
        <v>2226.4499999999998</v>
      </c>
      <c r="G1356" s="2">
        <v>1404.95</v>
      </c>
      <c r="H1356" s="2" t="str">
        <f>VLOOKUP(qhkz_4dqm[[#This Row],[fuel_type]],lookup!A:B,2,FALSE)</f>
        <v>Gasoline</v>
      </c>
      <c r="I1356" s="2">
        <f ca="1">YEAR(TODAY())-qhkz_4dqm[[#This Row],[year]]</f>
        <v>31</v>
      </c>
      <c r="J1356" s="2" t="str" cm="1">
        <f t="array" aca="1" ref="J1356" ca="1">_xlfn.IFS(qhkz_4dqm[[#This Row],[vehicle_age]]&lt;=3,"Newer",qhkz_4dqm[[#This Row],[vehicle_age]]&lt;=9,"Mid-age",qhkz_4dqm[[#This Row],[vehicle_age]]&lt;=19,"Older",qhkz_4dqm[[#This Row],[vehicle_age]]&gt;=20,"Very Old")</f>
        <v>Very Old</v>
      </c>
    </row>
    <row r="1357" spans="1:10">
      <c r="A1357" s="2">
        <v>24150013</v>
      </c>
      <c r="B1357" s="2">
        <v>2415001301</v>
      </c>
      <c r="C1357" s="2">
        <v>1</v>
      </c>
      <c r="D1357" s="2">
        <v>2014</v>
      </c>
      <c r="E1357" s="2">
        <v>1</v>
      </c>
      <c r="F1357" s="2">
        <v>29.01</v>
      </c>
      <c r="G1357" s="2">
        <v>258.49</v>
      </c>
      <c r="H1357" s="2" t="str">
        <f>VLOOKUP(qhkz_4dqm[[#This Row],[fuel_type]],lookup!A:B,2,FALSE)</f>
        <v>Gasoline</v>
      </c>
      <c r="I1357" s="2">
        <f ca="1">YEAR(TODAY())-qhkz_4dqm[[#This Row],[year]]</f>
        <v>12</v>
      </c>
      <c r="J1357" s="2" t="str" cm="1">
        <f t="array" aca="1" ref="J1357" ca="1">_xlfn.IFS(qhkz_4dqm[[#This Row],[vehicle_age]]&lt;=3,"Newer",qhkz_4dqm[[#This Row],[vehicle_age]]&lt;=9,"Mid-age",qhkz_4dqm[[#This Row],[vehicle_age]]&lt;=19,"Older",qhkz_4dqm[[#This Row],[vehicle_age]]&gt;=20,"Very Old")</f>
        <v>Older</v>
      </c>
    </row>
    <row r="1358" spans="1:10">
      <c r="A1358" s="2">
        <v>24150014</v>
      </c>
      <c r="B1358" s="2">
        <v>2415001401</v>
      </c>
      <c r="C1358" s="2">
        <v>1</v>
      </c>
      <c r="D1358" s="2">
        <v>2023</v>
      </c>
      <c r="E1358" s="2">
        <v>2</v>
      </c>
      <c r="F1358" s="2">
        <v>663.15</v>
      </c>
      <c r="G1358" s="2">
        <v>1837.69</v>
      </c>
      <c r="H1358" s="2" t="str">
        <f>VLOOKUP(qhkz_4dqm[[#This Row],[fuel_type]],lookup!A:B,2,FALSE)</f>
        <v>Diesel</v>
      </c>
      <c r="I1358" s="2">
        <f ca="1">YEAR(TODAY())-qhkz_4dqm[[#This Row],[year]]</f>
        <v>3</v>
      </c>
      <c r="J1358" s="2" t="str" cm="1">
        <f t="array" aca="1" ref="J1358" ca="1">_xlfn.IFS(qhkz_4dqm[[#This Row],[vehicle_age]]&lt;=3,"Newer",qhkz_4dqm[[#This Row],[vehicle_age]]&lt;=9,"Mid-age",qhkz_4dqm[[#This Row],[vehicle_age]]&lt;=19,"Older",qhkz_4dqm[[#This Row],[vehicle_age]]&gt;=20,"Very Old")</f>
        <v>Newer</v>
      </c>
    </row>
    <row r="1359" spans="1:10">
      <c r="A1359" s="2">
        <v>24150020</v>
      </c>
      <c r="B1359" s="2">
        <v>2415002001</v>
      </c>
      <c r="C1359" s="2">
        <v>1</v>
      </c>
      <c r="D1359" s="2">
        <v>2019</v>
      </c>
      <c r="E1359" s="2">
        <v>1</v>
      </c>
      <c r="F1359" s="2">
        <v>644.24</v>
      </c>
      <c r="G1359" s="2">
        <v>560.42999999999995</v>
      </c>
      <c r="H1359" s="2" t="str">
        <f>VLOOKUP(qhkz_4dqm[[#This Row],[fuel_type]],lookup!A:B,2,FALSE)</f>
        <v>Gasoline</v>
      </c>
      <c r="I1359" s="2">
        <f ca="1">YEAR(TODAY())-qhkz_4dqm[[#This Row],[year]]</f>
        <v>7</v>
      </c>
      <c r="J1359" s="2" t="str" cm="1">
        <f t="array" aca="1" ref="J1359" ca="1">_xlfn.IFS(qhkz_4dqm[[#This Row],[vehicle_age]]&lt;=3,"Newer",qhkz_4dqm[[#This Row],[vehicle_age]]&lt;=9,"Mid-age",qhkz_4dqm[[#This Row],[vehicle_age]]&lt;=19,"Older",qhkz_4dqm[[#This Row],[vehicle_age]]&gt;=20,"Very Old")</f>
        <v>Mid-age</v>
      </c>
    </row>
    <row r="1360" spans="1:10">
      <c r="A1360" s="2">
        <v>24150025</v>
      </c>
      <c r="B1360" s="2">
        <v>2415002501</v>
      </c>
      <c r="C1360" s="2">
        <v>1</v>
      </c>
      <c r="D1360" s="2">
        <v>2010</v>
      </c>
      <c r="E1360" s="2">
        <v>1</v>
      </c>
      <c r="F1360" s="2">
        <v>5273.8</v>
      </c>
      <c r="G1360" s="2">
        <v>3343.36</v>
      </c>
      <c r="H1360" s="2" t="str">
        <f>VLOOKUP(qhkz_4dqm[[#This Row],[fuel_type]],lookup!A:B,2,FALSE)</f>
        <v>Gasoline</v>
      </c>
      <c r="I1360" s="2">
        <f ca="1">YEAR(TODAY())-qhkz_4dqm[[#This Row],[year]]</f>
        <v>16</v>
      </c>
      <c r="J1360" s="2" t="str" cm="1">
        <f t="array" aca="1" ref="J1360" ca="1">_xlfn.IFS(qhkz_4dqm[[#This Row],[vehicle_age]]&lt;=3,"Newer",qhkz_4dqm[[#This Row],[vehicle_age]]&lt;=9,"Mid-age",qhkz_4dqm[[#This Row],[vehicle_age]]&lt;=19,"Older",qhkz_4dqm[[#This Row],[vehicle_age]]&gt;=20,"Very Old")</f>
        <v>Older</v>
      </c>
    </row>
    <row r="1361" spans="1:10">
      <c r="A1361" s="2">
        <v>24150030</v>
      </c>
      <c r="B1361" s="2">
        <v>2415003001</v>
      </c>
      <c r="C1361" s="2">
        <v>1</v>
      </c>
      <c r="D1361" s="2">
        <v>2010</v>
      </c>
      <c r="E1361" s="2">
        <v>1</v>
      </c>
      <c r="F1361" s="2">
        <v>875.81</v>
      </c>
      <c r="G1361" s="2">
        <v>1390.88</v>
      </c>
      <c r="H1361" s="2" t="str">
        <f>VLOOKUP(qhkz_4dqm[[#This Row],[fuel_type]],lookup!A:B,2,FALSE)</f>
        <v>Gasoline</v>
      </c>
      <c r="I1361" s="2">
        <f ca="1">YEAR(TODAY())-qhkz_4dqm[[#This Row],[year]]</f>
        <v>16</v>
      </c>
      <c r="J1361" s="2" t="str" cm="1">
        <f t="array" aca="1" ref="J1361" ca="1">_xlfn.IFS(qhkz_4dqm[[#This Row],[vehicle_age]]&lt;=3,"Newer",qhkz_4dqm[[#This Row],[vehicle_age]]&lt;=9,"Mid-age",qhkz_4dqm[[#This Row],[vehicle_age]]&lt;=19,"Older",qhkz_4dqm[[#This Row],[vehicle_age]]&gt;=20,"Very Old")</f>
        <v>Older</v>
      </c>
    </row>
    <row r="1362" spans="1:10">
      <c r="A1362" s="2">
        <v>24150050</v>
      </c>
      <c r="B1362" s="2">
        <v>2415005001</v>
      </c>
      <c r="C1362" s="2">
        <v>1</v>
      </c>
      <c r="D1362" s="2">
        <v>2018</v>
      </c>
      <c r="E1362" s="2">
        <v>1</v>
      </c>
      <c r="F1362" s="2">
        <v>39.04</v>
      </c>
      <c r="G1362" s="2">
        <v>1324.96</v>
      </c>
      <c r="H1362" s="2" t="str">
        <f>VLOOKUP(qhkz_4dqm[[#This Row],[fuel_type]],lookup!A:B,2,FALSE)</f>
        <v>Gasoline</v>
      </c>
      <c r="I1362" s="2">
        <f ca="1">YEAR(TODAY())-qhkz_4dqm[[#This Row],[year]]</f>
        <v>8</v>
      </c>
      <c r="J1362" s="2" t="str" cm="1">
        <f t="array" aca="1" ref="J1362" ca="1">_xlfn.IFS(qhkz_4dqm[[#This Row],[vehicle_age]]&lt;=3,"Newer",qhkz_4dqm[[#This Row],[vehicle_age]]&lt;=9,"Mid-age",qhkz_4dqm[[#This Row],[vehicle_age]]&lt;=19,"Older",qhkz_4dqm[[#This Row],[vehicle_age]]&gt;=20,"Very Old")</f>
        <v>Mid-age</v>
      </c>
    </row>
    <row r="1363" spans="1:10">
      <c r="A1363" s="2">
        <v>24150054</v>
      </c>
      <c r="B1363" s="2">
        <v>2415005401</v>
      </c>
      <c r="C1363" s="2">
        <v>1</v>
      </c>
      <c r="D1363" s="2">
        <v>2020</v>
      </c>
      <c r="E1363" s="2">
        <v>1</v>
      </c>
      <c r="F1363" s="2">
        <v>723.04</v>
      </c>
      <c r="G1363" s="2">
        <v>536.64</v>
      </c>
      <c r="H1363" s="2" t="str">
        <f>VLOOKUP(qhkz_4dqm[[#This Row],[fuel_type]],lookup!A:B,2,FALSE)</f>
        <v>Gasoline</v>
      </c>
      <c r="I1363" s="2">
        <f ca="1">YEAR(TODAY())-qhkz_4dqm[[#This Row],[year]]</f>
        <v>6</v>
      </c>
      <c r="J1363" s="2" t="str" cm="1">
        <f t="array" aca="1" ref="J1363" ca="1">_xlfn.IFS(qhkz_4dqm[[#This Row],[vehicle_age]]&lt;=3,"Newer",qhkz_4dqm[[#This Row],[vehicle_age]]&lt;=9,"Mid-age",qhkz_4dqm[[#This Row],[vehicle_age]]&lt;=19,"Older",qhkz_4dqm[[#This Row],[vehicle_age]]&gt;=20,"Very Old")</f>
        <v>Mid-age</v>
      </c>
    </row>
    <row r="1364" spans="1:10">
      <c r="A1364" s="2">
        <v>24150062</v>
      </c>
      <c r="B1364" s="2">
        <v>2415006201</v>
      </c>
      <c r="C1364" s="2">
        <v>1</v>
      </c>
      <c r="D1364" s="2">
        <v>2023</v>
      </c>
      <c r="E1364" s="2">
        <v>3</v>
      </c>
      <c r="F1364" s="2">
        <v>113.14</v>
      </c>
      <c r="G1364" s="2">
        <v>298.3</v>
      </c>
      <c r="H1364" s="2" t="str">
        <f>VLOOKUP(qhkz_4dqm[[#This Row],[fuel_type]],lookup!A:B,2,FALSE)</f>
        <v>Hybrid</v>
      </c>
      <c r="I1364" s="2">
        <f ca="1">YEAR(TODAY())-qhkz_4dqm[[#This Row],[year]]</f>
        <v>3</v>
      </c>
      <c r="J1364" s="2" t="str" cm="1">
        <f t="array" aca="1" ref="J1364" ca="1">_xlfn.IFS(qhkz_4dqm[[#This Row],[vehicle_age]]&lt;=3,"Newer",qhkz_4dqm[[#This Row],[vehicle_age]]&lt;=9,"Mid-age",qhkz_4dqm[[#This Row],[vehicle_age]]&lt;=19,"Older",qhkz_4dqm[[#This Row],[vehicle_age]]&gt;=20,"Very Old")</f>
        <v>Newer</v>
      </c>
    </row>
    <row r="1365" spans="1:10">
      <c r="A1365" s="2">
        <v>24150066</v>
      </c>
      <c r="B1365" s="2">
        <v>2415006601</v>
      </c>
      <c r="C1365" s="2">
        <v>1</v>
      </c>
      <c r="D1365" s="2">
        <v>2020</v>
      </c>
      <c r="E1365" s="2">
        <v>1</v>
      </c>
      <c r="F1365" s="2">
        <v>168.97</v>
      </c>
      <c r="G1365" s="2">
        <v>247.93</v>
      </c>
      <c r="H1365" s="2" t="str">
        <f>VLOOKUP(qhkz_4dqm[[#This Row],[fuel_type]],lookup!A:B,2,FALSE)</f>
        <v>Gasoline</v>
      </c>
      <c r="I1365" s="2">
        <f ca="1">YEAR(TODAY())-qhkz_4dqm[[#This Row],[year]]</f>
        <v>6</v>
      </c>
      <c r="J1365" s="2" t="str" cm="1">
        <f t="array" aca="1" ref="J1365" ca="1">_xlfn.IFS(qhkz_4dqm[[#This Row],[vehicle_age]]&lt;=3,"Newer",qhkz_4dqm[[#This Row],[vehicle_age]]&lt;=9,"Mid-age",qhkz_4dqm[[#This Row],[vehicle_age]]&lt;=19,"Older",qhkz_4dqm[[#This Row],[vehicle_age]]&gt;=20,"Very Old")</f>
        <v>Mid-age</v>
      </c>
    </row>
    <row r="1366" spans="1:10">
      <c r="A1366" s="2">
        <v>24150075</v>
      </c>
      <c r="B1366" s="2">
        <v>2415007501</v>
      </c>
      <c r="C1366" s="2">
        <v>1</v>
      </c>
      <c r="D1366" s="2">
        <v>2024</v>
      </c>
      <c r="E1366" s="2">
        <v>1</v>
      </c>
      <c r="F1366" s="2">
        <v>890.65</v>
      </c>
      <c r="G1366" s="2">
        <v>2331.09</v>
      </c>
      <c r="H1366" s="2" t="str">
        <f>VLOOKUP(qhkz_4dqm[[#This Row],[fuel_type]],lookup!A:B,2,FALSE)</f>
        <v>Gasoline</v>
      </c>
      <c r="I1366" s="2">
        <f ca="1">YEAR(TODAY())-qhkz_4dqm[[#This Row],[year]]</f>
        <v>2</v>
      </c>
      <c r="J1366" s="2" t="str" cm="1">
        <f t="array" aca="1" ref="J1366" ca="1">_xlfn.IFS(qhkz_4dqm[[#This Row],[vehicle_age]]&lt;=3,"Newer",qhkz_4dqm[[#This Row],[vehicle_age]]&lt;=9,"Mid-age",qhkz_4dqm[[#This Row],[vehicle_age]]&lt;=19,"Older",qhkz_4dqm[[#This Row],[vehicle_age]]&gt;=20,"Very Old")</f>
        <v>Newer</v>
      </c>
    </row>
    <row r="1367" spans="1:10">
      <c r="A1367" s="2">
        <v>24150081</v>
      </c>
      <c r="B1367" s="2">
        <v>2415008101</v>
      </c>
      <c r="C1367" s="2">
        <v>1</v>
      </c>
      <c r="D1367" s="2">
        <v>2005</v>
      </c>
      <c r="E1367" s="2">
        <v>1</v>
      </c>
      <c r="F1367" s="2">
        <v>1605.31</v>
      </c>
      <c r="G1367" s="2">
        <v>708.01</v>
      </c>
      <c r="H1367" s="2" t="str">
        <f>VLOOKUP(qhkz_4dqm[[#This Row],[fuel_type]],lookup!A:B,2,FALSE)</f>
        <v>Gasoline</v>
      </c>
      <c r="I1367" s="2">
        <f ca="1">YEAR(TODAY())-qhkz_4dqm[[#This Row],[year]]</f>
        <v>21</v>
      </c>
      <c r="J1367" s="2" t="str" cm="1">
        <f t="array" aca="1" ref="J1367" ca="1">_xlfn.IFS(qhkz_4dqm[[#This Row],[vehicle_age]]&lt;=3,"Newer",qhkz_4dqm[[#This Row],[vehicle_age]]&lt;=9,"Mid-age",qhkz_4dqm[[#This Row],[vehicle_age]]&lt;=19,"Older",qhkz_4dqm[[#This Row],[vehicle_age]]&gt;=20,"Very Old")</f>
        <v>Very Old</v>
      </c>
    </row>
    <row r="1368" spans="1:10">
      <c r="A1368" s="2">
        <v>24150089</v>
      </c>
      <c r="B1368" s="2">
        <v>2415008901</v>
      </c>
      <c r="C1368" s="2">
        <v>1</v>
      </c>
      <c r="D1368" s="2">
        <v>2020</v>
      </c>
      <c r="E1368" s="2">
        <v>4</v>
      </c>
      <c r="F1368" s="2">
        <v>0.92</v>
      </c>
      <c r="G1368" s="2">
        <v>232.14</v>
      </c>
      <c r="H1368" s="2" t="str">
        <f>VLOOKUP(qhkz_4dqm[[#This Row],[fuel_type]],lookup!A:B,2,FALSE)</f>
        <v>Electric</v>
      </c>
      <c r="I1368" s="2">
        <f ca="1">YEAR(TODAY())-qhkz_4dqm[[#This Row],[year]]</f>
        <v>6</v>
      </c>
      <c r="J1368" s="2" t="str" cm="1">
        <f t="array" aca="1" ref="J1368" ca="1">_xlfn.IFS(qhkz_4dqm[[#This Row],[vehicle_age]]&lt;=3,"Newer",qhkz_4dqm[[#This Row],[vehicle_age]]&lt;=9,"Mid-age",qhkz_4dqm[[#This Row],[vehicle_age]]&lt;=19,"Older",qhkz_4dqm[[#This Row],[vehicle_age]]&gt;=20,"Very Old")</f>
        <v>Mid-age</v>
      </c>
    </row>
    <row r="1369" spans="1:10">
      <c r="A1369" s="2">
        <v>24150094</v>
      </c>
      <c r="B1369" s="2">
        <v>2415009401</v>
      </c>
      <c r="C1369" s="2">
        <v>1</v>
      </c>
      <c r="D1369" s="2">
        <v>2019</v>
      </c>
      <c r="E1369" s="2">
        <v>1</v>
      </c>
      <c r="F1369" s="2">
        <v>83.89</v>
      </c>
      <c r="G1369" s="2">
        <v>1024.1199999999999</v>
      </c>
      <c r="H1369" s="2" t="str">
        <f>VLOOKUP(qhkz_4dqm[[#This Row],[fuel_type]],lookup!A:B,2,FALSE)</f>
        <v>Gasoline</v>
      </c>
      <c r="I1369" s="2">
        <f ca="1">YEAR(TODAY())-qhkz_4dqm[[#This Row],[year]]</f>
        <v>7</v>
      </c>
      <c r="J1369" s="2" t="str" cm="1">
        <f t="array" aca="1" ref="J1369" ca="1">_xlfn.IFS(qhkz_4dqm[[#This Row],[vehicle_age]]&lt;=3,"Newer",qhkz_4dqm[[#This Row],[vehicle_age]]&lt;=9,"Mid-age",qhkz_4dqm[[#This Row],[vehicle_age]]&lt;=19,"Older",qhkz_4dqm[[#This Row],[vehicle_age]]&gt;=20,"Very Old")</f>
        <v>Mid-age</v>
      </c>
    </row>
    <row r="1370" spans="1:10">
      <c r="A1370" s="2">
        <v>24150152</v>
      </c>
      <c r="B1370" s="2">
        <v>2415015201</v>
      </c>
      <c r="C1370" s="2">
        <v>1</v>
      </c>
      <c r="D1370" s="2">
        <v>1981</v>
      </c>
      <c r="E1370" s="2">
        <v>1</v>
      </c>
      <c r="F1370" s="2">
        <v>970.32</v>
      </c>
      <c r="G1370" s="2">
        <v>520.66</v>
      </c>
      <c r="H1370" s="2" t="str">
        <f>VLOOKUP(qhkz_4dqm[[#This Row],[fuel_type]],lookup!A:B,2,FALSE)</f>
        <v>Gasoline</v>
      </c>
      <c r="I1370" s="2">
        <f ca="1">YEAR(TODAY())-qhkz_4dqm[[#This Row],[year]]</f>
        <v>45</v>
      </c>
      <c r="J1370" s="2" t="str" cm="1">
        <f t="array" aca="1" ref="J1370" ca="1">_xlfn.IFS(qhkz_4dqm[[#This Row],[vehicle_age]]&lt;=3,"Newer",qhkz_4dqm[[#This Row],[vehicle_age]]&lt;=9,"Mid-age",qhkz_4dqm[[#This Row],[vehicle_age]]&lt;=19,"Older",qhkz_4dqm[[#This Row],[vehicle_age]]&gt;=20,"Very Old")</f>
        <v>Very Old</v>
      </c>
    </row>
    <row r="1371" spans="1:10">
      <c r="A1371" s="2">
        <v>24150156</v>
      </c>
      <c r="B1371" s="2">
        <v>2415015601</v>
      </c>
      <c r="C1371" s="2">
        <v>1</v>
      </c>
      <c r="D1371" s="2">
        <v>1998</v>
      </c>
      <c r="E1371" s="2">
        <v>1</v>
      </c>
      <c r="F1371" s="2">
        <v>0.92</v>
      </c>
      <c r="G1371" s="2">
        <v>308.83</v>
      </c>
      <c r="H1371" s="2" t="str">
        <f>VLOOKUP(qhkz_4dqm[[#This Row],[fuel_type]],lookup!A:B,2,FALSE)</f>
        <v>Gasoline</v>
      </c>
      <c r="I1371" s="2">
        <f ca="1">YEAR(TODAY())-qhkz_4dqm[[#This Row],[year]]</f>
        <v>28</v>
      </c>
      <c r="J1371" s="2" t="str" cm="1">
        <f t="array" aca="1" ref="J1371" ca="1">_xlfn.IFS(qhkz_4dqm[[#This Row],[vehicle_age]]&lt;=3,"Newer",qhkz_4dqm[[#This Row],[vehicle_age]]&lt;=9,"Mid-age",qhkz_4dqm[[#This Row],[vehicle_age]]&lt;=19,"Older",qhkz_4dqm[[#This Row],[vehicle_age]]&gt;=20,"Very Old")</f>
        <v>Very Old</v>
      </c>
    </row>
    <row r="1372" spans="1:10">
      <c r="A1372" s="2">
        <v>24150158</v>
      </c>
      <c r="B1372" s="2">
        <v>2415015801</v>
      </c>
      <c r="C1372" s="2">
        <v>1</v>
      </c>
      <c r="D1372" s="2">
        <v>2015</v>
      </c>
      <c r="E1372" s="2">
        <v>1</v>
      </c>
      <c r="F1372" s="2">
        <v>3505.32</v>
      </c>
      <c r="G1372" s="2">
        <v>1543.94</v>
      </c>
      <c r="H1372" s="2" t="str">
        <f>VLOOKUP(qhkz_4dqm[[#This Row],[fuel_type]],lookup!A:B,2,FALSE)</f>
        <v>Gasoline</v>
      </c>
      <c r="I1372" s="2">
        <f ca="1">YEAR(TODAY())-qhkz_4dqm[[#This Row],[year]]</f>
        <v>11</v>
      </c>
      <c r="J1372" s="2" t="str" cm="1">
        <f t="array" aca="1" ref="J1372" ca="1">_xlfn.IFS(qhkz_4dqm[[#This Row],[vehicle_age]]&lt;=3,"Newer",qhkz_4dqm[[#This Row],[vehicle_age]]&lt;=9,"Mid-age",qhkz_4dqm[[#This Row],[vehicle_age]]&lt;=19,"Older",qhkz_4dqm[[#This Row],[vehicle_age]]&gt;=20,"Very Old")</f>
        <v>Older</v>
      </c>
    </row>
    <row r="1373" spans="1:10">
      <c r="A1373" s="2">
        <v>24150172</v>
      </c>
      <c r="B1373" s="2">
        <v>2415017201</v>
      </c>
      <c r="C1373" s="2">
        <v>1</v>
      </c>
      <c r="D1373" s="2">
        <v>2024</v>
      </c>
      <c r="E1373" s="2">
        <v>1</v>
      </c>
      <c r="F1373" s="2">
        <v>86.5</v>
      </c>
      <c r="G1373" s="2">
        <v>180.88</v>
      </c>
      <c r="H1373" s="2" t="str">
        <f>VLOOKUP(qhkz_4dqm[[#This Row],[fuel_type]],lookup!A:B,2,FALSE)</f>
        <v>Gasoline</v>
      </c>
      <c r="I1373" s="2">
        <f ca="1">YEAR(TODAY())-qhkz_4dqm[[#This Row],[year]]</f>
        <v>2</v>
      </c>
      <c r="J1373" s="2" t="str" cm="1">
        <f t="array" aca="1" ref="J1373" ca="1">_xlfn.IFS(qhkz_4dqm[[#This Row],[vehicle_age]]&lt;=3,"Newer",qhkz_4dqm[[#This Row],[vehicle_age]]&lt;=9,"Mid-age",qhkz_4dqm[[#This Row],[vehicle_age]]&lt;=19,"Older",qhkz_4dqm[[#This Row],[vehicle_age]]&gt;=20,"Very Old")</f>
        <v>Newer</v>
      </c>
    </row>
    <row r="1374" spans="1:10">
      <c r="A1374" s="2">
        <v>24150177</v>
      </c>
      <c r="B1374" s="2">
        <v>2415017701</v>
      </c>
      <c r="C1374" s="2">
        <v>1</v>
      </c>
      <c r="D1374" s="2">
        <v>2002</v>
      </c>
      <c r="E1374" s="2">
        <v>1</v>
      </c>
      <c r="F1374" s="2">
        <v>55.13</v>
      </c>
      <c r="G1374" s="2">
        <v>409.88</v>
      </c>
      <c r="H1374" s="2" t="str">
        <f>VLOOKUP(qhkz_4dqm[[#This Row],[fuel_type]],lookup!A:B,2,FALSE)</f>
        <v>Gasoline</v>
      </c>
      <c r="I1374" s="2">
        <f ca="1">YEAR(TODAY())-qhkz_4dqm[[#This Row],[year]]</f>
        <v>24</v>
      </c>
      <c r="J1374" s="2" t="str" cm="1">
        <f t="array" aca="1" ref="J1374" ca="1">_xlfn.IFS(qhkz_4dqm[[#This Row],[vehicle_age]]&lt;=3,"Newer",qhkz_4dqm[[#This Row],[vehicle_age]]&lt;=9,"Mid-age",qhkz_4dqm[[#This Row],[vehicle_age]]&lt;=19,"Older",qhkz_4dqm[[#This Row],[vehicle_age]]&gt;=20,"Very Old")</f>
        <v>Very Old</v>
      </c>
    </row>
    <row r="1375" spans="1:10">
      <c r="A1375" s="2">
        <v>24150216</v>
      </c>
      <c r="B1375" s="2">
        <v>2415021601</v>
      </c>
      <c r="C1375" s="2">
        <v>1</v>
      </c>
      <c r="D1375" s="2">
        <v>2004</v>
      </c>
      <c r="E1375" s="2">
        <v>1</v>
      </c>
      <c r="F1375" s="2">
        <v>1456.82</v>
      </c>
      <c r="G1375" s="2">
        <v>595.75</v>
      </c>
      <c r="H1375" s="2" t="str">
        <f>VLOOKUP(qhkz_4dqm[[#This Row],[fuel_type]],lookup!A:B,2,FALSE)</f>
        <v>Gasoline</v>
      </c>
      <c r="I1375" s="2">
        <f ca="1">YEAR(TODAY())-qhkz_4dqm[[#This Row],[year]]</f>
        <v>22</v>
      </c>
      <c r="J1375" s="2" t="str" cm="1">
        <f t="array" aca="1" ref="J1375" ca="1">_xlfn.IFS(qhkz_4dqm[[#This Row],[vehicle_age]]&lt;=3,"Newer",qhkz_4dqm[[#This Row],[vehicle_age]]&lt;=9,"Mid-age",qhkz_4dqm[[#This Row],[vehicle_age]]&lt;=19,"Older",qhkz_4dqm[[#This Row],[vehicle_age]]&gt;=20,"Very Old")</f>
        <v>Very Old</v>
      </c>
    </row>
    <row r="1376" spans="1:10">
      <c r="A1376" s="2">
        <v>24150232</v>
      </c>
      <c r="B1376" s="2">
        <v>2415023201</v>
      </c>
      <c r="C1376" s="2">
        <v>1</v>
      </c>
      <c r="D1376" s="2">
        <v>2021</v>
      </c>
      <c r="E1376" s="2">
        <v>1</v>
      </c>
      <c r="F1376" s="2">
        <v>3005.19</v>
      </c>
      <c r="G1376" s="2">
        <v>1220</v>
      </c>
      <c r="H1376" s="2" t="str">
        <f>VLOOKUP(qhkz_4dqm[[#This Row],[fuel_type]],lookup!A:B,2,FALSE)</f>
        <v>Gasoline</v>
      </c>
      <c r="I1376" s="2">
        <f ca="1">YEAR(TODAY())-qhkz_4dqm[[#This Row],[year]]</f>
        <v>5</v>
      </c>
      <c r="J1376" s="2" t="str" cm="1">
        <f t="array" aca="1" ref="J1376" ca="1">_xlfn.IFS(qhkz_4dqm[[#This Row],[vehicle_age]]&lt;=3,"Newer",qhkz_4dqm[[#This Row],[vehicle_age]]&lt;=9,"Mid-age",qhkz_4dqm[[#This Row],[vehicle_age]]&lt;=19,"Older",qhkz_4dqm[[#This Row],[vehicle_age]]&gt;=20,"Very Old")</f>
        <v>Mid-age</v>
      </c>
    </row>
    <row r="1377" spans="1:10">
      <c r="A1377" s="2">
        <v>24150233</v>
      </c>
      <c r="B1377" s="2">
        <v>2415023301</v>
      </c>
      <c r="C1377" s="2">
        <v>1</v>
      </c>
      <c r="D1377" s="2">
        <v>2012</v>
      </c>
      <c r="E1377" s="2">
        <v>1</v>
      </c>
      <c r="F1377" s="2">
        <v>874.49</v>
      </c>
      <c r="G1377" s="2">
        <v>1055.04</v>
      </c>
      <c r="H1377" s="2" t="str">
        <f>VLOOKUP(qhkz_4dqm[[#This Row],[fuel_type]],lookup!A:B,2,FALSE)</f>
        <v>Gasoline</v>
      </c>
      <c r="I1377" s="2">
        <f ca="1">YEAR(TODAY())-qhkz_4dqm[[#This Row],[year]]</f>
        <v>14</v>
      </c>
      <c r="J1377" s="2" t="str" cm="1">
        <f t="array" aca="1" ref="J1377" ca="1">_xlfn.IFS(qhkz_4dqm[[#This Row],[vehicle_age]]&lt;=3,"Newer",qhkz_4dqm[[#This Row],[vehicle_age]]&lt;=9,"Mid-age",qhkz_4dqm[[#This Row],[vehicle_age]]&lt;=19,"Older",qhkz_4dqm[[#This Row],[vehicle_age]]&gt;=20,"Very Old")</f>
        <v>Older</v>
      </c>
    </row>
    <row r="1378" spans="1:10">
      <c r="A1378" s="2">
        <v>24150250</v>
      </c>
      <c r="B1378" s="2">
        <v>2415025001</v>
      </c>
      <c r="C1378" s="2">
        <v>1</v>
      </c>
      <c r="D1378" s="2">
        <v>2006</v>
      </c>
      <c r="E1378" s="2">
        <v>1</v>
      </c>
      <c r="F1378" s="2">
        <v>496.48</v>
      </c>
      <c r="G1378" s="2">
        <v>675.32</v>
      </c>
      <c r="H1378" s="2" t="str">
        <f>VLOOKUP(qhkz_4dqm[[#This Row],[fuel_type]],lookup!A:B,2,FALSE)</f>
        <v>Gasoline</v>
      </c>
      <c r="I1378" s="2">
        <f ca="1">YEAR(TODAY())-qhkz_4dqm[[#This Row],[year]]</f>
        <v>20</v>
      </c>
      <c r="J1378" s="2" t="str" cm="1">
        <f t="array" aca="1" ref="J1378" ca="1">_xlfn.IFS(qhkz_4dqm[[#This Row],[vehicle_age]]&lt;=3,"Newer",qhkz_4dqm[[#This Row],[vehicle_age]]&lt;=9,"Mid-age",qhkz_4dqm[[#This Row],[vehicle_age]]&lt;=19,"Older",qhkz_4dqm[[#This Row],[vehicle_age]]&gt;=20,"Very Old")</f>
        <v>Very Old</v>
      </c>
    </row>
    <row r="1379" spans="1:10">
      <c r="A1379" s="2">
        <v>24150255</v>
      </c>
      <c r="B1379" s="2">
        <v>2415025501</v>
      </c>
      <c r="C1379" s="2">
        <v>1</v>
      </c>
      <c r="D1379" s="2">
        <v>2022</v>
      </c>
      <c r="E1379" s="2">
        <v>1</v>
      </c>
      <c r="F1379" s="2">
        <v>0.92</v>
      </c>
      <c r="G1379" s="2">
        <v>237.92</v>
      </c>
      <c r="H1379" s="2" t="str">
        <f>VLOOKUP(qhkz_4dqm[[#This Row],[fuel_type]],lookup!A:B,2,FALSE)</f>
        <v>Gasoline</v>
      </c>
      <c r="I1379" s="2">
        <f ca="1">YEAR(TODAY())-qhkz_4dqm[[#This Row],[year]]</f>
        <v>4</v>
      </c>
      <c r="J1379" s="2" t="str" cm="1">
        <f t="array" aca="1" ref="J1379" ca="1">_xlfn.IFS(qhkz_4dqm[[#This Row],[vehicle_age]]&lt;=3,"Newer",qhkz_4dqm[[#This Row],[vehicle_age]]&lt;=9,"Mid-age",qhkz_4dqm[[#This Row],[vehicle_age]]&lt;=19,"Older",qhkz_4dqm[[#This Row],[vehicle_age]]&gt;=20,"Very Old")</f>
        <v>Mid-age</v>
      </c>
    </row>
    <row r="1380" spans="1:10">
      <c r="A1380" s="2">
        <v>24150268</v>
      </c>
      <c r="B1380" s="2">
        <v>2415026801</v>
      </c>
      <c r="C1380" s="2">
        <v>1</v>
      </c>
      <c r="D1380" s="2">
        <v>2023</v>
      </c>
      <c r="E1380" s="2">
        <v>4</v>
      </c>
      <c r="F1380" s="2">
        <v>243.99</v>
      </c>
      <c r="G1380" s="2">
        <v>566.55999999999995</v>
      </c>
      <c r="H1380" s="2" t="str">
        <f>VLOOKUP(qhkz_4dqm[[#This Row],[fuel_type]],lookup!A:B,2,FALSE)</f>
        <v>Electric</v>
      </c>
      <c r="I1380" s="2">
        <f ca="1">YEAR(TODAY())-qhkz_4dqm[[#This Row],[year]]</f>
        <v>3</v>
      </c>
      <c r="J1380" s="2" t="str" cm="1">
        <f t="array" aca="1" ref="J1380" ca="1">_xlfn.IFS(qhkz_4dqm[[#This Row],[vehicle_age]]&lt;=3,"Newer",qhkz_4dqm[[#This Row],[vehicle_age]]&lt;=9,"Mid-age",qhkz_4dqm[[#This Row],[vehicle_age]]&lt;=19,"Older",qhkz_4dqm[[#This Row],[vehicle_age]]&gt;=20,"Very Old")</f>
        <v>Newer</v>
      </c>
    </row>
    <row r="1381" spans="1:10">
      <c r="A1381" s="2">
        <v>24150270</v>
      </c>
      <c r="B1381" s="2">
        <v>2415027001</v>
      </c>
      <c r="C1381" s="2">
        <v>1</v>
      </c>
      <c r="D1381" s="2">
        <v>2006</v>
      </c>
      <c r="E1381" s="2">
        <v>1</v>
      </c>
      <c r="F1381" s="2">
        <v>428.4</v>
      </c>
      <c r="G1381" s="2">
        <v>717.53</v>
      </c>
      <c r="H1381" s="2" t="str">
        <f>VLOOKUP(qhkz_4dqm[[#This Row],[fuel_type]],lookup!A:B,2,FALSE)</f>
        <v>Gasoline</v>
      </c>
      <c r="I1381" s="2">
        <f ca="1">YEAR(TODAY())-qhkz_4dqm[[#This Row],[year]]</f>
        <v>20</v>
      </c>
      <c r="J1381" s="2" t="str" cm="1">
        <f t="array" aca="1" ref="J1381" ca="1">_xlfn.IFS(qhkz_4dqm[[#This Row],[vehicle_age]]&lt;=3,"Newer",qhkz_4dqm[[#This Row],[vehicle_age]]&lt;=9,"Mid-age",qhkz_4dqm[[#This Row],[vehicle_age]]&lt;=19,"Older",qhkz_4dqm[[#This Row],[vehicle_age]]&gt;=20,"Very Old")</f>
        <v>Very Old</v>
      </c>
    </row>
    <row r="1382" spans="1:10">
      <c r="A1382" s="2">
        <v>24150272</v>
      </c>
      <c r="B1382" s="2">
        <v>2415027201</v>
      </c>
      <c r="C1382" s="2">
        <v>1</v>
      </c>
      <c r="D1382" s="2">
        <v>2013</v>
      </c>
      <c r="E1382" s="2">
        <v>1</v>
      </c>
      <c r="F1382" s="2">
        <v>153.65</v>
      </c>
      <c r="G1382" s="2">
        <v>332.35</v>
      </c>
      <c r="H1382" s="2" t="str">
        <f>VLOOKUP(qhkz_4dqm[[#This Row],[fuel_type]],lookup!A:B,2,FALSE)</f>
        <v>Gasoline</v>
      </c>
      <c r="I1382" s="2">
        <f ca="1">YEAR(TODAY())-qhkz_4dqm[[#This Row],[year]]</f>
        <v>13</v>
      </c>
      <c r="J1382" s="2" t="str" cm="1">
        <f t="array" aca="1" ref="J1382" ca="1">_xlfn.IFS(qhkz_4dqm[[#This Row],[vehicle_age]]&lt;=3,"Newer",qhkz_4dqm[[#This Row],[vehicle_age]]&lt;=9,"Mid-age",qhkz_4dqm[[#This Row],[vehicle_age]]&lt;=19,"Older",qhkz_4dqm[[#This Row],[vehicle_age]]&gt;=20,"Very Old")</f>
        <v>Older</v>
      </c>
    </row>
    <row r="1383" spans="1:10">
      <c r="A1383" s="2">
        <v>24150281</v>
      </c>
      <c r="B1383" s="2">
        <v>2415028101</v>
      </c>
      <c r="C1383" s="2">
        <v>1</v>
      </c>
      <c r="D1383" s="2">
        <v>2010</v>
      </c>
      <c r="E1383" s="2">
        <v>1</v>
      </c>
      <c r="F1383" s="2">
        <v>462.41</v>
      </c>
      <c r="G1383" s="2">
        <v>1449.08</v>
      </c>
      <c r="H1383" s="2" t="str">
        <f>VLOOKUP(qhkz_4dqm[[#This Row],[fuel_type]],lookup!A:B,2,FALSE)</f>
        <v>Gasoline</v>
      </c>
      <c r="I1383" s="2">
        <f ca="1">YEAR(TODAY())-qhkz_4dqm[[#This Row],[year]]</f>
        <v>16</v>
      </c>
      <c r="J1383" s="2" t="str" cm="1">
        <f t="array" aca="1" ref="J1383" ca="1">_xlfn.IFS(qhkz_4dqm[[#This Row],[vehicle_age]]&lt;=3,"Newer",qhkz_4dqm[[#This Row],[vehicle_age]]&lt;=9,"Mid-age",qhkz_4dqm[[#This Row],[vehicle_age]]&lt;=19,"Older",qhkz_4dqm[[#This Row],[vehicle_age]]&gt;=20,"Very Old")</f>
        <v>Older</v>
      </c>
    </row>
    <row r="1384" spans="1:10">
      <c r="A1384" s="2">
        <v>24150286</v>
      </c>
      <c r="B1384" s="2">
        <v>2415028601</v>
      </c>
      <c r="C1384" s="2">
        <v>1</v>
      </c>
      <c r="D1384" s="2">
        <v>2008</v>
      </c>
      <c r="E1384" s="2">
        <v>1</v>
      </c>
      <c r="F1384" s="2">
        <v>1307.9000000000001</v>
      </c>
      <c r="G1384" s="2">
        <v>1183.5999999999999</v>
      </c>
      <c r="H1384" s="2" t="str">
        <f>VLOOKUP(qhkz_4dqm[[#This Row],[fuel_type]],lookup!A:B,2,FALSE)</f>
        <v>Gasoline</v>
      </c>
      <c r="I1384" s="2">
        <f ca="1">YEAR(TODAY())-qhkz_4dqm[[#This Row],[year]]</f>
        <v>18</v>
      </c>
      <c r="J1384" s="2" t="str" cm="1">
        <f t="array" aca="1" ref="J1384" ca="1">_xlfn.IFS(qhkz_4dqm[[#This Row],[vehicle_age]]&lt;=3,"Newer",qhkz_4dqm[[#This Row],[vehicle_age]]&lt;=9,"Mid-age",qhkz_4dqm[[#This Row],[vehicle_age]]&lt;=19,"Older",qhkz_4dqm[[#This Row],[vehicle_age]]&gt;=20,"Very Old")</f>
        <v>Older</v>
      </c>
    </row>
    <row r="1385" spans="1:10">
      <c r="A1385" s="2">
        <v>24150319</v>
      </c>
      <c r="B1385" s="2">
        <v>2415031901</v>
      </c>
      <c r="C1385" s="2">
        <v>1</v>
      </c>
      <c r="D1385" s="2">
        <v>2013</v>
      </c>
      <c r="E1385" s="2">
        <v>1</v>
      </c>
      <c r="F1385" s="2">
        <v>33.270000000000003</v>
      </c>
      <c r="G1385" s="2">
        <v>95.42</v>
      </c>
      <c r="H1385" s="2" t="str">
        <f>VLOOKUP(qhkz_4dqm[[#This Row],[fuel_type]],lookup!A:B,2,FALSE)</f>
        <v>Gasoline</v>
      </c>
      <c r="I1385" s="2">
        <f ca="1">YEAR(TODAY())-qhkz_4dqm[[#This Row],[year]]</f>
        <v>13</v>
      </c>
      <c r="J1385" s="2" t="str" cm="1">
        <f t="array" aca="1" ref="J1385" ca="1">_xlfn.IFS(qhkz_4dqm[[#This Row],[vehicle_age]]&lt;=3,"Newer",qhkz_4dqm[[#This Row],[vehicle_age]]&lt;=9,"Mid-age",qhkz_4dqm[[#This Row],[vehicle_age]]&lt;=19,"Older",qhkz_4dqm[[#This Row],[vehicle_age]]&gt;=20,"Very Old")</f>
        <v>Older</v>
      </c>
    </row>
    <row r="1386" spans="1:10">
      <c r="A1386" s="2">
        <v>24150326</v>
      </c>
      <c r="B1386" s="2">
        <v>2415032601</v>
      </c>
      <c r="C1386" s="2">
        <v>1</v>
      </c>
      <c r="D1386" s="2">
        <v>2014</v>
      </c>
      <c r="E1386" s="2">
        <v>1</v>
      </c>
      <c r="F1386" s="2">
        <v>447.89</v>
      </c>
      <c r="G1386" s="2">
        <v>480.12</v>
      </c>
      <c r="H1386" s="2" t="str">
        <f>VLOOKUP(qhkz_4dqm[[#This Row],[fuel_type]],lookup!A:B,2,FALSE)</f>
        <v>Gasoline</v>
      </c>
      <c r="I1386" s="2">
        <f ca="1">YEAR(TODAY())-qhkz_4dqm[[#This Row],[year]]</f>
        <v>12</v>
      </c>
      <c r="J1386" s="2" t="str" cm="1">
        <f t="array" aca="1" ref="J1386" ca="1">_xlfn.IFS(qhkz_4dqm[[#This Row],[vehicle_age]]&lt;=3,"Newer",qhkz_4dqm[[#This Row],[vehicle_age]]&lt;=9,"Mid-age",qhkz_4dqm[[#This Row],[vehicle_age]]&lt;=19,"Older",qhkz_4dqm[[#This Row],[vehicle_age]]&gt;=20,"Very Old")</f>
        <v>Older</v>
      </c>
    </row>
    <row r="1387" spans="1:10">
      <c r="A1387" s="2">
        <v>24150335</v>
      </c>
      <c r="B1387" s="2">
        <v>2415033501</v>
      </c>
      <c r="C1387" s="2">
        <v>1</v>
      </c>
      <c r="D1387" s="2">
        <v>2015</v>
      </c>
      <c r="E1387" s="2">
        <v>1</v>
      </c>
      <c r="F1387" s="2">
        <v>110.4</v>
      </c>
      <c r="G1387" s="2">
        <v>286.75</v>
      </c>
      <c r="H1387" s="2" t="str">
        <f>VLOOKUP(qhkz_4dqm[[#This Row],[fuel_type]],lookup!A:B,2,FALSE)</f>
        <v>Gasoline</v>
      </c>
      <c r="I1387" s="2">
        <f ca="1">YEAR(TODAY())-qhkz_4dqm[[#This Row],[year]]</f>
        <v>11</v>
      </c>
      <c r="J1387" s="2" t="str" cm="1">
        <f t="array" aca="1" ref="J1387" ca="1">_xlfn.IFS(qhkz_4dqm[[#This Row],[vehicle_age]]&lt;=3,"Newer",qhkz_4dqm[[#This Row],[vehicle_age]]&lt;=9,"Mid-age",qhkz_4dqm[[#This Row],[vehicle_age]]&lt;=19,"Older",qhkz_4dqm[[#This Row],[vehicle_age]]&gt;=20,"Very Old")</f>
        <v>Older</v>
      </c>
    </row>
    <row r="1388" spans="1:10">
      <c r="A1388" s="2">
        <v>24150342</v>
      </c>
      <c r="B1388" s="2">
        <v>2415034201</v>
      </c>
      <c r="C1388" s="2">
        <v>1</v>
      </c>
      <c r="D1388" s="2">
        <v>2019</v>
      </c>
      <c r="E1388" s="2">
        <v>1</v>
      </c>
      <c r="F1388" s="2">
        <v>1495.51</v>
      </c>
      <c r="G1388" s="2">
        <v>695.4</v>
      </c>
      <c r="H1388" s="2" t="str">
        <f>VLOOKUP(qhkz_4dqm[[#This Row],[fuel_type]],lookup!A:B,2,FALSE)</f>
        <v>Gasoline</v>
      </c>
      <c r="I1388" s="2">
        <f ca="1">YEAR(TODAY())-qhkz_4dqm[[#This Row],[year]]</f>
        <v>7</v>
      </c>
      <c r="J1388" s="2" t="str" cm="1">
        <f t="array" aca="1" ref="J1388" ca="1">_xlfn.IFS(qhkz_4dqm[[#This Row],[vehicle_age]]&lt;=3,"Newer",qhkz_4dqm[[#This Row],[vehicle_age]]&lt;=9,"Mid-age",qhkz_4dqm[[#This Row],[vehicle_age]]&lt;=19,"Older",qhkz_4dqm[[#This Row],[vehicle_age]]&gt;=20,"Very Old")</f>
        <v>Mid-age</v>
      </c>
    </row>
    <row r="1389" spans="1:10">
      <c r="A1389" s="2">
        <v>24150348</v>
      </c>
      <c r="B1389" s="2">
        <v>2415034801</v>
      </c>
      <c r="C1389" s="2">
        <v>1</v>
      </c>
      <c r="D1389" s="2">
        <v>2015</v>
      </c>
      <c r="E1389" s="2">
        <v>1</v>
      </c>
      <c r="F1389" s="2">
        <v>348.96</v>
      </c>
      <c r="G1389" s="2">
        <v>269.20999999999998</v>
      </c>
      <c r="H1389" s="2" t="str">
        <f>VLOOKUP(qhkz_4dqm[[#This Row],[fuel_type]],lookup!A:B,2,FALSE)</f>
        <v>Gasoline</v>
      </c>
      <c r="I1389" s="2">
        <f ca="1">YEAR(TODAY())-qhkz_4dqm[[#This Row],[year]]</f>
        <v>11</v>
      </c>
      <c r="J1389" s="2" t="str" cm="1">
        <f t="array" aca="1" ref="J1389" ca="1">_xlfn.IFS(qhkz_4dqm[[#This Row],[vehicle_age]]&lt;=3,"Newer",qhkz_4dqm[[#This Row],[vehicle_age]]&lt;=9,"Mid-age",qhkz_4dqm[[#This Row],[vehicle_age]]&lt;=19,"Older",qhkz_4dqm[[#This Row],[vehicle_age]]&gt;=20,"Very Old")</f>
        <v>Older</v>
      </c>
    </row>
    <row r="1390" spans="1:10">
      <c r="A1390" s="2">
        <v>24150354</v>
      </c>
      <c r="B1390" s="2">
        <v>2415035401</v>
      </c>
      <c r="C1390" s="2">
        <v>1</v>
      </c>
      <c r="D1390" s="2">
        <v>2010</v>
      </c>
      <c r="E1390" s="2">
        <v>1</v>
      </c>
      <c r="F1390" s="2">
        <v>637.99</v>
      </c>
      <c r="G1390" s="2">
        <v>180.88</v>
      </c>
      <c r="H1390" s="2" t="str">
        <f>VLOOKUP(qhkz_4dqm[[#This Row],[fuel_type]],lookup!A:B,2,FALSE)</f>
        <v>Gasoline</v>
      </c>
      <c r="I1390" s="2">
        <f ca="1">YEAR(TODAY())-qhkz_4dqm[[#This Row],[year]]</f>
        <v>16</v>
      </c>
      <c r="J1390" s="2" t="str" cm="1">
        <f t="array" aca="1" ref="J1390" ca="1">_xlfn.IFS(qhkz_4dqm[[#This Row],[vehicle_age]]&lt;=3,"Newer",qhkz_4dqm[[#This Row],[vehicle_age]]&lt;=9,"Mid-age",qhkz_4dqm[[#This Row],[vehicle_age]]&lt;=19,"Older",qhkz_4dqm[[#This Row],[vehicle_age]]&gt;=20,"Very Old")</f>
        <v>Older</v>
      </c>
    </row>
    <row r="1391" spans="1:10">
      <c r="A1391" s="2">
        <v>24150369</v>
      </c>
      <c r="B1391" s="2">
        <v>2415036901</v>
      </c>
      <c r="C1391" s="2">
        <v>1</v>
      </c>
      <c r="D1391" s="2">
        <v>2021</v>
      </c>
      <c r="E1391" s="2">
        <v>1</v>
      </c>
      <c r="F1391" s="2">
        <v>1200.9100000000001</v>
      </c>
      <c r="G1391" s="2">
        <v>1396.32</v>
      </c>
      <c r="H1391" s="2" t="str">
        <f>VLOOKUP(qhkz_4dqm[[#This Row],[fuel_type]],lookup!A:B,2,FALSE)</f>
        <v>Gasoline</v>
      </c>
      <c r="I1391" s="2">
        <f ca="1">YEAR(TODAY())-qhkz_4dqm[[#This Row],[year]]</f>
        <v>5</v>
      </c>
      <c r="J1391" s="2" t="str" cm="1">
        <f t="array" aca="1" ref="J1391" ca="1">_xlfn.IFS(qhkz_4dqm[[#This Row],[vehicle_age]]&lt;=3,"Newer",qhkz_4dqm[[#This Row],[vehicle_age]]&lt;=9,"Mid-age",qhkz_4dqm[[#This Row],[vehicle_age]]&lt;=19,"Older",qhkz_4dqm[[#This Row],[vehicle_age]]&gt;=20,"Very Old")</f>
        <v>Mid-age</v>
      </c>
    </row>
    <row r="1392" spans="1:10">
      <c r="A1392" s="2">
        <v>24150370</v>
      </c>
      <c r="B1392" s="2">
        <v>2415037001</v>
      </c>
      <c r="C1392" s="2">
        <v>1</v>
      </c>
      <c r="D1392" s="2">
        <v>2022</v>
      </c>
      <c r="E1392" s="2">
        <v>1</v>
      </c>
      <c r="F1392" s="2">
        <v>91.89</v>
      </c>
      <c r="G1392" s="2">
        <v>90.33</v>
      </c>
      <c r="H1392" s="2" t="str">
        <f>VLOOKUP(qhkz_4dqm[[#This Row],[fuel_type]],lookup!A:B,2,FALSE)</f>
        <v>Gasoline</v>
      </c>
      <c r="I1392" s="2">
        <f ca="1">YEAR(TODAY())-qhkz_4dqm[[#This Row],[year]]</f>
        <v>4</v>
      </c>
      <c r="J1392" s="2" t="str" cm="1">
        <f t="array" aca="1" ref="J1392" ca="1">_xlfn.IFS(qhkz_4dqm[[#This Row],[vehicle_age]]&lt;=3,"Newer",qhkz_4dqm[[#This Row],[vehicle_age]]&lt;=9,"Mid-age",qhkz_4dqm[[#This Row],[vehicle_age]]&lt;=19,"Older",qhkz_4dqm[[#This Row],[vehicle_age]]&gt;=20,"Very Old")</f>
        <v>Mid-age</v>
      </c>
    </row>
    <row r="1393" spans="1:10">
      <c r="A1393" s="2">
        <v>24150373</v>
      </c>
      <c r="B1393" s="2">
        <v>2415037301</v>
      </c>
      <c r="C1393" s="2">
        <v>1</v>
      </c>
      <c r="D1393" s="2">
        <v>2017</v>
      </c>
      <c r="E1393" s="2">
        <v>1</v>
      </c>
      <c r="F1393" s="2">
        <v>1039.0899999999999</v>
      </c>
      <c r="G1393" s="2">
        <v>563.55999999999995</v>
      </c>
      <c r="H1393" s="2" t="str">
        <f>VLOOKUP(qhkz_4dqm[[#This Row],[fuel_type]],lookup!A:B,2,FALSE)</f>
        <v>Gasoline</v>
      </c>
      <c r="I1393" s="2">
        <f ca="1">YEAR(TODAY())-qhkz_4dqm[[#This Row],[year]]</f>
        <v>9</v>
      </c>
      <c r="J1393" s="2" t="str" cm="1">
        <f t="array" aca="1" ref="J1393" ca="1">_xlfn.IFS(qhkz_4dqm[[#This Row],[vehicle_age]]&lt;=3,"Newer",qhkz_4dqm[[#This Row],[vehicle_age]]&lt;=9,"Mid-age",qhkz_4dqm[[#This Row],[vehicle_age]]&lt;=19,"Older",qhkz_4dqm[[#This Row],[vehicle_age]]&gt;=20,"Very Old")</f>
        <v>Mid-age</v>
      </c>
    </row>
    <row r="1394" spans="1:10">
      <c r="A1394" s="2">
        <v>24150374</v>
      </c>
      <c r="B1394" s="2">
        <v>2415037401</v>
      </c>
      <c r="C1394" s="2">
        <v>1</v>
      </c>
      <c r="D1394" s="2">
        <v>2003</v>
      </c>
      <c r="E1394" s="2">
        <v>1</v>
      </c>
      <c r="F1394" s="2">
        <v>0.92</v>
      </c>
      <c r="G1394" s="2">
        <v>214.96</v>
      </c>
      <c r="H1394" s="2" t="str">
        <f>VLOOKUP(qhkz_4dqm[[#This Row],[fuel_type]],lookup!A:B,2,FALSE)</f>
        <v>Gasoline</v>
      </c>
      <c r="I1394" s="2">
        <f ca="1">YEAR(TODAY())-qhkz_4dqm[[#This Row],[year]]</f>
        <v>23</v>
      </c>
      <c r="J1394" s="2" t="str" cm="1">
        <f t="array" aca="1" ref="J1394" ca="1">_xlfn.IFS(qhkz_4dqm[[#This Row],[vehicle_age]]&lt;=3,"Newer",qhkz_4dqm[[#This Row],[vehicle_age]]&lt;=9,"Mid-age",qhkz_4dqm[[#This Row],[vehicle_age]]&lt;=19,"Older",qhkz_4dqm[[#This Row],[vehicle_age]]&gt;=20,"Very Old")</f>
        <v>Very Old</v>
      </c>
    </row>
    <row r="1395" spans="1:10">
      <c r="A1395" s="2">
        <v>24150376</v>
      </c>
      <c r="B1395" s="2">
        <v>2415037601</v>
      </c>
      <c r="C1395" s="2">
        <v>1</v>
      </c>
      <c r="D1395" s="2">
        <v>2021</v>
      </c>
      <c r="E1395" s="2">
        <v>1</v>
      </c>
      <c r="F1395" s="2">
        <v>1.84</v>
      </c>
      <c r="G1395" s="2">
        <v>661.33</v>
      </c>
      <c r="H1395" s="2" t="str">
        <f>VLOOKUP(qhkz_4dqm[[#This Row],[fuel_type]],lookup!A:B,2,FALSE)</f>
        <v>Gasoline</v>
      </c>
      <c r="I1395" s="2">
        <f ca="1">YEAR(TODAY())-qhkz_4dqm[[#This Row],[year]]</f>
        <v>5</v>
      </c>
      <c r="J1395" s="2" t="str" cm="1">
        <f t="array" aca="1" ref="J1395" ca="1">_xlfn.IFS(qhkz_4dqm[[#This Row],[vehicle_age]]&lt;=3,"Newer",qhkz_4dqm[[#This Row],[vehicle_age]]&lt;=9,"Mid-age",qhkz_4dqm[[#This Row],[vehicle_age]]&lt;=19,"Older",qhkz_4dqm[[#This Row],[vehicle_age]]&gt;=20,"Very Old")</f>
        <v>Mid-age</v>
      </c>
    </row>
    <row r="1396" spans="1:10">
      <c r="A1396" s="2">
        <v>24150386</v>
      </c>
      <c r="B1396" s="2">
        <v>2415038601</v>
      </c>
      <c r="C1396" s="2">
        <v>1</v>
      </c>
      <c r="D1396" s="2">
        <v>2019</v>
      </c>
      <c r="E1396" s="2">
        <v>1</v>
      </c>
      <c r="F1396" s="2">
        <v>171.02</v>
      </c>
      <c r="G1396" s="2">
        <v>475.01</v>
      </c>
      <c r="H1396" s="2" t="str">
        <f>VLOOKUP(qhkz_4dqm[[#This Row],[fuel_type]],lookup!A:B,2,FALSE)</f>
        <v>Gasoline</v>
      </c>
      <c r="I1396" s="2">
        <f ca="1">YEAR(TODAY())-qhkz_4dqm[[#This Row],[year]]</f>
        <v>7</v>
      </c>
      <c r="J1396" s="2" t="str" cm="1">
        <f t="array" aca="1" ref="J1396" ca="1">_xlfn.IFS(qhkz_4dqm[[#This Row],[vehicle_age]]&lt;=3,"Newer",qhkz_4dqm[[#This Row],[vehicle_age]]&lt;=9,"Mid-age",qhkz_4dqm[[#This Row],[vehicle_age]]&lt;=19,"Older",qhkz_4dqm[[#This Row],[vehicle_age]]&gt;=20,"Very Old")</f>
        <v>Mid-age</v>
      </c>
    </row>
    <row r="1397" spans="1:10">
      <c r="A1397" s="2">
        <v>24150387</v>
      </c>
      <c r="B1397" s="2">
        <v>2415038701</v>
      </c>
      <c r="C1397" s="2">
        <v>1</v>
      </c>
      <c r="D1397" s="2">
        <v>2007</v>
      </c>
      <c r="E1397" s="2">
        <v>1</v>
      </c>
      <c r="F1397" s="2">
        <v>149.41</v>
      </c>
      <c r="G1397" s="2">
        <v>444.79</v>
      </c>
      <c r="H1397" s="2" t="str">
        <f>VLOOKUP(qhkz_4dqm[[#This Row],[fuel_type]],lookup!A:B,2,FALSE)</f>
        <v>Gasoline</v>
      </c>
      <c r="I1397" s="2">
        <f ca="1">YEAR(TODAY())-qhkz_4dqm[[#This Row],[year]]</f>
        <v>19</v>
      </c>
      <c r="J1397" s="2" t="str" cm="1">
        <f t="array" aca="1" ref="J1397" ca="1">_xlfn.IFS(qhkz_4dqm[[#This Row],[vehicle_age]]&lt;=3,"Newer",qhkz_4dqm[[#This Row],[vehicle_age]]&lt;=9,"Mid-age",qhkz_4dqm[[#This Row],[vehicle_age]]&lt;=19,"Older",qhkz_4dqm[[#This Row],[vehicle_age]]&gt;=20,"Very Old")</f>
        <v>Older</v>
      </c>
    </row>
    <row r="1398" spans="1:10">
      <c r="A1398" s="2">
        <v>24150393</v>
      </c>
      <c r="B1398" s="2">
        <v>2415039301</v>
      </c>
      <c r="C1398" s="2">
        <v>1</v>
      </c>
      <c r="D1398" s="2">
        <v>2017</v>
      </c>
      <c r="E1398" s="2">
        <v>1</v>
      </c>
      <c r="F1398" s="2">
        <v>555.24</v>
      </c>
      <c r="G1398" s="2">
        <v>445.31</v>
      </c>
      <c r="H1398" s="2" t="str">
        <f>VLOOKUP(qhkz_4dqm[[#This Row],[fuel_type]],lookup!A:B,2,FALSE)</f>
        <v>Gasoline</v>
      </c>
      <c r="I1398" s="2">
        <f ca="1">YEAR(TODAY())-qhkz_4dqm[[#This Row],[year]]</f>
        <v>9</v>
      </c>
      <c r="J1398" s="2" t="str" cm="1">
        <f t="array" aca="1" ref="J1398" ca="1">_xlfn.IFS(qhkz_4dqm[[#This Row],[vehicle_age]]&lt;=3,"Newer",qhkz_4dqm[[#This Row],[vehicle_age]]&lt;=9,"Mid-age",qhkz_4dqm[[#This Row],[vehicle_age]]&lt;=19,"Older",qhkz_4dqm[[#This Row],[vehicle_age]]&gt;=20,"Very Old")</f>
        <v>Mid-age</v>
      </c>
    </row>
    <row r="1399" spans="1:10">
      <c r="A1399" s="2">
        <v>24150405</v>
      </c>
      <c r="B1399" s="2">
        <v>2415040501</v>
      </c>
      <c r="C1399" s="2">
        <v>1</v>
      </c>
      <c r="D1399" s="2">
        <v>2024</v>
      </c>
      <c r="E1399" s="2">
        <v>1</v>
      </c>
      <c r="F1399" s="2">
        <v>460.5</v>
      </c>
      <c r="G1399" s="2">
        <v>1220</v>
      </c>
      <c r="H1399" s="2" t="str">
        <f>VLOOKUP(qhkz_4dqm[[#This Row],[fuel_type]],lookup!A:B,2,FALSE)</f>
        <v>Gasoline</v>
      </c>
      <c r="I1399" s="2">
        <f ca="1">YEAR(TODAY())-qhkz_4dqm[[#This Row],[year]]</f>
        <v>2</v>
      </c>
      <c r="J1399" s="2" t="str" cm="1">
        <f t="array" aca="1" ref="J1399" ca="1">_xlfn.IFS(qhkz_4dqm[[#This Row],[vehicle_age]]&lt;=3,"Newer",qhkz_4dqm[[#This Row],[vehicle_age]]&lt;=9,"Mid-age",qhkz_4dqm[[#This Row],[vehicle_age]]&lt;=19,"Older",qhkz_4dqm[[#This Row],[vehicle_age]]&gt;=20,"Very Old")</f>
        <v>Newer</v>
      </c>
    </row>
    <row r="1400" spans="1:10">
      <c r="A1400" s="2">
        <v>24150416</v>
      </c>
      <c r="B1400" s="2">
        <v>2415041601</v>
      </c>
      <c r="C1400" s="2">
        <v>1</v>
      </c>
      <c r="D1400" s="2">
        <v>2021</v>
      </c>
      <c r="E1400" s="2">
        <v>1</v>
      </c>
      <c r="F1400" s="2">
        <v>238.23</v>
      </c>
      <c r="G1400" s="2">
        <v>739.73</v>
      </c>
      <c r="H1400" s="2" t="str">
        <f>VLOOKUP(qhkz_4dqm[[#This Row],[fuel_type]],lookup!A:B,2,FALSE)</f>
        <v>Gasoline</v>
      </c>
      <c r="I1400" s="2">
        <f ca="1">YEAR(TODAY())-qhkz_4dqm[[#This Row],[year]]</f>
        <v>5</v>
      </c>
      <c r="J1400" s="2" t="str" cm="1">
        <f t="array" aca="1" ref="J1400" ca="1">_xlfn.IFS(qhkz_4dqm[[#This Row],[vehicle_age]]&lt;=3,"Newer",qhkz_4dqm[[#This Row],[vehicle_age]]&lt;=9,"Mid-age",qhkz_4dqm[[#This Row],[vehicle_age]]&lt;=19,"Older",qhkz_4dqm[[#This Row],[vehicle_age]]&gt;=20,"Very Old")</f>
        <v>Mid-age</v>
      </c>
    </row>
    <row r="1401" spans="1:10">
      <c r="A1401" s="2">
        <v>24150432</v>
      </c>
      <c r="B1401" s="2">
        <v>2415043201</v>
      </c>
      <c r="C1401" s="2">
        <v>1</v>
      </c>
      <c r="D1401" s="2">
        <v>2011</v>
      </c>
      <c r="E1401" s="2">
        <v>1</v>
      </c>
      <c r="F1401" s="2">
        <v>1674.63</v>
      </c>
      <c r="G1401" s="2">
        <v>1745.58</v>
      </c>
      <c r="H1401" s="2" t="str">
        <f>VLOOKUP(qhkz_4dqm[[#This Row],[fuel_type]],lookup!A:B,2,FALSE)</f>
        <v>Gasoline</v>
      </c>
      <c r="I1401" s="2">
        <f ca="1">YEAR(TODAY())-qhkz_4dqm[[#This Row],[year]]</f>
        <v>15</v>
      </c>
      <c r="J1401" s="2" t="str" cm="1">
        <f t="array" aca="1" ref="J1401" ca="1">_xlfn.IFS(qhkz_4dqm[[#This Row],[vehicle_age]]&lt;=3,"Newer",qhkz_4dqm[[#This Row],[vehicle_age]]&lt;=9,"Mid-age",qhkz_4dqm[[#This Row],[vehicle_age]]&lt;=19,"Older",qhkz_4dqm[[#This Row],[vehicle_age]]&gt;=20,"Very Old")</f>
        <v>Older</v>
      </c>
    </row>
    <row r="1402" spans="1:10">
      <c r="A1402" s="2">
        <v>24150436</v>
      </c>
      <c r="B1402" s="2">
        <v>2415043601</v>
      </c>
      <c r="C1402" s="2">
        <v>1</v>
      </c>
      <c r="D1402" s="2">
        <v>2016</v>
      </c>
      <c r="E1402" s="2">
        <v>1</v>
      </c>
      <c r="F1402" s="2">
        <v>628.76</v>
      </c>
      <c r="G1402" s="2">
        <v>1574.35</v>
      </c>
      <c r="H1402" s="2" t="str">
        <f>VLOOKUP(qhkz_4dqm[[#This Row],[fuel_type]],lookup!A:B,2,FALSE)</f>
        <v>Gasoline</v>
      </c>
      <c r="I1402" s="2">
        <f ca="1">YEAR(TODAY())-qhkz_4dqm[[#This Row],[year]]</f>
        <v>10</v>
      </c>
      <c r="J1402" s="2" t="str" cm="1">
        <f t="array" aca="1" ref="J1402" ca="1">_xlfn.IFS(qhkz_4dqm[[#This Row],[vehicle_age]]&lt;=3,"Newer",qhkz_4dqm[[#This Row],[vehicle_age]]&lt;=9,"Mid-age",qhkz_4dqm[[#This Row],[vehicle_age]]&lt;=19,"Older",qhkz_4dqm[[#This Row],[vehicle_age]]&gt;=20,"Very Old")</f>
        <v>Older</v>
      </c>
    </row>
    <row r="1403" spans="1:10">
      <c r="A1403" s="2">
        <v>24150440</v>
      </c>
      <c r="B1403" s="2">
        <v>2415044001</v>
      </c>
      <c r="C1403" s="2">
        <v>1</v>
      </c>
      <c r="D1403" s="2">
        <v>2014</v>
      </c>
      <c r="E1403" s="2">
        <v>1</v>
      </c>
      <c r="F1403" s="2">
        <v>239.3</v>
      </c>
      <c r="G1403" s="2">
        <v>287.42</v>
      </c>
      <c r="H1403" s="2" t="str">
        <f>VLOOKUP(qhkz_4dqm[[#This Row],[fuel_type]],lookup!A:B,2,FALSE)</f>
        <v>Gasoline</v>
      </c>
      <c r="I1403" s="2">
        <f ca="1">YEAR(TODAY())-qhkz_4dqm[[#This Row],[year]]</f>
        <v>12</v>
      </c>
      <c r="J1403" s="2" t="str" cm="1">
        <f t="array" aca="1" ref="J1403" ca="1">_xlfn.IFS(qhkz_4dqm[[#This Row],[vehicle_age]]&lt;=3,"Newer",qhkz_4dqm[[#This Row],[vehicle_age]]&lt;=9,"Mid-age",qhkz_4dqm[[#This Row],[vehicle_age]]&lt;=19,"Older",qhkz_4dqm[[#This Row],[vehicle_age]]&gt;=20,"Very Old")</f>
        <v>Older</v>
      </c>
    </row>
    <row r="1404" spans="1:10">
      <c r="A1404" s="2">
        <v>24150444</v>
      </c>
      <c r="B1404" s="2">
        <v>2415044401</v>
      </c>
      <c r="C1404" s="2">
        <v>1</v>
      </c>
      <c r="D1404" s="2">
        <v>2017</v>
      </c>
      <c r="E1404" s="2">
        <v>1</v>
      </c>
      <c r="F1404" s="2">
        <v>106.24</v>
      </c>
      <c r="G1404" s="2">
        <v>310.22000000000003</v>
      </c>
      <c r="H1404" s="2" t="str">
        <f>VLOOKUP(qhkz_4dqm[[#This Row],[fuel_type]],lookup!A:B,2,FALSE)</f>
        <v>Gasoline</v>
      </c>
      <c r="I1404" s="2">
        <f ca="1">YEAR(TODAY())-qhkz_4dqm[[#This Row],[year]]</f>
        <v>9</v>
      </c>
      <c r="J1404" s="2" t="str" cm="1">
        <f t="array" aca="1" ref="J1404" ca="1">_xlfn.IFS(qhkz_4dqm[[#This Row],[vehicle_age]]&lt;=3,"Newer",qhkz_4dqm[[#This Row],[vehicle_age]]&lt;=9,"Mid-age",qhkz_4dqm[[#This Row],[vehicle_age]]&lt;=19,"Older",qhkz_4dqm[[#This Row],[vehicle_age]]&gt;=20,"Very Old")</f>
        <v>Mid-age</v>
      </c>
    </row>
    <row r="1405" spans="1:10">
      <c r="A1405" s="2">
        <v>24150446</v>
      </c>
      <c r="B1405" s="2">
        <v>2415044601</v>
      </c>
      <c r="C1405" s="2">
        <v>1</v>
      </c>
      <c r="D1405" s="2">
        <v>2015</v>
      </c>
      <c r="E1405" s="2">
        <v>1</v>
      </c>
      <c r="F1405" s="2">
        <v>0.46</v>
      </c>
      <c r="G1405" s="2">
        <v>111.72</v>
      </c>
      <c r="H1405" s="2" t="str">
        <f>VLOOKUP(qhkz_4dqm[[#This Row],[fuel_type]],lookup!A:B,2,FALSE)</f>
        <v>Gasoline</v>
      </c>
      <c r="I1405" s="2">
        <f ca="1">YEAR(TODAY())-qhkz_4dqm[[#This Row],[year]]</f>
        <v>11</v>
      </c>
      <c r="J1405" s="2" t="str" cm="1">
        <f t="array" aca="1" ref="J1405" ca="1">_xlfn.IFS(qhkz_4dqm[[#This Row],[vehicle_age]]&lt;=3,"Newer",qhkz_4dqm[[#This Row],[vehicle_age]]&lt;=9,"Mid-age",qhkz_4dqm[[#This Row],[vehicle_age]]&lt;=19,"Older",qhkz_4dqm[[#This Row],[vehicle_age]]&gt;=20,"Very Old")</f>
        <v>Older</v>
      </c>
    </row>
    <row r="1406" spans="1:10">
      <c r="A1406" s="2">
        <v>24150457</v>
      </c>
      <c r="B1406" s="2">
        <v>2415045701</v>
      </c>
      <c r="C1406" s="2">
        <v>1</v>
      </c>
      <c r="D1406" s="2">
        <v>2019</v>
      </c>
      <c r="E1406" s="2">
        <v>1</v>
      </c>
      <c r="F1406" s="2">
        <v>2449.85</v>
      </c>
      <c r="G1406" s="2">
        <v>2497.75</v>
      </c>
      <c r="H1406" s="2" t="str">
        <f>VLOOKUP(qhkz_4dqm[[#This Row],[fuel_type]],lookup!A:B,2,FALSE)</f>
        <v>Gasoline</v>
      </c>
      <c r="I1406" s="2">
        <f ca="1">YEAR(TODAY())-qhkz_4dqm[[#This Row],[year]]</f>
        <v>7</v>
      </c>
      <c r="J1406" s="2" t="str" cm="1">
        <f t="array" aca="1" ref="J1406" ca="1">_xlfn.IFS(qhkz_4dqm[[#This Row],[vehicle_age]]&lt;=3,"Newer",qhkz_4dqm[[#This Row],[vehicle_age]]&lt;=9,"Mid-age",qhkz_4dqm[[#This Row],[vehicle_age]]&lt;=19,"Older",qhkz_4dqm[[#This Row],[vehicle_age]]&gt;=20,"Very Old")</f>
        <v>Mid-age</v>
      </c>
    </row>
    <row r="1407" spans="1:10">
      <c r="A1407" s="2">
        <v>24150466</v>
      </c>
      <c r="B1407" s="2">
        <v>2415046601</v>
      </c>
      <c r="C1407" s="2">
        <v>1</v>
      </c>
      <c r="D1407" s="2">
        <v>2018</v>
      </c>
      <c r="E1407" s="2">
        <v>1</v>
      </c>
      <c r="F1407" s="2">
        <v>296.57</v>
      </c>
      <c r="G1407" s="2">
        <v>1232.19</v>
      </c>
      <c r="H1407" s="2" t="str">
        <f>VLOOKUP(qhkz_4dqm[[#This Row],[fuel_type]],lookup!A:B,2,FALSE)</f>
        <v>Gasoline</v>
      </c>
      <c r="I1407" s="2">
        <f ca="1">YEAR(TODAY())-qhkz_4dqm[[#This Row],[year]]</f>
        <v>8</v>
      </c>
      <c r="J1407" s="2" t="str" cm="1">
        <f t="array" aca="1" ref="J1407" ca="1">_xlfn.IFS(qhkz_4dqm[[#This Row],[vehicle_age]]&lt;=3,"Newer",qhkz_4dqm[[#This Row],[vehicle_age]]&lt;=9,"Mid-age",qhkz_4dqm[[#This Row],[vehicle_age]]&lt;=19,"Older",qhkz_4dqm[[#This Row],[vehicle_age]]&gt;=20,"Very Old")</f>
        <v>Mid-age</v>
      </c>
    </row>
    <row r="1408" spans="1:10">
      <c r="A1408" s="2">
        <v>24150475</v>
      </c>
      <c r="B1408" s="2">
        <v>2415047501</v>
      </c>
      <c r="C1408" s="2">
        <v>1</v>
      </c>
      <c r="D1408" s="2">
        <v>2019</v>
      </c>
      <c r="E1408" s="2">
        <v>1</v>
      </c>
      <c r="F1408" s="2">
        <v>677.38</v>
      </c>
      <c r="G1408" s="2">
        <v>911.92</v>
      </c>
      <c r="H1408" s="2" t="str">
        <f>VLOOKUP(qhkz_4dqm[[#This Row],[fuel_type]],lookup!A:B,2,FALSE)</f>
        <v>Gasoline</v>
      </c>
      <c r="I1408" s="2">
        <f ca="1">YEAR(TODAY())-qhkz_4dqm[[#This Row],[year]]</f>
        <v>7</v>
      </c>
      <c r="J1408" s="2" t="str" cm="1">
        <f t="array" aca="1" ref="J1408" ca="1">_xlfn.IFS(qhkz_4dqm[[#This Row],[vehicle_age]]&lt;=3,"Newer",qhkz_4dqm[[#This Row],[vehicle_age]]&lt;=9,"Mid-age",qhkz_4dqm[[#This Row],[vehicle_age]]&lt;=19,"Older",qhkz_4dqm[[#This Row],[vehicle_age]]&gt;=20,"Very Old")</f>
        <v>Mid-age</v>
      </c>
    </row>
    <row r="1409" spans="1:10">
      <c r="A1409" s="2">
        <v>24150481</v>
      </c>
      <c r="B1409" s="2">
        <v>2415048101</v>
      </c>
      <c r="C1409" s="2">
        <v>1</v>
      </c>
      <c r="D1409" s="2">
        <v>2003</v>
      </c>
      <c r="E1409" s="2">
        <v>1</v>
      </c>
      <c r="F1409" s="2">
        <v>204.96</v>
      </c>
      <c r="G1409" s="2">
        <v>533.34</v>
      </c>
      <c r="H1409" s="2" t="str">
        <f>VLOOKUP(qhkz_4dqm[[#This Row],[fuel_type]],lookup!A:B,2,FALSE)</f>
        <v>Gasoline</v>
      </c>
      <c r="I1409" s="2">
        <f ca="1">YEAR(TODAY())-qhkz_4dqm[[#This Row],[year]]</f>
        <v>23</v>
      </c>
      <c r="J1409" s="2" t="str" cm="1">
        <f t="array" aca="1" ref="J1409" ca="1">_xlfn.IFS(qhkz_4dqm[[#This Row],[vehicle_age]]&lt;=3,"Newer",qhkz_4dqm[[#This Row],[vehicle_age]]&lt;=9,"Mid-age",qhkz_4dqm[[#This Row],[vehicle_age]]&lt;=19,"Older",qhkz_4dqm[[#This Row],[vehicle_age]]&gt;=20,"Very Old")</f>
        <v>Very Old</v>
      </c>
    </row>
    <row r="1410" spans="1:10">
      <c r="A1410" s="2">
        <v>24150486</v>
      </c>
      <c r="B1410" s="2">
        <v>2415048601</v>
      </c>
      <c r="C1410" s="2">
        <v>1</v>
      </c>
      <c r="D1410" s="2">
        <v>2012</v>
      </c>
      <c r="E1410" s="2">
        <v>1</v>
      </c>
      <c r="F1410" s="2">
        <v>3281.12</v>
      </c>
      <c r="G1410" s="2">
        <v>2394.67</v>
      </c>
      <c r="H1410" s="2" t="str">
        <f>VLOOKUP(qhkz_4dqm[[#This Row],[fuel_type]],lookup!A:B,2,FALSE)</f>
        <v>Gasoline</v>
      </c>
      <c r="I1410" s="2">
        <f ca="1">YEAR(TODAY())-qhkz_4dqm[[#This Row],[year]]</f>
        <v>14</v>
      </c>
      <c r="J1410" s="2" t="str" cm="1">
        <f t="array" aca="1" ref="J1410" ca="1">_xlfn.IFS(qhkz_4dqm[[#This Row],[vehicle_age]]&lt;=3,"Newer",qhkz_4dqm[[#This Row],[vehicle_age]]&lt;=9,"Mid-age",qhkz_4dqm[[#This Row],[vehicle_age]]&lt;=19,"Older",qhkz_4dqm[[#This Row],[vehicle_age]]&gt;=20,"Very Old")</f>
        <v>Older</v>
      </c>
    </row>
    <row r="1411" spans="1:10">
      <c r="A1411" s="2">
        <v>24150492</v>
      </c>
      <c r="B1411" s="2">
        <v>2415049201</v>
      </c>
      <c r="C1411" s="2">
        <v>1</v>
      </c>
      <c r="D1411" s="2">
        <v>2019</v>
      </c>
      <c r="E1411" s="2">
        <v>3</v>
      </c>
      <c r="F1411" s="2">
        <v>482.74</v>
      </c>
      <c r="G1411" s="2">
        <v>217.25</v>
      </c>
      <c r="H1411" s="2" t="str">
        <f>VLOOKUP(qhkz_4dqm[[#This Row],[fuel_type]],lookup!A:B,2,FALSE)</f>
        <v>Hybrid</v>
      </c>
      <c r="I1411" s="2">
        <f ca="1">YEAR(TODAY())-qhkz_4dqm[[#This Row],[year]]</f>
        <v>7</v>
      </c>
      <c r="J1411" s="2" t="str" cm="1">
        <f t="array" aca="1" ref="J1411" ca="1">_xlfn.IFS(qhkz_4dqm[[#This Row],[vehicle_age]]&lt;=3,"Newer",qhkz_4dqm[[#This Row],[vehicle_age]]&lt;=9,"Mid-age",qhkz_4dqm[[#This Row],[vehicle_age]]&lt;=19,"Older",qhkz_4dqm[[#This Row],[vehicle_age]]&gt;=20,"Very Old")</f>
        <v>Mid-age</v>
      </c>
    </row>
    <row r="1412" spans="1:10">
      <c r="A1412" s="2">
        <v>24150507</v>
      </c>
      <c r="B1412" s="2">
        <v>2415050701</v>
      </c>
      <c r="C1412" s="2">
        <v>1</v>
      </c>
      <c r="D1412" s="2">
        <v>2014</v>
      </c>
      <c r="E1412" s="2">
        <v>1</v>
      </c>
      <c r="F1412" s="2">
        <v>63.51</v>
      </c>
      <c r="G1412" s="2">
        <v>298.54000000000002</v>
      </c>
      <c r="H1412" s="2" t="str">
        <f>VLOOKUP(qhkz_4dqm[[#This Row],[fuel_type]],lookup!A:B,2,FALSE)</f>
        <v>Gasoline</v>
      </c>
      <c r="I1412" s="2">
        <f ca="1">YEAR(TODAY())-qhkz_4dqm[[#This Row],[year]]</f>
        <v>12</v>
      </c>
      <c r="J1412" s="2" t="str" cm="1">
        <f t="array" aca="1" ref="J1412" ca="1">_xlfn.IFS(qhkz_4dqm[[#This Row],[vehicle_age]]&lt;=3,"Newer",qhkz_4dqm[[#This Row],[vehicle_age]]&lt;=9,"Mid-age",qhkz_4dqm[[#This Row],[vehicle_age]]&lt;=19,"Older",qhkz_4dqm[[#This Row],[vehicle_age]]&gt;=20,"Very Old")</f>
        <v>Older</v>
      </c>
    </row>
    <row r="1413" spans="1:10">
      <c r="A1413" s="2">
        <v>24150531</v>
      </c>
      <c r="B1413" s="2">
        <v>2415053101</v>
      </c>
      <c r="C1413" s="2">
        <v>1</v>
      </c>
      <c r="D1413" s="2">
        <v>2012</v>
      </c>
      <c r="E1413" s="2">
        <v>1</v>
      </c>
      <c r="F1413" s="2">
        <v>199.01</v>
      </c>
      <c r="G1413" s="2">
        <v>258.64</v>
      </c>
      <c r="H1413" s="2" t="str">
        <f>VLOOKUP(qhkz_4dqm[[#This Row],[fuel_type]],lookup!A:B,2,FALSE)</f>
        <v>Gasoline</v>
      </c>
      <c r="I1413" s="2">
        <f ca="1">YEAR(TODAY())-qhkz_4dqm[[#This Row],[year]]</f>
        <v>14</v>
      </c>
      <c r="J1413" s="2" t="str" cm="1">
        <f t="array" aca="1" ref="J1413" ca="1">_xlfn.IFS(qhkz_4dqm[[#This Row],[vehicle_age]]&lt;=3,"Newer",qhkz_4dqm[[#This Row],[vehicle_age]]&lt;=9,"Mid-age",qhkz_4dqm[[#This Row],[vehicle_age]]&lt;=19,"Older",qhkz_4dqm[[#This Row],[vehicle_age]]&gt;=20,"Very Old")</f>
        <v>Older</v>
      </c>
    </row>
    <row r="1414" spans="1:10">
      <c r="A1414" s="2">
        <v>24150588</v>
      </c>
      <c r="B1414" s="2">
        <v>2415058801</v>
      </c>
      <c r="C1414" s="2">
        <v>1</v>
      </c>
      <c r="D1414" s="2">
        <v>2015</v>
      </c>
      <c r="E1414" s="2">
        <v>1</v>
      </c>
      <c r="F1414" s="2">
        <v>0.92</v>
      </c>
      <c r="G1414" s="2">
        <v>258.64</v>
      </c>
      <c r="H1414" s="2" t="str">
        <f>VLOOKUP(qhkz_4dqm[[#This Row],[fuel_type]],lookup!A:B,2,FALSE)</f>
        <v>Gasoline</v>
      </c>
      <c r="I1414" s="2">
        <f ca="1">YEAR(TODAY())-qhkz_4dqm[[#This Row],[year]]</f>
        <v>11</v>
      </c>
      <c r="J1414" s="2" t="str" cm="1">
        <f t="array" aca="1" ref="J1414" ca="1">_xlfn.IFS(qhkz_4dqm[[#This Row],[vehicle_age]]&lt;=3,"Newer",qhkz_4dqm[[#This Row],[vehicle_age]]&lt;=9,"Mid-age",qhkz_4dqm[[#This Row],[vehicle_age]]&lt;=19,"Older",qhkz_4dqm[[#This Row],[vehicle_age]]&gt;=20,"Very Old")</f>
        <v>Older</v>
      </c>
    </row>
    <row r="1415" spans="1:10">
      <c r="A1415" s="2">
        <v>24150596</v>
      </c>
      <c r="B1415" s="2">
        <v>2415059601</v>
      </c>
      <c r="C1415" s="2">
        <v>1</v>
      </c>
      <c r="D1415" s="2">
        <v>2012</v>
      </c>
      <c r="E1415" s="2">
        <v>1</v>
      </c>
      <c r="F1415" s="2">
        <v>886.09</v>
      </c>
      <c r="G1415" s="2">
        <v>631.03</v>
      </c>
      <c r="H1415" s="2" t="str">
        <f>VLOOKUP(qhkz_4dqm[[#This Row],[fuel_type]],lookup!A:B,2,FALSE)</f>
        <v>Gasoline</v>
      </c>
      <c r="I1415" s="2">
        <f ca="1">YEAR(TODAY())-qhkz_4dqm[[#This Row],[year]]</f>
        <v>14</v>
      </c>
      <c r="J1415" s="2" t="str" cm="1">
        <f t="array" aca="1" ref="J1415" ca="1">_xlfn.IFS(qhkz_4dqm[[#This Row],[vehicle_age]]&lt;=3,"Newer",qhkz_4dqm[[#This Row],[vehicle_age]]&lt;=9,"Mid-age",qhkz_4dqm[[#This Row],[vehicle_age]]&lt;=19,"Older",qhkz_4dqm[[#This Row],[vehicle_age]]&gt;=20,"Very Old")</f>
        <v>Older</v>
      </c>
    </row>
    <row r="1416" spans="1:10">
      <c r="A1416" s="2">
        <v>24150605</v>
      </c>
      <c r="B1416" s="2">
        <v>2415060501</v>
      </c>
      <c r="C1416" s="2">
        <v>1</v>
      </c>
      <c r="D1416" s="2">
        <v>2021</v>
      </c>
      <c r="E1416" s="2">
        <v>1</v>
      </c>
      <c r="F1416" s="2">
        <v>373.64</v>
      </c>
      <c r="G1416" s="2">
        <v>822.87</v>
      </c>
      <c r="H1416" s="2" t="str">
        <f>VLOOKUP(qhkz_4dqm[[#This Row],[fuel_type]],lookup!A:B,2,FALSE)</f>
        <v>Gasoline</v>
      </c>
      <c r="I1416" s="2">
        <f ca="1">YEAR(TODAY())-qhkz_4dqm[[#This Row],[year]]</f>
        <v>5</v>
      </c>
      <c r="J1416" s="2" t="str" cm="1">
        <f t="array" aca="1" ref="J1416" ca="1">_xlfn.IFS(qhkz_4dqm[[#This Row],[vehicle_age]]&lt;=3,"Newer",qhkz_4dqm[[#This Row],[vehicle_age]]&lt;=9,"Mid-age",qhkz_4dqm[[#This Row],[vehicle_age]]&lt;=19,"Older",qhkz_4dqm[[#This Row],[vehicle_age]]&gt;=20,"Very Old")</f>
        <v>Mid-age</v>
      </c>
    </row>
    <row r="1417" spans="1:10">
      <c r="A1417" s="2">
        <v>24150614</v>
      </c>
      <c r="B1417" s="2">
        <v>2415061401</v>
      </c>
      <c r="C1417" s="2">
        <v>1</v>
      </c>
      <c r="D1417" s="2">
        <v>2017</v>
      </c>
      <c r="E1417" s="2">
        <v>1</v>
      </c>
      <c r="F1417" s="2">
        <v>171.38</v>
      </c>
      <c r="G1417" s="2">
        <v>228.4</v>
      </c>
      <c r="H1417" s="2" t="str">
        <f>VLOOKUP(qhkz_4dqm[[#This Row],[fuel_type]],lookup!A:B,2,FALSE)</f>
        <v>Gasoline</v>
      </c>
      <c r="I1417" s="2">
        <f ca="1">YEAR(TODAY())-qhkz_4dqm[[#This Row],[year]]</f>
        <v>9</v>
      </c>
      <c r="J1417" s="2" t="str" cm="1">
        <f t="array" aca="1" ref="J1417" ca="1">_xlfn.IFS(qhkz_4dqm[[#This Row],[vehicle_age]]&lt;=3,"Newer",qhkz_4dqm[[#This Row],[vehicle_age]]&lt;=9,"Mid-age",qhkz_4dqm[[#This Row],[vehicle_age]]&lt;=19,"Older",qhkz_4dqm[[#This Row],[vehicle_age]]&gt;=20,"Very Old")</f>
        <v>Mid-age</v>
      </c>
    </row>
    <row r="1418" spans="1:10">
      <c r="A1418" s="2">
        <v>24150642</v>
      </c>
      <c r="B1418" s="2">
        <v>2415064201</v>
      </c>
      <c r="C1418" s="2">
        <v>1</v>
      </c>
      <c r="D1418" s="2">
        <v>2019</v>
      </c>
      <c r="E1418" s="2">
        <v>1</v>
      </c>
      <c r="F1418" s="2">
        <v>192.99</v>
      </c>
      <c r="G1418" s="2">
        <v>297.11</v>
      </c>
      <c r="H1418" s="2" t="str">
        <f>VLOOKUP(qhkz_4dqm[[#This Row],[fuel_type]],lookup!A:B,2,FALSE)</f>
        <v>Gasoline</v>
      </c>
      <c r="I1418" s="2">
        <f ca="1">YEAR(TODAY())-qhkz_4dqm[[#This Row],[year]]</f>
        <v>7</v>
      </c>
      <c r="J1418" s="2" t="str" cm="1">
        <f t="array" aca="1" ref="J1418" ca="1">_xlfn.IFS(qhkz_4dqm[[#This Row],[vehicle_age]]&lt;=3,"Newer",qhkz_4dqm[[#This Row],[vehicle_age]]&lt;=9,"Mid-age",qhkz_4dqm[[#This Row],[vehicle_age]]&lt;=19,"Older",qhkz_4dqm[[#This Row],[vehicle_age]]&gt;=20,"Very Old")</f>
        <v>Mid-age</v>
      </c>
    </row>
    <row r="1419" spans="1:10">
      <c r="A1419" s="2">
        <v>24150673</v>
      </c>
      <c r="B1419" s="2">
        <v>2415067301</v>
      </c>
      <c r="C1419" s="2">
        <v>1</v>
      </c>
      <c r="D1419" s="2">
        <v>2017</v>
      </c>
      <c r="E1419" s="2">
        <v>1</v>
      </c>
      <c r="F1419" s="2">
        <v>502.06</v>
      </c>
      <c r="G1419" s="2">
        <v>217.51</v>
      </c>
      <c r="H1419" s="2" t="str">
        <f>VLOOKUP(qhkz_4dqm[[#This Row],[fuel_type]],lookup!A:B,2,FALSE)</f>
        <v>Gasoline</v>
      </c>
      <c r="I1419" s="2">
        <f ca="1">YEAR(TODAY())-qhkz_4dqm[[#This Row],[year]]</f>
        <v>9</v>
      </c>
      <c r="J1419" s="2" t="str" cm="1">
        <f t="array" aca="1" ref="J1419" ca="1">_xlfn.IFS(qhkz_4dqm[[#This Row],[vehicle_age]]&lt;=3,"Newer",qhkz_4dqm[[#This Row],[vehicle_age]]&lt;=9,"Mid-age",qhkz_4dqm[[#This Row],[vehicle_age]]&lt;=19,"Older",qhkz_4dqm[[#This Row],[vehicle_age]]&gt;=20,"Very Old")</f>
        <v>Mid-age</v>
      </c>
    </row>
    <row r="1420" spans="1:10">
      <c r="A1420" s="2">
        <v>24150680</v>
      </c>
      <c r="B1420" s="2">
        <v>2415068001</v>
      </c>
      <c r="C1420" s="2">
        <v>1</v>
      </c>
      <c r="D1420" s="2">
        <v>2012</v>
      </c>
      <c r="E1420" s="2">
        <v>1</v>
      </c>
      <c r="F1420" s="2">
        <v>434.24</v>
      </c>
      <c r="G1420" s="2">
        <v>572.54</v>
      </c>
      <c r="H1420" s="2" t="str">
        <f>VLOOKUP(qhkz_4dqm[[#This Row],[fuel_type]],lookup!A:B,2,FALSE)</f>
        <v>Gasoline</v>
      </c>
      <c r="I1420" s="2">
        <f ca="1">YEAR(TODAY())-qhkz_4dqm[[#This Row],[year]]</f>
        <v>14</v>
      </c>
      <c r="J1420" s="2" t="str" cm="1">
        <f t="array" aca="1" ref="J1420" ca="1">_xlfn.IFS(qhkz_4dqm[[#This Row],[vehicle_age]]&lt;=3,"Newer",qhkz_4dqm[[#This Row],[vehicle_age]]&lt;=9,"Mid-age",qhkz_4dqm[[#This Row],[vehicle_age]]&lt;=19,"Older",qhkz_4dqm[[#This Row],[vehicle_age]]&gt;=20,"Very Old")</f>
        <v>Older</v>
      </c>
    </row>
    <row r="1421" spans="1:10">
      <c r="A1421" s="2">
        <v>24150686</v>
      </c>
      <c r="B1421" s="2">
        <v>2415068601</v>
      </c>
      <c r="C1421" s="2">
        <v>1</v>
      </c>
      <c r="D1421" s="2">
        <v>1999</v>
      </c>
      <c r="E1421" s="2">
        <v>1</v>
      </c>
      <c r="F1421" s="2">
        <v>37.78</v>
      </c>
      <c r="G1421" s="2">
        <v>553.67999999999995</v>
      </c>
      <c r="H1421" s="2" t="str">
        <f>VLOOKUP(qhkz_4dqm[[#This Row],[fuel_type]],lookup!A:B,2,FALSE)</f>
        <v>Gasoline</v>
      </c>
      <c r="I1421" s="2">
        <f ca="1">YEAR(TODAY())-qhkz_4dqm[[#This Row],[year]]</f>
        <v>27</v>
      </c>
      <c r="J1421" s="2" t="str" cm="1">
        <f t="array" aca="1" ref="J1421" ca="1">_xlfn.IFS(qhkz_4dqm[[#This Row],[vehicle_age]]&lt;=3,"Newer",qhkz_4dqm[[#This Row],[vehicle_age]]&lt;=9,"Mid-age",qhkz_4dqm[[#This Row],[vehicle_age]]&lt;=19,"Older",qhkz_4dqm[[#This Row],[vehicle_age]]&gt;=20,"Very Old")</f>
        <v>Very Old</v>
      </c>
    </row>
    <row r="1422" spans="1:10">
      <c r="A1422" s="2">
        <v>24150703</v>
      </c>
      <c r="B1422" s="2">
        <v>2415070301</v>
      </c>
      <c r="C1422" s="2">
        <v>1</v>
      </c>
      <c r="D1422" s="2">
        <v>2021</v>
      </c>
      <c r="E1422" s="2">
        <v>1</v>
      </c>
      <c r="F1422" s="2">
        <v>650.38</v>
      </c>
      <c r="G1422" s="2">
        <v>706.81</v>
      </c>
      <c r="H1422" s="2" t="str">
        <f>VLOOKUP(qhkz_4dqm[[#This Row],[fuel_type]],lookup!A:B,2,FALSE)</f>
        <v>Gasoline</v>
      </c>
      <c r="I1422" s="2">
        <f ca="1">YEAR(TODAY())-qhkz_4dqm[[#This Row],[year]]</f>
        <v>5</v>
      </c>
      <c r="J1422" s="2" t="str" cm="1">
        <f t="array" aca="1" ref="J1422" ca="1">_xlfn.IFS(qhkz_4dqm[[#This Row],[vehicle_age]]&lt;=3,"Newer",qhkz_4dqm[[#This Row],[vehicle_age]]&lt;=9,"Mid-age",qhkz_4dqm[[#This Row],[vehicle_age]]&lt;=19,"Older",qhkz_4dqm[[#This Row],[vehicle_age]]&gt;=20,"Very Old")</f>
        <v>Mid-age</v>
      </c>
    </row>
    <row r="1423" spans="1:10">
      <c r="A1423" s="2">
        <v>24150715</v>
      </c>
      <c r="B1423" s="2">
        <v>2415071501</v>
      </c>
      <c r="C1423" s="2">
        <v>1</v>
      </c>
      <c r="D1423" s="2">
        <v>2009</v>
      </c>
      <c r="E1423" s="2">
        <v>2</v>
      </c>
      <c r="F1423" s="2">
        <v>191.83</v>
      </c>
      <c r="G1423" s="2">
        <v>258.06</v>
      </c>
      <c r="H1423" s="2" t="str">
        <f>VLOOKUP(qhkz_4dqm[[#This Row],[fuel_type]],lookup!A:B,2,FALSE)</f>
        <v>Diesel</v>
      </c>
      <c r="I1423" s="2">
        <f ca="1">YEAR(TODAY())-qhkz_4dqm[[#This Row],[year]]</f>
        <v>17</v>
      </c>
      <c r="J1423" s="2" t="str" cm="1">
        <f t="array" aca="1" ref="J1423" ca="1">_xlfn.IFS(qhkz_4dqm[[#This Row],[vehicle_age]]&lt;=3,"Newer",qhkz_4dqm[[#This Row],[vehicle_age]]&lt;=9,"Mid-age",qhkz_4dqm[[#This Row],[vehicle_age]]&lt;=19,"Older",qhkz_4dqm[[#This Row],[vehicle_age]]&gt;=20,"Very Old")</f>
        <v>Older</v>
      </c>
    </row>
    <row r="1424" spans="1:10">
      <c r="A1424" s="2">
        <v>24150716</v>
      </c>
      <c r="B1424" s="2">
        <v>2415071601</v>
      </c>
      <c r="C1424" s="2">
        <v>1</v>
      </c>
      <c r="D1424" s="2">
        <v>2011</v>
      </c>
      <c r="E1424" s="2">
        <v>1</v>
      </c>
      <c r="F1424" s="2">
        <v>282</v>
      </c>
      <c r="G1424" s="2">
        <v>572.54</v>
      </c>
      <c r="H1424" s="2" t="str">
        <f>VLOOKUP(qhkz_4dqm[[#This Row],[fuel_type]],lookup!A:B,2,FALSE)</f>
        <v>Gasoline</v>
      </c>
      <c r="I1424" s="2">
        <f ca="1">YEAR(TODAY())-qhkz_4dqm[[#This Row],[year]]</f>
        <v>15</v>
      </c>
      <c r="J1424" s="2" t="str" cm="1">
        <f t="array" aca="1" ref="J1424" ca="1">_xlfn.IFS(qhkz_4dqm[[#This Row],[vehicle_age]]&lt;=3,"Newer",qhkz_4dqm[[#This Row],[vehicle_age]]&lt;=9,"Mid-age",qhkz_4dqm[[#This Row],[vehicle_age]]&lt;=19,"Older",qhkz_4dqm[[#This Row],[vehicle_age]]&gt;=20,"Very Old")</f>
        <v>Older</v>
      </c>
    </row>
    <row r="1425" spans="1:10">
      <c r="A1425" s="2">
        <v>24150718</v>
      </c>
      <c r="B1425" s="2">
        <v>2415071801</v>
      </c>
      <c r="C1425" s="2">
        <v>1</v>
      </c>
      <c r="D1425" s="2">
        <v>2018</v>
      </c>
      <c r="E1425" s="2">
        <v>1</v>
      </c>
      <c r="F1425" s="2">
        <v>129.72</v>
      </c>
      <c r="G1425" s="2">
        <v>356.22</v>
      </c>
      <c r="H1425" s="2" t="str">
        <f>VLOOKUP(qhkz_4dqm[[#This Row],[fuel_type]],lookup!A:B,2,FALSE)</f>
        <v>Gasoline</v>
      </c>
      <c r="I1425" s="2">
        <f ca="1">YEAR(TODAY())-qhkz_4dqm[[#This Row],[year]]</f>
        <v>8</v>
      </c>
      <c r="J1425" s="2" t="str" cm="1">
        <f t="array" aca="1" ref="J1425" ca="1">_xlfn.IFS(qhkz_4dqm[[#This Row],[vehicle_age]]&lt;=3,"Newer",qhkz_4dqm[[#This Row],[vehicle_age]]&lt;=9,"Mid-age",qhkz_4dqm[[#This Row],[vehicle_age]]&lt;=19,"Older",qhkz_4dqm[[#This Row],[vehicle_age]]&gt;=20,"Very Old")</f>
        <v>Mid-age</v>
      </c>
    </row>
    <row r="1426" spans="1:10">
      <c r="A1426" s="2">
        <v>24150722</v>
      </c>
      <c r="B1426" s="2">
        <v>2415072201</v>
      </c>
      <c r="C1426" s="2">
        <v>1</v>
      </c>
      <c r="D1426" s="2">
        <v>2010</v>
      </c>
      <c r="E1426" s="2">
        <v>1</v>
      </c>
      <c r="F1426" s="2">
        <v>480.92</v>
      </c>
      <c r="G1426" s="2">
        <v>861.26</v>
      </c>
      <c r="H1426" s="2" t="str">
        <f>VLOOKUP(qhkz_4dqm[[#This Row],[fuel_type]],lookup!A:B,2,FALSE)</f>
        <v>Gasoline</v>
      </c>
      <c r="I1426" s="2">
        <f ca="1">YEAR(TODAY())-qhkz_4dqm[[#This Row],[year]]</f>
        <v>16</v>
      </c>
      <c r="J1426" s="2" t="str" cm="1">
        <f t="array" aca="1" ref="J1426" ca="1">_xlfn.IFS(qhkz_4dqm[[#This Row],[vehicle_age]]&lt;=3,"Newer",qhkz_4dqm[[#This Row],[vehicle_age]]&lt;=9,"Mid-age",qhkz_4dqm[[#This Row],[vehicle_age]]&lt;=19,"Older",qhkz_4dqm[[#This Row],[vehicle_age]]&gt;=20,"Very Old")</f>
        <v>Older</v>
      </c>
    </row>
    <row r="1427" spans="1:10">
      <c r="A1427" s="2">
        <v>24150766</v>
      </c>
      <c r="B1427" s="2">
        <v>2415076601</v>
      </c>
      <c r="C1427" s="2">
        <v>1</v>
      </c>
      <c r="D1427" s="2">
        <v>2013</v>
      </c>
      <c r="E1427" s="2">
        <v>1</v>
      </c>
      <c r="F1427" s="2">
        <v>1213.3800000000001</v>
      </c>
      <c r="G1427" s="2">
        <v>2012.96</v>
      </c>
      <c r="H1427" s="2" t="str">
        <f>VLOOKUP(qhkz_4dqm[[#This Row],[fuel_type]],lookup!A:B,2,FALSE)</f>
        <v>Gasoline</v>
      </c>
      <c r="I1427" s="2">
        <f ca="1">YEAR(TODAY())-qhkz_4dqm[[#This Row],[year]]</f>
        <v>13</v>
      </c>
      <c r="J1427" s="2" t="str" cm="1">
        <f t="array" aca="1" ref="J1427" ca="1">_xlfn.IFS(qhkz_4dqm[[#This Row],[vehicle_age]]&lt;=3,"Newer",qhkz_4dqm[[#This Row],[vehicle_age]]&lt;=9,"Mid-age",qhkz_4dqm[[#This Row],[vehicle_age]]&lt;=19,"Older",qhkz_4dqm[[#This Row],[vehicle_age]]&gt;=20,"Very Old")</f>
        <v>Older</v>
      </c>
    </row>
    <row r="1428" spans="1:10">
      <c r="A1428" s="2">
        <v>24150777</v>
      </c>
      <c r="B1428" s="2">
        <v>2415077701</v>
      </c>
      <c r="C1428" s="2">
        <v>1</v>
      </c>
      <c r="D1428" s="2">
        <v>2024</v>
      </c>
      <c r="E1428" s="2">
        <v>1</v>
      </c>
      <c r="F1428" s="2">
        <v>556.03</v>
      </c>
      <c r="G1428" s="2">
        <v>906.16</v>
      </c>
      <c r="H1428" s="2" t="str">
        <f>VLOOKUP(qhkz_4dqm[[#This Row],[fuel_type]],lookup!A:B,2,FALSE)</f>
        <v>Gasoline</v>
      </c>
      <c r="I1428" s="2">
        <f ca="1">YEAR(TODAY())-qhkz_4dqm[[#This Row],[year]]</f>
        <v>2</v>
      </c>
      <c r="J1428" s="2" t="str" cm="1">
        <f t="array" aca="1" ref="J1428" ca="1">_xlfn.IFS(qhkz_4dqm[[#This Row],[vehicle_age]]&lt;=3,"Newer",qhkz_4dqm[[#This Row],[vehicle_age]]&lt;=9,"Mid-age",qhkz_4dqm[[#This Row],[vehicle_age]]&lt;=19,"Older",qhkz_4dqm[[#This Row],[vehicle_age]]&gt;=20,"Very Old")</f>
        <v>Newer</v>
      </c>
    </row>
    <row r="1429" spans="1:10">
      <c r="A1429" s="2">
        <v>24150799</v>
      </c>
      <c r="B1429" s="2">
        <v>2415079901</v>
      </c>
      <c r="C1429" s="2">
        <v>1</v>
      </c>
      <c r="D1429" s="2">
        <v>2023</v>
      </c>
      <c r="E1429" s="2">
        <v>1</v>
      </c>
      <c r="F1429" s="2">
        <v>5471.66</v>
      </c>
      <c r="G1429" s="2">
        <v>2873.06</v>
      </c>
      <c r="H1429" s="2" t="str">
        <f>VLOOKUP(qhkz_4dqm[[#This Row],[fuel_type]],lookup!A:B,2,FALSE)</f>
        <v>Gasoline</v>
      </c>
      <c r="I1429" s="2">
        <f ca="1">YEAR(TODAY())-qhkz_4dqm[[#This Row],[year]]</f>
        <v>3</v>
      </c>
      <c r="J1429" s="2" t="str" cm="1">
        <f t="array" aca="1" ref="J1429" ca="1">_xlfn.IFS(qhkz_4dqm[[#This Row],[vehicle_age]]&lt;=3,"Newer",qhkz_4dqm[[#This Row],[vehicle_age]]&lt;=9,"Mid-age",qhkz_4dqm[[#This Row],[vehicle_age]]&lt;=19,"Older",qhkz_4dqm[[#This Row],[vehicle_age]]&gt;=20,"Very Old")</f>
        <v>Newer</v>
      </c>
    </row>
    <row r="1430" spans="1:10">
      <c r="A1430" s="2">
        <v>24150800</v>
      </c>
      <c r="B1430" s="2">
        <v>2415080001</v>
      </c>
      <c r="C1430" s="2">
        <v>1</v>
      </c>
      <c r="D1430" s="2">
        <v>2007</v>
      </c>
      <c r="E1430" s="2">
        <v>1</v>
      </c>
      <c r="F1430" s="2">
        <v>430.08</v>
      </c>
      <c r="G1430" s="2">
        <v>2332.25</v>
      </c>
      <c r="H1430" s="2" t="str">
        <f>VLOOKUP(qhkz_4dqm[[#This Row],[fuel_type]],lookup!A:B,2,FALSE)</f>
        <v>Gasoline</v>
      </c>
      <c r="I1430" s="2">
        <f ca="1">YEAR(TODAY())-qhkz_4dqm[[#This Row],[year]]</f>
        <v>19</v>
      </c>
      <c r="J1430" s="2" t="str" cm="1">
        <f t="array" aca="1" ref="J1430" ca="1">_xlfn.IFS(qhkz_4dqm[[#This Row],[vehicle_age]]&lt;=3,"Newer",qhkz_4dqm[[#This Row],[vehicle_age]]&lt;=9,"Mid-age",qhkz_4dqm[[#This Row],[vehicle_age]]&lt;=19,"Older",qhkz_4dqm[[#This Row],[vehicle_age]]&gt;=20,"Very Old")</f>
        <v>Older</v>
      </c>
    </row>
    <row r="1431" spans="1:10">
      <c r="A1431" s="2">
        <v>24150828</v>
      </c>
      <c r="B1431" s="2">
        <v>2415082801</v>
      </c>
      <c r="C1431" s="2">
        <v>1</v>
      </c>
      <c r="D1431" s="2">
        <v>2019</v>
      </c>
      <c r="E1431" s="2">
        <v>1</v>
      </c>
      <c r="F1431" s="2">
        <v>140.03</v>
      </c>
      <c r="G1431" s="2">
        <v>240.33</v>
      </c>
      <c r="H1431" s="2" t="str">
        <f>VLOOKUP(qhkz_4dqm[[#This Row],[fuel_type]],lookup!A:B,2,FALSE)</f>
        <v>Gasoline</v>
      </c>
      <c r="I1431" s="2">
        <f ca="1">YEAR(TODAY())-qhkz_4dqm[[#This Row],[year]]</f>
        <v>7</v>
      </c>
      <c r="J1431" s="2" t="str" cm="1">
        <f t="array" aca="1" ref="J1431" ca="1">_xlfn.IFS(qhkz_4dqm[[#This Row],[vehicle_age]]&lt;=3,"Newer",qhkz_4dqm[[#This Row],[vehicle_age]]&lt;=9,"Mid-age",qhkz_4dqm[[#This Row],[vehicle_age]]&lt;=19,"Older",qhkz_4dqm[[#This Row],[vehicle_age]]&gt;=20,"Very Old")</f>
        <v>Mid-age</v>
      </c>
    </row>
    <row r="1432" spans="1:10">
      <c r="A1432" s="2">
        <v>24150846</v>
      </c>
      <c r="B1432" s="2">
        <v>2415084601</v>
      </c>
      <c r="C1432" s="2">
        <v>1</v>
      </c>
      <c r="D1432" s="2">
        <v>2012</v>
      </c>
      <c r="E1432" s="2">
        <v>1</v>
      </c>
      <c r="F1432" s="2">
        <v>4641.6000000000004</v>
      </c>
      <c r="G1432" s="2">
        <v>2578.35</v>
      </c>
      <c r="H1432" s="2" t="str">
        <f>VLOOKUP(qhkz_4dqm[[#This Row],[fuel_type]],lookup!A:B,2,FALSE)</f>
        <v>Gasoline</v>
      </c>
      <c r="I1432" s="2">
        <f ca="1">YEAR(TODAY())-qhkz_4dqm[[#This Row],[year]]</f>
        <v>14</v>
      </c>
      <c r="J1432" s="2" t="str" cm="1">
        <f t="array" aca="1" ref="J1432" ca="1">_xlfn.IFS(qhkz_4dqm[[#This Row],[vehicle_age]]&lt;=3,"Newer",qhkz_4dqm[[#This Row],[vehicle_age]]&lt;=9,"Mid-age",qhkz_4dqm[[#This Row],[vehicle_age]]&lt;=19,"Older",qhkz_4dqm[[#This Row],[vehicle_age]]&gt;=20,"Very Old")</f>
        <v>Older</v>
      </c>
    </row>
    <row r="1433" spans="1:10">
      <c r="A1433" s="2">
        <v>24150850</v>
      </c>
      <c r="B1433" s="2">
        <v>2415085001</v>
      </c>
      <c r="C1433" s="2">
        <v>1</v>
      </c>
      <c r="D1433" s="2">
        <v>2018</v>
      </c>
      <c r="E1433" s="2">
        <v>1</v>
      </c>
      <c r="F1433" s="2">
        <v>442.01</v>
      </c>
      <c r="G1433" s="2">
        <v>431.1</v>
      </c>
      <c r="H1433" s="2" t="str">
        <f>VLOOKUP(qhkz_4dqm[[#This Row],[fuel_type]],lookup!A:B,2,FALSE)</f>
        <v>Gasoline</v>
      </c>
      <c r="I1433" s="2">
        <f ca="1">YEAR(TODAY())-qhkz_4dqm[[#This Row],[year]]</f>
        <v>8</v>
      </c>
      <c r="J1433" s="2" t="str" cm="1">
        <f t="array" aca="1" ref="J1433" ca="1">_xlfn.IFS(qhkz_4dqm[[#This Row],[vehicle_age]]&lt;=3,"Newer",qhkz_4dqm[[#This Row],[vehicle_age]]&lt;=9,"Mid-age",qhkz_4dqm[[#This Row],[vehicle_age]]&lt;=19,"Older",qhkz_4dqm[[#This Row],[vehicle_age]]&gt;=20,"Very Old")</f>
        <v>Mid-age</v>
      </c>
    </row>
    <row r="1434" spans="1:10">
      <c r="A1434" s="2">
        <v>24150870</v>
      </c>
      <c r="B1434" s="2">
        <v>2415087001</v>
      </c>
      <c r="C1434" s="2">
        <v>1</v>
      </c>
      <c r="D1434" s="2">
        <v>2015</v>
      </c>
      <c r="E1434" s="2">
        <v>1</v>
      </c>
      <c r="F1434" s="2">
        <v>172.31</v>
      </c>
      <c r="G1434" s="2">
        <v>1511.82</v>
      </c>
      <c r="H1434" s="2" t="str">
        <f>VLOOKUP(qhkz_4dqm[[#This Row],[fuel_type]],lookup!A:B,2,FALSE)</f>
        <v>Gasoline</v>
      </c>
      <c r="I1434" s="2">
        <f ca="1">YEAR(TODAY())-qhkz_4dqm[[#This Row],[year]]</f>
        <v>11</v>
      </c>
      <c r="J1434" s="2" t="str" cm="1">
        <f t="array" aca="1" ref="J1434" ca="1">_xlfn.IFS(qhkz_4dqm[[#This Row],[vehicle_age]]&lt;=3,"Newer",qhkz_4dqm[[#This Row],[vehicle_age]]&lt;=9,"Mid-age",qhkz_4dqm[[#This Row],[vehicle_age]]&lt;=19,"Older",qhkz_4dqm[[#This Row],[vehicle_age]]&gt;=20,"Very Old")</f>
        <v>Older</v>
      </c>
    </row>
    <row r="1435" spans="1:10">
      <c r="A1435" s="2">
        <v>24150873</v>
      </c>
      <c r="B1435" s="2">
        <v>2415087301</v>
      </c>
      <c r="C1435" s="2">
        <v>1</v>
      </c>
      <c r="D1435" s="2">
        <v>2023</v>
      </c>
      <c r="E1435" s="2">
        <v>1</v>
      </c>
      <c r="F1435" s="2">
        <v>1750.25</v>
      </c>
      <c r="G1435" s="2">
        <v>2232.3200000000002</v>
      </c>
      <c r="H1435" s="2" t="str">
        <f>VLOOKUP(qhkz_4dqm[[#This Row],[fuel_type]],lookup!A:B,2,FALSE)</f>
        <v>Gasoline</v>
      </c>
      <c r="I1435" s="2">
        <f ca="1">YEAR(TODAY())-qhkz_4dqm[[#This Row],[year]]</f>
        <v>3</v>
      </c>
      <c r="J1435" s="2" t="str" cm="1">
        <f t="array" aca="1" ref="J1435" ca="1">_xlfn.IFS(qhkz_4dqm[[#This Row],[vehicle_age]]&lt;=3,"Newer",qhkz_4dqm[[#This Row],[vehicle_age]]&lt;=9,"Mid-age",qhkz_4dqm[[#This Row],[vehicle_age]]&lt;=19,"Older",qhkz_4dqm[[#This Row],[vehicle_age]]&gt;=20,"Very Old")</f>
        <v>Newer</v>
      </c>
    </row>
    <row r="1436" spans="1:10">
      <c r="A1436" s="2">
        <v>24150885</v>
      </c>
      <c r="B1436" s="2">
        <v>2415088501</v>
      </c>
      <c r="C1436" s="2">
        <v>1</v>
      </c>
      <c r="D1436" s="2">
        <v>2010</v>
      </c>
      <c r="E1436" s="2">
        <v>1</v>
      </c>
      <c r="F1436" s="2">
        <v>710.92</v>
      </c>
      <c r="G1436" s="2">
        <v>600.73</v>
      </c>
      <c r="H1436" s="2" t="str">
        <f>VLOOKUP(qhkz_4dqm[[#This Row],[fuel_type]],lookup!A:B,2,FALSE)</f>
        <v>Gasoline</v>
      </c>
      <c r="I1436" s="2">
        <f ca="1">YEAR(TODAY())-qhkz_4dqm[[#This Row],[year]]</f>
        <v>16</v>
      </c>
      <c r="J1436" s="2" t="str" cm="1">
        <f t="array" aca="1" ref="J1436" ca="1">_xlfn.IFS(qhkz_4dqm[[#This Row],[vehicle_age]]&lt;=3,"Newer",qhkz_4dqm[[#This Row],[vehicle_age]]&lt;=9,"Mid-age",qhkz_4dqm[[#This Row],[vehicle_age]]&lt;=19,"Older",qhkz_4dqm[[#This Row],[vehicle_age]]&gt;=20,"Very Old")</f>
        <v>Older</v>
      </c>
    </row>
    <row r="1437" spans="1:10">
      <c r="A1437" s="2">
        <v>24150890</v>
      </c>
      <c r="B1437" s="2">
        <v>2415089001</v>
      </c>
      <c r="C1437" s="2">
        <v>1</v>
      </c>
      <c r="D1437" s="2">
        <v>2023</v>
      </c>
      <c r="E1437" s="2">
        <v>2</v>
      </c>
      <c r="F1437" s="2">
        <v>0.92</v>
      </c>
      <c r="G1437" s="2">
        <v>258.19</v>
      </c>
      <c r="H1437" s="2" t="str">
        <f>VLOOKUP(qhkz_4dqm[[#This Row],[fuel_type]],lookup!A:B,2,FALSE)</f>
        <v>Diesel</v>
      </c>
      <c r="I1437" s="2">
        <f ca="1">YEAR(TODAY())-qhkz_4dqm[[#This Row],[year]]</f>
        <v>3</v>
      </c>
      <c r="J1437" s="2" t="str" cm="1">
        <f t="array" aca="1" ref="J1437" ca="1">_xlfn.IFS(qhkz_4dqm[[#This Row],[vehicle_age]]&lt;=3,"Newer",qhkz_4dqm[[#This Row],[vehicle_age]]&lt;=9,"Mid-age",qhkz_4dqm[[#This Row],[vehicle_age]]&lt;=19,"Older",qhkz_4dqm[[#This Row],[vehicle_age]]&gt;=20,"Very Old")</f>
        <v>Newer</v>
      </c>
    </row>
    <row r="1438" spans="1:10">
      <c r="A1438" s="2">
        <v>24150892</v>
      </c>
      <c r="B1438" s="2">
        <v>2415089201</v>
      </c>
      <c r="C1438" s="2">
        <v>1</v>
      </c>
      <c r="D1438" s="2">
        <v>2018</v>
      </c>
      <c r="E1438" s="2">
        <v>1</v>
      </c>
      <c r="F1438" s="2">
        <v>6.48</v>
      </c>
      <c r="G1438" s="2">
        <v>217.25</v>
      </c>
      <c r="H1438" s="2" t="str">
        <f>VLOOKUP(qhkz_4dqm[[#This Row],[fuel_type]],lookup!A:B,2,FALSE)</f>
        <v>Gasoline</v>
      </c>
      <c r="I1438" s="2">
        <f ca="1">YEAR(TODAY())-qhkz_4dqm[[#This Row],[year]]</f>
        <v>8</v>
      </c>
      <c r="J1438" s="2" t="str" cm="1">
        <f t="array" aca="1" ref="J1438" ca="1">_xlfn.IFS(qhkz_4dqm[[#This Row],[vehicle_age]]&lt;=3,"Newer",qhkz_4dqm[[#This Row],[vehicle_age]]&lt;=9,"Mid-age",qhkz_4dqm[[#This Row],[vehicle_age]]&lt;=19,"Older",qhkz_4dqm[[#This Row],[vehicle_age]]&gt;=20,"Very Old")</f>
        <v>Mid-age</v>
      </c>
    </row>
    <row r="1439" spans="1:10">
      <c r="A1439" s="2">
        <v>24150907</v>
      </c>
      <c r="B1439" s="2">
        <v>2415090701</v>
      </c>
      <c r="C1439" s="2">
        <v>1</v>
      </c>
      <c r="D1439" s="2">
        <v>2004</v>
      </c>
      <c r="E1439" s="2">
        <v>1</v>
      </c>
      <c r="F1439" s="2">
        <v>731.97</v>
      </c>
      <c r="G1439" s="2">
        <v>690.25</v>
      </c>
      <c r="H1439" s="2" t="str">
        <f>VLOOKUP(qhkz_4dqm[[#This Row],[fuel_type]],lookup!A:B,2,FALSE)</f>
        <v>Gasoline</v>
      </c>
      <c r="I1439" s="2">
        <f ca="1">YEAR(TODAY())-qhkz_4dqm[[#This Row],[year]]</f>
        <v>22</v>
      </c>
      <c r="J1439" s="2" t="str" cm="1">
        <f t="array" aca="1" ref="J1439" ca="1">_xlfn.IFS(qhkz_4dqm[[#This Row],[vehicle_age]]&lt;=3,"Newer",qhkz_4dqm[[#This Row],[vehicle_age]]&lt;=9,"Mid-age",qhkz_4dqm[[#This Row],[vehicle_age]]&lt;=19,"Older",qhkz_4dqm[[#This Row],[vehicle_age]]&gt;=20,"Very Old")</f>
        <v>Very Old</v>
      </c>
    </row>
    <row r="1440" spans="1:10">
      <c r="A1440" s="2">
        <v>24150919</v>
      </c>
      <c r="B1440" s="2">
        <v>2415091901</v>
      </c>
      <c r="C1440" s="2">
        <v>1</v>
      </c>
      <c r="D1440" s="2">
        <v>2013</v>
      </c>
      <c r="E1440" s="2">
        <v>1</v>
      </c>
      <c r="F1440" s="2">
        <v>119.67</v>
      </c>
      <c r="G1440" s="2">
        <v>426.64</v>
      </c>
      <c r="H1440" s="2" t="str">
        <f>VLOOKUP(qhkz_4dqm[[#This Row],[fuel_type]],lookup!A:B,2,FALSE)</f>
        <v>Gasoline</v>
      </c>
      <c r="I1440" s="2">
        <f ca="1">YEAR(TODAY())-qhkz_4dqm[[#This Row],[year]]</f>
        <v>13</v>
      </c>
      <c r="J1440" s="2" t="str" cm="1">
        <f t="array" aca="1" ref="J1440" ca="1">_xlfn.IFS(qhkz_4dqm[[#This Row],[vehicle_age]]&lt;=3,"Newer",qhkz_4dqm[[#This Row],[vehicle_age]]&lt;=9,"Mid-age",qhkz_4dqm[[#This Row],[vehicle_age]]&lt;=19,"Older",qhkz_4dqm[[#This Row],[vehicle_age]]&gt;=20,"Very Old")</f>
        <v>Older</v>
      </c>
    </row>
    <row r="1441" spans="1:10">
      <c r="A1441" s="2">
        <v>24150929</v>
      </c>
      <c r="B1441" s="2">
        <v>2415092901</v>
      </c>
      <c r="C1441" s="2">
        <v>1</v>
      </c>
      <c r="D1441" s="2">
        <v>2011</v>
      </c>
      <c r="E1441" s="2">
        <v>1</v>
      </c>
      <c r="F1441" s="2">
        <v>3.48</v>
      </c>
      <c r="G1441" s="2">
        <v>529.22</v>
      </c>
      <c r="H1441" s="2" t="str">
        <f>VLOOKUP(qhkz_4dqm[[#This Row],[fuel_type]],lookup!A:B,2,FALSE)</f>
        <v>Gasoline</v>
      </c>
      <c r="I1441" s="2">
        <f ca="1">YEAR(TODAY())-qhkz_4dqm[[#This Row],[year]]</f>
        <v>15</v>
      </c>
      <c r="J1441" s="2" t="str" cm="1">
        <f t="array" aca="1" ref="J1441" ca="1">_xlfn.IFS(qhkz_4dqm[[#This Row],[vehicle_age]]&lt;=3,"Newer",qhkz_4dqm[[#This Row],[vehicle_age]]&lt;=9,"Mid-age",qhkz_4dqm[[#This Row],[vehicle_age]]&lt;=19,"Older",qhkz_4dqm[[#This Row],[vehicle_age]]&gt;=20,"Very Old")</f>
        <v>Older</v>
      </c>
    </row>
    <row r="1442" spans="1:10">
      <c r="A1442" s="2">
        <v>24150939</v>
      </c>
      <c r="B1442" s="2">
        <v>2415093901</v>
      </c>
      <c r="C1442" s="2">
        <v>1</v>
      </c>
      <c r="D1442" s="2">
        <v>2002</v>
      </c>
      <c r="E1442" s="2">
        <v>1</v>
      </c>
      <c r="F1442" s="2">
        <v>2320.5</v>
      </c>
      <c r="G1442" s="2">
        <v>857.28</v>
      </c>
      <c r="H1442" s="2" t="str">
        <f>VLOOKUP(qhkz_4dqm[[#This Row],[fuel_type]],lookup!A:B,2,FALSE)</f>
        <v>Gasoline</v>
      </c>
      <c r="I1442" s="2">
        <f ca="1">YEAR(TODAY())-qhkz_4dqm[[#This Row],[year]]</f>
        <v>24</v>
      </c>
      <c r="J1442" s="2" t="str" cm="1">
        <f t="array" aca="1" ref="J1442" ca="1">_xlfn.IFS(qhkz_4dqm[[#This Row],[vehicle_age]]&lt;=3,"Newer",qhkz_4dqm[[#This Row],[vehicle_age]]&lt;=9,"Mid-age",qhkz_4dqm[[#This Row],[vehicle_age]]&lt;=19,"Older",qhkz_4dqm[[#This Row],[vehicle_age]]&gt;=20,"Very Old")</f>
        <v>Very Old</v>
      </c>
    </row>
    <row r="1443" spans="1:10">
      <c r="A1443" s="2">
        <v>24150954</v>
      </c>
      <c r="B1443" s="2">
        <v>2415095401</v>
      </c>
      <c r="C1443" s="2">
        <v>1</v>
      </c>
      <c r="D1443" s="2">
        <v>2007</v>
      </c>
      <c r="E1443" s="2">
        <v>1</v>
      </c>
      <c r="F1443" s="2">
        <v>1908.56</v>
      </c>
      <c r="G1443" s="2">
        <v>593.75</v>
      </c>
      <c r="H1443" s="2" t="str">
        <f>VLOOKUP(qhkz_4dqm[[#This Row],[fuel_type]],lookup!A:B,2,FALSE)</f>
        <v>Gasoline</v>
      </c>
      <c r="I1443" s="2">
        <f ca="1">YEAR(TODAY())-qhkz_4dqm[[#This Row],[year]]</f>
        <v>19</v>
      </c>
      <c r="J1443" s="2" t="str" cm="1">
        <f t="array" aca="1" ref="J1443" ca="1">_xlfn.IFS(qhkz_4dqm[[#This Row],[vehicle_age]]&lt;=3,"Newer",qhkz_4dqm[[#This Row],[vehicle_age]]&lt;=9,"Mid-age",qhkz_4dqm[[#This Row],[vehicle_age]]&lt;=19,"Older",qhkz_4dqm[[#This Row],[vehicle_age]]&gt;=20,"Very Old")</f>
        <v>Older</v>
      </c>
    </row>
    <row r="1444" spans="1:10">
      <c r="A1444" s="2">
        <v>24150956</v>
      </c>
      <c r="B1444" s="2">
        <v>2415095601</v>
      </c>
      <c r="C1444" s="2">
        <v>1</v>
      </c>
      <c r="D1444" s="2">
        <v>2021</v>
      </c>
      <c r="E1444" s="2">
        <v>1</v>
      </c>
      <c r="F1444" s="2">
        <v>0.92</v>
      </c>
      <c r="G1444" s="2">
        <v>96.7</v>
      </c>
      <c r="H1444" s="2" t="str">
        <f>VLOOKUP(qhkz_4dqm[[#This Row],[fuel_type]],lookup!A:B,2,FALSE)</f>
        <v>Gasoline</v>
      </c>
      <c r="I1444" s="2">
        <f ca="1">YEAR(TODAY())-qhkz_4dqm[[#This Row],[year]]</f>
        <v>5</v>
      </c>
      <c r="J1444" s="2" t="str" cm="1">
        <f t="array" aca="1" ref="J1444" ca="1">_xlfn.IFS(qhkz_4dqm[[#This Row],[vehicle_age]]&lt;=3,"Newer",qhkz_4dqm[[#This Row],[vehicle_age]]&lt;=9,"Mid-age",qhkz_4dqm[[#This Row],[vehicle_age]]&lt;=19,"Older",qhkz_4dqm[[#This Row],[vehicle_age]]&gt;=20,"Very Old")</f>
        <v>Mid-age</v>
      </c>
    </row>
    <row r="1445" spans="1:10">
      <c r="A1445" s="2">
        <v>24150959</v>
      </c>
      <c r="B1445" s="2">
        <v>2415095901</v>
      </c>
      <c r="C1445" s="2">
        <v>1</v>
      </c>
      <c r="D1445" s="2">
        <v>2015</v>
      </c>
      <c r="E1445" s="2">
        <v>1</v>
      </c>
      <c r="F1445" s="2">
        <v>3654.16</v>
      </c>
      <c r="G1445" s="2">
        <v>3045.16</v>
      </c>
      <c r="H1445" s="2" t="str">
        <f>VLOOKUP(qhkz_4dqm[[#This Row],[fuel_type]],lookup!A:B,2,FALSE)</f>
        <v>Gasoline</v>
      </c>
      <c r="I1445" s="2">
        <f ca="1">YEAR(TODAY())-qhkz_4dqm[[#This Row],[year]]</f>
        <v>11</v>
      </c>
      <c r="J1445" s="2" t="str" cm="1">
        <f t="array" aca="1" ref="J1445" ca="1">_xlfn.IFS(qhkz_4dqm[[#This Row],[vehicle_age]]&lt;=3,"Newer",qhkz_4dqm[[#This Row],[vehicle_age]]&lt;=9,"Mid-age",qhkz_4dqm[[#This Row],[vehicle_age]]&lt;=19,"Older",qhkz_4dqm[[#This Row],[vehicle_age]]&gt;=20,"Very Old")</f>
        <v>Older</v>
      </c>
    </row>
    <row r="1446" spans="1:10">
      <c r="A1446" s="2">
        <v>24150963</v>
      </c>
      <c r="B1446" s="2">
        <v>2415096301</v>
      </c>
      <c r="C1446" s="2">
        <v>1</v>
      </c>
      <c r="D1446" s="2">
        <v>2024</v>
      </c>
      <c r="E1446" s="2">
        <v>1</v>
      </c>
      <c r="F1446" s="2">
        <v>838.46</v>
      </c>
      <c r="G1446" s="2">
        <v>6835.81</v>
      </c>
      <c r="H1446" s="2" t="str">
        <f>VLOOKUP(qhkz_4dqm[[#This Row],[fuel_type]],lookup!A:B,2,FALSE)</f>
        <v>Gasoline</v>
      </c>
      <c r="I1446" s="2">
        <f ca="1">YEAR(TODAY())-qhkz_4dqm[[#This Row],[year]]</f>
        <v>2</v>
      </c>
      <c r="J1446" s="2" t="str" cm="1">
        <f t="array" aca="1" ref="J1446" ca="1">_xlfn.IFS(qhkz_4dqm[[#This Row],[vehicle_age]]&lt;=3,"Newer",qhkz_4dqm[[#This Row],[vehicle_age]]&lt;=9,"Mid-age",qhkz_4dqm[[#This Row],[vehicle_age]]&lt;=19,"Older",qhkz_4dqm[[#This Row],[vehicle_age]]&gt;=20,"Very Old")</f>
        <v>Newer</v>
      </c>
    </row>
    <row r="1447" spans="1:10">
      <c r="A1447" s="2">
        <v>24150973</v>
      </c>
      <c r="B1447" s="2">
        <v>2415097301</v>
      </c>
      <c r="C1447" s="2">
        <v>1</v>
      </c>
      <c r="D1447" s="2">
        <v>2024</v>
      </c>
      <c r="E1447" s="2">
        <v>1</v>
      </c>
      <c r="F1447" s="2">
        <v>1286.78</v>
      </c>
      <c r="G1447" s="2">
        <v>2497.75</v>
      </c>
      <c r="H1447" s="2" t="str">
        <f>VLOOKUP(qhkz_4dqm[[#This Row],[fuel_type]],lookup!A:B,2,FALSE)</f>
        <v>Gasoline</v>
      </c>
      <c r="I1447" s="2">
        <f ca="1">YEAR(TODAY())-qhkz_4dqm[[#This Row],[year]]</f>
        <v>2</v>
      </c>
      <c r="J1447" s="2" t="str" cm="1">
        <f t="array" aca="1" ref="J1447" ca="1">_xlfn.IFS(qhkz_4dqm[[#This Row],[vehicle_age]]&lt;=3,"Newer",qhkz_4dqm[[#This Row],[vehicle_age]]&lt;=9,"Mid-age",qhkz_4dqm[[#This Row],[vehicle_age]]&lt;=19,"Older",qhkz_4dqm[[#This Row],[vehicle_age]]&gt;=20,"Very Old")</f>
        <v>Newer</v>
      </c>
    </row>
    <row r="1448" spans="1:10">
      <c r="A1448" s="2">
        <v>24150974</v>
      </c>
      <c r="B1448" s="2">
        <v>2415097401</v>
      </c>
      <c r="C1448" s="2">
        <v>1</v>
      </c>
      <c r="D1448" s="2">
        <v>2017</v>
      </c>
      <c r="E1448" s="2">
        <v>1</v>
      </c>
      <c r="F1448" s="2">
        <v>0.92</v>
      </c>
      <c r="G1448" s="2">
        <v>245.66</v>
      </c>
      <c r="H1448" s="2" t="str">
        <f>VLOOKUP(qhkz_4dqm[[#This Row],[fuel_type]],lookup!A:B,2,FALSE)</f>
        <v>Gasoline</v>
      </c>
      <c r="I1448" s="2">
        <f ca="1">YEAR(TODAY())-qhkz_4dqm[[#This Row],[year]]</f>
        <v>9</v>
      </c>
      <c r="J1448" s="2" t="str" cm="1">
        <f t="array" aca="1" ref="J1448" ca="1">_xlfn.IFS(qhkz_4dqm[[#This Row],[vehicle_age]]&lt;=3,"Newer",qhkz_4dqm[[#This Row],[vehicle_age]]&lt;=9,"Mid-age",qhkz_4dqm[[#This Row],[vehicle_age]]&lt;=19,"Older",qhkz_4dqm[[#This Row],[vehicle_age]]&gt;=20,"Very Old")</f>
        <v>Mid-age</v>
      </c>
    </row>
    <row r="1449" spans="1:10">
      <c r="A1449" s="2">
        <v>24150987</v>
      </c>
      <c r="B1449" s="2">
        <v>2415098701</v>
      </c>
      <c r="C1449" s="2">
        <v>1</v>
      </c>
      <c r="D1449" s="2">
        <v>2010</v>
      </c>
      <c r="E1449" s="2">
        <v>1</v>
      </c>
      <c r="F1449" s="2">
        <v>5.83</v>
      </c>
      <c r="G1449" s="2">
        <v>231.74</v>
      </c>
      <c r="H1449" s="2" t="str">
        <f>VLOOKUP(qhkz_4dqm[[#This Row],[fuel_type]],lookup!A:B,2,FALSE)</f>
        <v>Gasoline</v>
      </c>
      <c r="I1449" s="2">
        <f ca="1">YEAR(TODAY())-qhkz_4dqm[[#This Row],[year]]</f>
        <v>16</v>
      </c>
      <c r="J1449" s="2" t="str" cm="1">
        <f t="array" aca="1" ref="J1449" ca="1">_xlfn.IFS(qhkz_4dqm[[#This Row],[vehicle_age]]&lt;=3,"Newer",qhkz_4dqm[[#This Row],[vehicle_age]]&lt;=9,"Mid-age",qhkz_4dqm[[#This Row],[vehicle_age]]&lt;=19,"Older",qhkz_4dqm[[#This Row],[vehicle_age]]&gt;=20,"Very Old")</f>
        <v>Older</v>
      </c>
    </row>
    <row r="1450" spans="1:10">
      <c r="A1450" s="2">
        <v>24150992</v>
      </c>
      <c r="B1450" s="2">
        <v>2415099201</v>
      </c>
      <c r="C1450" s="2">
        <v>1</v>
      </c>
      <c r="D1450" s="2">
        <v>2021</v>
      </c>
      <c r="E1450" s="2">
        <v>1</v>
      </c>
      <c r="F1450" s="2">
        <v>428.7</v>
      </c>
      <c r="G1450" s="2">
        <v>1068.5</v>
      </c>
      <c r="H1450" s="2" t="str">
        <f>VLOOKUP(qhkz_4dqm[[#This Row],[fuel_type]],lookup!A:B,2,FALSE)</f>
        <v>Gasoline</v>
      </c>
      <c r="I1450" s="2">
        <f ca="1">YEAR(TODAY())-qhkz_4dqm[[#This Row],[year]]</f>
        <v>5</v>
      </c>
      <c r="J1450" s="2" t="str" cm="1">
        <f t="array" aca="1" ref="J1450" ca="1">_xlfn.IFS(qhkz_4dqm[[#This Row],[vehicle_age]]&lt;=3,"Newer",qhkz_4dqm[[#This Row],[vehicle_age]]&lt;=9,"Mid-age",qhkz_4dqm[[#This Row],[vehicle_age]]&lt;=19,"Older",qhkz_4dqm[[#This Row],[vehicle_age]]&gt;=20,"Very Old")</f>
        <v>Mid-age</v>
      </c>
    </row>
    <row r="1451" spans="1:10">
      <c r="A1451" s="2">
        <v>24151012</v>
      </c>
      <c r="B1451" s="2">
        <v>2415101201</v>
      </c>
      <c r="C1451" s="2">
        <v>1</v>
      </c>
      <c r="D1451" s="2">
        <v>2019</v>
      </c>
      <c r="E1451" s="2">
        <v>1</v>
      </c>
      <c r="F1451" s="2">
        <v>45.49</v>
      </c>
      <c r="G1451" s="2">
        <v>916.15</v>
      </c>
      <c r="H1451" s="2" t="str">
        <f>VLOOKUP(qhkz_4dqm[[#This Row],[fuel_type]],lookup!A:B,2,FALSE)</f>
        <v>Gasoline</v>
      </c>
      <c r="I1451" s="2">
        <f ca="1">YEAR(TODAY())-qhkz_4dqm[[#This Row],[year]]</f>
        <v>7</v>
      </c>
      <c r="J1451" s="2" t="str" cm="1">
        <f t="array" aca="1" ref="J1451" ca="1">_xlfn.IFS(qhkz_4dqm[[#This Row],[vehicle_age]]&lt;=3,"Newer",qhkz_4dqm[[#This Row],[vehicle_age]]&lt;=9,"Mid-age",qhkz_4dqm[[#This Row],[vehicle_age]]&lt;=19,"Older",qhkz_4dqm[[#This Row],[vehicle_age]]&gt;=20,"Very Old")</f>
        <v>Mid-age</v>
      </c>
    </row>
    <row r="1452" spans="1:10">
      <c r="A1452" s="2">
        <v>24151014</v>
      </c>
      <c r="B1452" s="2">
        <v>2415101401</v>
      </c>
      <c r="C1452" s="2">
        <v>1</v>
      </c>
      <c r="D1452" s="2">
        <v>2022</v>
      </c>
      <c r="E1452" s="2">
        <v>1</v>
      </c>
      <c r="F1452" s="2">
        <v>0.92</v>
      </c>
      <c r="G1452" s="2">
        <v>343.07</v>
      </c>
      <c r="H1452" s="2" t="str">
        <f>VLOOKUP(qhkz_4dqm[[#This Row],[fuel_type]],lookup!A:B,2,FALSE)</f>
        <v>Gasoline</v>
      </c>
      <c r="I1452" s="2">
        <f ca="1">YEAR(TODAY())-qhkz_4dqm[[#This Row],[year]]</f>
        <v>4</v>
      </c>
      <c r="J1452" s="2" t="str" cm="1">
        <f t="array" aca="1" ref="J1452" ca="1">_xlfn.IFS(qhkz_4dqm[[#This Row],[vehicle_age]]&lt;=3,"Newer",qhkz_4dqm[[#This Row],[vehicle_age]]&lt;=9,"Mid-age",qhkz_4dqm[[#This Row],[vehicle_age]]&lt;=19,"Older",qhkz_4dqm[[#This Row],[vehicle_age]]&gt;=20,"Very Old")</f>
        <v>Mid-age</v>
      </c>
    </row>
    <row r="1453" spans="1:10">
      <c r="A1453" s="2">
        <v>24151022</v>
      </c>
      <c r="B1453" s="2">
        <v>2415102201</v>
      </c>
      <c r="C1453" s="2">
        <v>1</v>
      </c>
      <c r="D1453" s="2">
        <v>2023</v>
      </c>
      <c r="E1453" s="2">
        <v>1</v>
      </c>
      <c r="F1453" s="2">
        <v>527.87</v>
      </c>
      <c r="G1453" s="2">
        <v>265.64999999999998</v>
      </c>
      <c r="H1453" s="2" t="str">
        <f>VLOOKUP(qhkz_4dqm[[#This Row],[fuel_type]],lookup!A:B,2,FALSE)</f>
        <v>Gasoline</v>
      </c>
      <c r="I1453" s="2">
        <f ca="1">YEAR(TODAY())-qhkz_4dqm[[#This Row],[year]]</f>
        <v>3</v>
      </c>
      <c r="J1453" s="2" t="str" cm="1">
        <f t="array" aca="1" ref="J1453" ca="1">_xlfn.IFS(qhkz_4dqm[[#This Row],[vehicle_age]]&lt;=3,"Newer",qhkz_4dqm[[#This Row],[vehicle_age]]&lt;=9,"Mid-age",qhkz_4dqm[[#This Row],[vehicle_age]]&lt;=19,"Older",qhkz_4dqm[[#This Row],[vehicle_age]]&gt;=20,"Very Old")</f>
        <v>Newer</v>
      </c>
    </row>
    <row r="1454" spans="1:10">
      <c r="A1454" s="2">
        <v>24151032</v>
      </c>
      <c r="B1454" s="2">
        <v>2415103201</v>
      </c>
      <c r="C1454" s="2">
        <v>1</v>
      </c>
      <c r="D1454" s="2">
        <v>2015</v>
      </c>
      <c r="E1454" s="2">
        <v>1</v>
      </c>
      <c r="F1454" s="2">
        <v>689.86</v>
      </c>
      <c r="G1454" s="2">
        <v>688.24</v>
      </c>
      <c r="H1454" s="2" t="str">
        <f>VLOOKUP(qhkz_4dqm[[#This Row],[fuel_type]],lookup!A:B,2,FALSE)</f>
        <v>Gasoline</v>
      </c>
      <c r="I1454" s="2">
        <f ca="1">YEAR(TODAY())-qhkz_4dqm[[#This Row],[year]]</f>
        <v>11</v>
      </c>
      <c r="J1454" s="2" t="str" cm="1">
        <f t="array" aca="1" ref="J1454" ca="1">_xlfn.IFS(qhkz_4dqm[[#This Row],[vehicle_age]]&lt;=3,"Newer",qhkz_4dqm[[#This Row],[vehicle_age]]&lt;=9,"Mid-age",qhkz_4dqm[[#This Row],[vehicle_age]]&lt;=19,"Older",qhkz_4dqm[[#This Row],[vehicle_age]]&gt;=20,"Very Old")</f>
        <v>Older</v>
      </c>
    </row>
    <row r="1455" spans="1:10">
      <c r="A1455" s="2">
        <v>24151034</v>
      </c>
      <c r="B1455" s="2">
        <v>2415103401</v>
      </c>
      <c r="C1455" s="2">
        <v>1</v>
      </c>
      <c r="D1455" s="2">
        <v>2022</v>
      </c>
      <c r="E1455" s="2">
        <v>1</v>
      </c>
      <c r="F1455" s="2">
        <v>156.5</v>
      </c>
      <c r="G1455" s="2">
        <v>179.11</v>
      </c>
      <c r="H1455" s="2" t="str">
        <f>VLOOKUP(qhkz_4dqm[[#This Row],[fuel_type]],lookup!A:B,2,FALSE)</f>
        <v>Gasoline</v>
      </c>
      <c r="I1455" s="2">
        <f ca="1">YEAR(TODAY())-qhkz_4dqm[[#This Row],[year]]</f>
        <v>4</v>
      </c>
      <c r="J1455" s="2" t="str" cm="1">
        <f t="array" aca="1" ref="J1455" ca="1">_xlfn.IFS(qhkz_4dqm[[#This Row],[vehicle_age]]&lt;=3,"Newer",qhkz_4dqm[[#This Row],[vehicle_age]]&lt;=9,"Mid-age",qhkz_4dqm[[#This Row],[vehicle_age]]&lt;=19,"Older",qhkz_4dqm[[#This Row],[vehicle_age]]&gt;=20,"Very Old")</f>
        <v>Mid-age</v>
      </c>
    </row>
    <row r="1456" spans="1:10">
      <c r="A1456" s="2">
        <v>24151045</v>
      </c>
      <c r="B1456" s="2">
        <v>2415104501</v>
      </c>
      <c r="C1456" s="2">
        <v>1</v>
      </c>
      <c r="D1456" s="2">
        <v>2001</v>
      </c>
      <c r="E1456" s="2">
        <v>1</v>
      </c>
      <c r="F1456" s="2">
        <v>183.81</v>
      </c>
      <c r="G1456" s="2">
        <v>503.57</v>
      </c>
      <c r="H1456" s="2" t="str">
        <f>VLOOKUP(qhkz_4dqm[[#This Row],[fuel_type]],lookup!A:B,2,FALSE)</f>
        <v>Gasoline</v>
      </c>
      <c r="I1456" s="2">
        <f ca="1">YEAR(TODAY())-qhkz_4dqm[[#This Row],[year]]</f>
        <v>25</v>
      </c>
      <c r="J1456" s="2" t="str" cm="1">
        <f t="array" aca="1" ref="J1456" ca="1">_xlfn.IFS(qhkz_4dqm[[#This Row],[vehicle_age]]&lt;=3,"Newer",qhkz_4dqm[[#This Row],[vehicle_age]]&lt;=9,"Mid-age",qhkz_4dqm[[#This Row],[vehicle_age]]&lt;=19,"Older",qhkz_4dqm[[#This Row],[vehicle_age]]&gt;=20,"Very Old")</f>
        <v>Very Old</v>
      </c>
    </row>
    <row r="1457" spans="1:10">
      <c r="A1457" s="2">
        <v>24151048</v>
      </c>
      <c r="B1457" s="2">
        <v>2415104801</v>
      </c>
      <c r="C1457" s="2">
        <v>1</v>
      </c>
      <c r="D1457" s="2">
        <v>2014</v>
      </c>
      <c r="E1457" s="2">
        <v>1</v>
      </c>
      <c r="F1457" s="2">
        <v>1026.17</v>
      </c>
      <c r="G1457" s="2">
        <v>1449.89</v>
      </c>
      <c r="H1457" s="2" t="str">
        <f>VLOOKUP(qhkz_4dqm[[#This Row],[fuel_type]],lookup!A:B,2,FALSE)</f>
        <v>Gasoline</v>
      </c>
      <c r="I1457" s="2">
        <f ca="1">YEAR(TODAY())-qhkz_4dqm[[#This Row],[year]]</f>
        <v>12</v>
      </c>
      <c r="J1457" s="2" t="str" cm="1">
        <f t="array" aca="1" ref="J1457" ca="1">_xlfn.IFS(qhkz_4dqm[[#This Row],[vehicle_age]]&lt;=3,"Newer",qhkz_4dqm[[#This Row],[vehicle_age]]&lt;=9,"Mid-age",qhkz_4dqm[[#This Row],[vehicle_age]]&lt;=19,"Older",qhkz_4dqm[[#This Row],[vehicle_age]]&gt;=20,"Very Old")</f>
        <v>Older</v>
      </c>
    </row>
    <row r="1458" spans="1:10">
      <c r="A1458" s="2">
        <v>24151056</v>
      </c>
      <c r="B1458" s="2">
        <v>2415105601</v>
      </c>
      <c r="C1458" s="2">
        <v>1</v>
      </c>
      <c r="D1458" s="2">
        <v>2024</v>
      </c>
      <c r="E1458" s="2">
        <v>3</v>
      </c>
      <c r="F1458" s="2">
        <v>3094.98</v>
      </c>
      <c r="G1458" s="2">
        <v>742.43</v>
      </c>
      <c r="H1458" s="2" t="str">
        <f>VLOOKUP(qhkz_4dqm[[#This Row],[fuel_type]],lookup!A:B,2,FALSE)</f>
        <v>Hybrid</v>
      </c>
      <c r="I1458" s="2">
        <f ca="1">YEAR(TODAY())-qhkz_4dqm[[#This Row],[year]]</f>
        <v>2</v>
      </c>
      <c r="J1458" s="2" t="str" cm="1">
        <f t="array" aca="1" ref="J1458" ca="1">_xlfn.IFS(qhkz_4dqm[[#This Row],[vehicle_age]]&lt;=3,"Newer",qhkz_4dqm[[#This Row],[vehicle_age]]&lt;=9,"Mid-age",qhkz_4dqm[[#This Row],[vehicle_age]]&lt;=19,"Older",qhkz_4dqm[[#This Row],[vehicle_age]]&gt;=20,"Very Old")</f>
        <v>Newer</v>
      </c>
    </row>
    <row r="1459" spans="1:10">
      <c r="A1459" s="2">
        <v>24151063</v>
      </c>
      <c r="B1459" s="2">
        <v>2415106301</v>
      </c>
      <c r="C1459" s="2">
        <v>1</v>
      </c>
      <c r="D1459" s="2">
        <v>2021</v>
      </c>
      <c r="E1459" s="2">
        <v>1</v>
      </c>
      <c r="F1459" s="2">
        <v>885.8</v>
      </c>
      <c r="G1459" s="2">
        <v>1055.6199999999999</v>
      </c>
      <c r="H1459" s="2" t="str">
        <f>VLOOKUP(qhkz_4dqm[[#This Row],[fuel_type]],lookup!A:B,2,FALSE)</f>
        <v>Gasoline</v>
      </c>
      <c r="I1459" s="2">
        <f ca="1">YEAR(TODAY())-qhkz_4dqm[[#This Row],[year]]</f>
        <v>5</v>
      </c>
      <c r="J1459" s="2" t="str" cm="1">
        <f t="array" aca="1" ref="J1459" ca="1">_xlfn.IFS(qhkz_4dqm[[#This Row],[vehicle_age]]&lt;=3,"Newer",qhkz_4dqm[[#This Row],[vehicle_age]]&lt;=9,"Mid-age",qhkz_4dqm[[#This Row],[vehicle_age]]&lt;=19,"Older",qhkz_4dqm[[#This Row],[vehicle_age]]&gt;=20,"Very Old")</f>
        <v>Mid-age</v>
      </c>
    </row>
    <row r="1460" spans="1:10">
      <c r="A1460" s="2">
        <v>24151065</v>
      </c>
      <c r="B1460" s="2">
        <v>2415106501</v>
      </c>
      <c r="C1460" s="2">
        <v>1</v>
      </c>
      <c r="D1460" s="2">
        <v>2004</v>
      </c>
      <c r="E1460" s="2">
        <v>1</v>
      </c>
      <c r="F1460" s="2">
        <v>0.92</v>
      </c>
      <c r="G1460" s="2">
        <v>201.49</v>
      </c>
      <c r="H1460" s="2" t="str">
        <f>VLOOKUP(qhkz_4dqm[[#This Row],[fuel_type]],lookup!A:B,2,FALSE)</f>
        <v>Gasoline</v>
      </c>
      <c r="I1460" s="2">
        <f ca="1">YEAR(TODAY())-qhkz_4dqm[[#This Row],[year]]</f>
        <v>22</v>
      </c>
      <c r="J1460" s="2" t="str" cm="1">
        <f t="array" aca="1" ref="J1460" ca="1">_xlfn.IFS(qhkz_4dqm[[#This Row],[vehicle_age]]&lt;=3,"Newer",qhkz_4dqm[[#This Row],[vehicle_age]]&lt;=9,"Mid-age",qhkz_4dqm[[#This Row],[vehicle_age]]&lt;=19,"Older",qhkz_4dqm[[#This Row],[vehicle_age]]&gt;=20,"Very Old")</f>
        <v>Very Old</v>
      </c>
    </row>
    <row r="1461" spans="1:10">
      <c r="A1461" s="2">
        <v>24151071</v>
      </c>
      <c r="B1461" s="2">
        <v>2415107101</v>
      </c>
      <c r="C1461" s="2">
        <v>1</v>
      </c>
      <c r="D1461" s="2">
        <v>2021</v>
      </c>
      <c r="E1461" s="2">
        <v>4</v>
      </c>
      <c r="F1461" s="2">
        <v>5483.41</v>
      </c>
      <c r="G1461" s="2">
        <v>776.86</v>
      </c>
      <c r="H1461" s="2" t="str">
        <f>VLOOKUP(qhkz_4dqm[[#This Row],[fuel_type]],lookup!A:B,2,FALSE)</f>
        <v>Electric</v>
      </c>
      <c r="I1461" s="2">
        <f ca="1">YEAR(TODAY())-qhkz_4dqm[[#This Row],[year]]</f>
        <v>5</v>
      </c>
      <c r="J1461" s="2" t="str" cm="1">
        <f t="array" aca="1" ref="J1461" ca="1">_xlfn.IFS(qhkz_4dqm[[#This Row],[vehicle_age]]&lt;=3,"Newer",qhkz_4dqm[[#This Row],[vehicle_age]]&lt;=9,"Mid-age",qhkz_4dqm[[#This Row],[vehicle_age]]&lt;=19,"Older",qhkz_4dqm[[#This Row],[vehicle_age]]&gt;=20,"Very Old")</f>
        <v>Mid-age</v>
      </c>
    </row>
    <row r="1462" spans="1:10">
      <c r="A1462" s="2">
        <v>24151075</v>
      </c>
      <c r="B1462" s="2">
        <v>2415107501</v>
      </c>
      <c r="C1462" s="2">
        <v>1</v>
      </c>
      <c r="D1462" s="2">
        <v>2014</v>
      </c>
      <c r="E1462" s="2">
        <v>1</v>
      </c>
      <c r="F1462" s="2">
        <v>2</v>
      </c>
      <c r="G1462" s="2">
        <v>235.6</v>
      </c>
      <c r="H1462" s="2" t="str">
        <f>VLOOKUP(qhkz_4dqm[[#This Row],[fuel_type]],lookup!A:B,2,FALSE)</f>
        <v>Gasoline</v>
      </c>
      <c r="I1462" s="2">
        <f ca="1">YEAR(TODAY())-qhkz_4dqm[[#This Row],[year]]</f>
        <v>12</v>
      </c>
      <c r="J1462" s="2" t="str" cm="1">
        <f t="array" aca="1" ref="J1462" ca="1">_xlfn.IFS(qhkz_4dqm[[#This Row],[vehicle_age]]&lt;=3,"Newer",qhkz_4dqm[[#This Row],[vehicle_age]]&lt;=9,"Mid-age",qhkz_4dqm[[#This Row],[vehicle_age]]&lt;=19,"Older",qhkz_4dqm[[#This Row],[vehicle_age]]&gt;=20,"Very Old")</f>
        <v>Older</v>
      </c>
    </row>
    <row r="1463" spans="1:10">
      <c r="A1463" s="2">
        <v>24151076</v>
      </c>
      <c r="B1463" s="2">
        <v>2415107601</v>
      </c>
      <c r="C1463" s="2">
        <v>1</v>
      </c>
      <c r="D1463" s="2">
        <v>2004</v>
      </c>
      <c r="E1463" s="2">
        <v>7</v>
      </c>
      <c r="F1463" s="2">
        <v>652.14</v>
      </c>
      <c r="G1463" s="2">
        <v>728.58</v>
      </c>
      <c r="H1463" s="2" t="str">
        <f>VLOOKUP(qhkz_4dqm[[#This Row],[fuel_type]],lookup!A:B,2,FALSE)</f>
        <v>Don't Know / Not Reported</v>
      </c>
      <c r="I1463" s="2">
        <f ca="1">YEAR(TODAY())-qhkz_4dqm[[#This Row],[year]]</f>
        <v>22</v>
      </c>
      <c r="J1463" s="2" t="str" cm="1">
        <f t="array" aca="1" ref="J1463" ca="1">_xlfn.IFS(qhkz_4dqm[[#This Row],[vehicle_age]]&lt;=3,"Newer",qhkz_4dqm[[#This Row],[vehicle_age]]&lt;=9,"Mid-age",qhkz_4dqm[[#This Row],[vehicle_age]]&lt;=19,"Older",qhkz_4dqm[[#This Row],[vehicle_age]]&gt;=20,"Very Old")</f>
        <v>Very Old</v>
      </c>
    </row>
    <row r="1464" spans="1:10">
      <c r="A1464" s="2">
        <v>24151082</v>
      </c>
      <c r="B1464" s="2">
        <v>2415108201</v>
      </c>
      <c r="C1464" s="2">
        <v>1</v>
      </c>
      <c r="D1464" s="2">
        <v>2017</v>
      </c>
      <c r="E1464" s="2">
        <v>1</v>
      </c>
      <c r="F1464" s="2">
        <v>1.67</v>
      </c>
      <c r="G1464" s="2">
        <v>566.55999999999995</v>
      </c>
      <c r="H1464" s="2" t="str">
        <f>VLOOKUP(qhkz_4dqm[[#This Row],[fuel_type]],lookup!A:B,2,FALSE)</f>
        <v>Gasoline</v>
      </c>
      <c r="I1464" s="2">
        <f ca="1">YEAR(TODAY())-qhkz_4dqm[[#This Row],[year]]</f>
        <v>9</v>
      </c>
      <c r="J1464" s="2" t="str" cm="1">
        <f t="array" aca="1" ref="J1464" ca="1">_xlfn.IFS(qhkz_4dqm[[#This Row],[vehicle_age]]&lt;=3,"Newer",qhkz_4dqm[[#This Row],[vehicle_age]]&lt;=9,"Mid-age",qhkz_4dqm[[#This Row],[vehicle_age]]&lt;=19,"Older",qhkz_4dqm[[#This Row],[vehicle_age]]&gt;=20,"Very Old")</f>
        <v>Mid-age</v>
      </c>
    </row>
    <row r="1465" spans="1:10">
      <c r="A1465" s="2">
        <v>24151083</v>
      </c>
      <c r="B1465" s="2">
        <v>2415108301</v>
      </c>
      <c r="C1465" s="2">
        <v>1</v>
      </c>
      <c r="D1465" s="2">
        <v>2014</v>
      </c>
      <c r="E1465" s="2">
        <v>1</v>
      </c>
      <c r="F1465" s="2">
        <v>1090.1400000000001</v>
      </c>
      <c r="G1465" s="2">
        <v>1557.41</v>
      </c>
      <c r="H1465" s="2" t="str">
        <f>VLOOKUP(qhkz_4dqm[[#This Row],[fuel_type]],lookup!A:B,2,FALSE)</f>
        <v>Gasoline</v>
      </c>
      <c r="I1465" s="2">
        <f ca="1">YEAR(TODAY())-qhkz_4dqm[[#This Row],[year]]</f>
        <v>12</v>
      </c>
      <c r="J1465" s="2" t="str" cm="1">
        <f t="array" aca="1" ref="J1465" ca="1">_xlfn.IFS(qhkz_4dqm[[#This Row],[vehicle_age]]&lt;=3,"Newer",qhkz_4dqm[[#This Row],[vehicle_age]]&lt;=9,"Mid-age",qhkz_4dqm[[#This Row],[vehicle_age]]&lt;=19,"Older",qhkz_4dqm[[#This Row],[vehicle_age]]&gt;=20,"Very Old")</f>
        <v>Older</v>
      </c>
    </row>
    <row r="1466" spans="1:10">
      <c r="A1466" s="2">
        <v>24151088</v>
      </c>
      <c r="B1466" s="2">
        <v>2415108801</v>
      </c>
      <c r="C1466" s="2">
        <v>1</v>
      </c>
      <c r="D1466" s="2">
        <v>2019</v>
      </c>
      <c r="E1466" s="2">
        <v>1</v>
      </c>
      <c r="F1466" s="2">
        <v>240.05</v>
      </c>
      <c r="G1466" s="2">
        <v>359.08</v>
      </c>
      <c r="H1466" s="2" t="str">
        <f>VLOOKUP(qhkz_4dqm[[#This Row],[fuel_type]],lookup!A:B,2,FALSE)</f>
        <v>Gasoline</v>
      </c>
      <c r="I1466" s="2">
        <f ca="1">YEAR(TODAY())-qhkz_4dqm[[#This Row],[year]]</f>
        <v>7</v>
      </c>
      <c r="J1466" s="2" t="str" cm="1">
        <f t="array" aca="1" ref="J1466" ca="1">_xlfn.IFS(qhkz_4dqm[[#This Row],[vehicle_age]]&lt;=3,"Newer",qhkz_4dqm[[#This Row],[vehicle_age]]&lt;=9,"Mid-age",qhkz_4dqm[[#This Row],[vehicle_age]]&lt;=19,"Older",qhkz_4dqm[[#This Row],[vehicle_age]]&gt;=20,"Very Old")</f>
        <v>Mid-age</v>
      </c>
    </row>
    <row r="1467" spans="1:10">
      <c r="A1467" s="2">
        <v>24151091</v>
      </c>
      <c r="B1467" s="2">
        <v>2415109101</v>
      </c>
      <c r="C1467" s="2">
        <v>1</v>
      </c>
      <c r="D1467" s="2">
        <v>2020</v>
      </c>
      <c r="E1467" s="2">
        <v>1</v>
      </c>
      <c r="F1467" s="2">
        <v>1.84</v>
      </c>
      <c r="G1467" s="2">
        <v>79.36</v>
      </c>
      <c r="H1467" s="2" t="str">
        <f>VLOOKUP(qhkz_4dqm[[#This Row],[fuel_type]],lookup!A:B,2,FALSE)</f>
        <v>Gasoline</v>
      </c>
      <c r="I1467" s="2">
        <f ca="1">YEAR(TODAY())-qhkz_4dqm[[#This Row],[year]]</f>
        <v>6</v>
      </c>
      <c r="J1467" s="2" t="str" cm="1">
        <f t="array" aca="1" ref="J1467" ca="1">_xlfn.IFS(qhkz_4dqm[[#This Row],[vehicle_age]]&lt;=3,"Newer",qhkz_4dqm[[#This Row],[vehicle_age]]&lt;=9,"Mid-age",qhkz_4dqm[[#This Row],[vehicle_age]]&lt;=19,"Older",qhkz_4dqm[[#This Row],[vehicle_age]]&gt;=20,"Very Old")</f>
        <v>Mid-age</v>
      </c>
    </row>
    <row r="1468" spans="1:10">
      <c r="A1468" s="2">
        <v>24151098</v>
      </c>
      <c r="B1468" s="2">
        <v>2415109801</v>
      </c>
      <c r="C1468" s="2">
        <v>1</v>
      </c>
      <c r="D1468" s="2">
        <v>2017</v>
      </c>
      <c r="E1468" s="2">
        <v>1</v>
      </c>
      <c r="F1468" s="2">
        <v>213.31</v>
      </c>
      <c r="G1468" s="2">
        <v>301.89999999999998</v>
      </c>
      <c r="H1468" s="2" t="str">
        <f>VLOOKUP(qhkz_4dqm[[#This Row],[fuel_type]],lookup!A:B,2,FALSE)</f>
        <v>Gasoline</v>
      </c>
      <c r="I1468" s="2">
        <f ca="1">YEAR(TODAY())-qhkz_4dqm[[#This Row],[year]]</f>
        <v>9</v>
      </c>
      <c r="J1468" s="2" t="str" cm="1">
        <f t="array" aca="1" ref="J1468" ca="1">_xlfn.IFS(qhkz_4dqm[[#This Row],[vehicle_age]]&lt;=3,"Newer",qhkz_4dqm[[#This Row],[vehicle_age]]&lt;=9,"Mid-age",qhkz_4dqm[[#This Row],[vehicle_age]]&lt;=19,"Older",qhkz_4dqm[[#This Row],[vehicle_age]]&gt;=20,"Very Old")</f>
        <v>Mid-age</v>
      </c>
    </row>
    <row r="1469" spans="1:10">
      <c r="A1469" s="2">
        <v>24151101</v>
      </c>
      <c r="B1469" s="2">
        <v>2415110101</v>
      </c>
      <c r="C1469" s="2">
        <v>1</v>
      </c>
      <c r="D1469" s="2">
        <v>2015</v>
      </c>
      <c r="E1469" s="2">
        <v>1</v>
      </c>
      <c r="F1469" s="2">
        <v>504.63</v>
      </c>
      <c r="G1469" s="2">
        <v>751.11</v>
      </c>
      <c r="H1469" s="2" t="str">
        <f>VLOOKUP(qhkz_4dqm[[#This Row],[fuel_type]],lookup!A:B,2,FALSE)</f>
        <v>Gasoline</v>
      </c>
      <c r="I1469" s="2">
        <f ca="1">YEAR(TODAY())-qhkz_4dqm[[#This Row],[year]]</f>
        <v>11</v>
      </c>
      <c r="J1469" s="2" t="str" cm="1">
        <f t="array" aca="1" ref="J1469" ca="1">_xlfn.IFS(qhkz_4dqm[[#This Row],[vehicle_age]]&lt;=3,"Newer",qhkz_4dqm[[#This Row],[vehicle_age]]&lt;=9,"Mid-age",qhkz_4dqm[[#This Row],[vehicle_age]]&lt;=19,"Older",qhkz_4dqm[[#This Row],[vehicle_age]]&gt;=20,"Very Old")</f>
        <v>Older</v>
      </c>
    </row>
    <row r="1470" spans="1:10">
      <c r="A1470" s="2">
        <v>24151118</v>
      </c>
      <c r="B1470" s="2">
        <v>2415111801</v>
      </c>
      <c r="C1470" s="2">
        <v>1</v>
      </c>
      <c r="D1470" s="2">
        <v>2020</v>
      </c>
      <c r="E1470" s="2">
        <v>1</v>
      </c>
      <c r="F1470" s="2">
        <v>1762.22</v>
      </c>
      <c r="G1470" s="2">
        <v>4565.8599999999997</v>
      </c>
      <c r="H1470" s="2" t="str">
        <f>VLOOKUP(qhkz_4dqm[[#This Row],[fuel_type]],lookup!A:B,2,FALSE)</f>
        <v>Gasoline</v>
      </c>
      <c r="I1470" s="2">
        <f ca="1">YEAR(TODAY())-qhkz_4dqm[[#This Row],[year]]</f>
        <v>6</v>
      </c>
      <c r="J1470" s="2" t="str" cm="1">
        <f t="array" aca="1" ref="J1470" ca="1">_xlfn.IFS(qhkz_4dqm[[#This Row],[vehicle_age]]&lt;=3,"Newer",qhkz_4dqm[[#This Row],[vehicle_age]]&lt;=9,"Mid-age",qhkz_4dqm[[#This Row],[vehicle_age]]&lt;=19,"Older",qhkz_4dqm[[#This Row],[vehicle_age]]&gt;=20,"Very Old")</f>
        <v>Mid-age</v>
      </c>
    </row>
    <row r="1471" spans="1:10">
      <c r="A1471" s="2">
        <v>24151120</v>
      </c>
      <c r="B1471" s="2">
        <v>2415112001</v>
      </c>
      <c r="C1471" s="2">
        <v>1</v>
      </c>
      <c r="D1471" s="2">
        <v>2015</v>
      </c>
      <c r="E1471" s="2">
        <v>1</v>
      </c>
      <c r="F1471" s="2">
        <v>562.41999999999996</v>
      </c>
      <c r="G1471" s="2">
        <v>445.56</v>
      </c>
      <c r="H1471" s="2" t="str">
        <f>VLOOKUP(qhkz_4dqm[[#This Row],[fuel_type]],lookup!A:B,2,FALSE)</f>
        <v>Gasoline</v>
      </c>
      <c r="I1471" s="2">
        <f ca="1">YEAR(TODAY())-qhkz_4dqm[[#This Row],[year]]</f>
        <v>11</v>
      </c>
      <c r="J1471" s="2" t="str" cm="1">
        <f t="array" aca="1" ref="J1471" ca="1">_xlfn.IFS(qhkz_4dqm[[#This Row],[vehicle_age]]&lt;=3,"Newer",qhkz_4dqm[[#This Row],[vehicle_age]]&lt;=9,"Mid-age",qhkz_4dqm[[#This Row],[vehicle_age]]&lt;=19,"Older",qhkz_4dqm[[#This Row],[vehicle_age]]&gt;=20,"Very Old")</f>
        <v>Older</v>
      </c>
    </row>
    <row r="1472" spans="1:10">
      <c r="A1472" s="2">
        <v>24151126</v>
      </c>
      <c r="B1472" s="2">
        <v>2415112601</v>
      </c>
      <c r="C1472" s="2">
        <v>1</v>
      </c>
      <c r="D1472" s="2">
        <v>2020</v>
      </c>
      <c r="E1472" s="2">
        <v>1</v>
      </c>
      <c r="F1472" s="2">
        <v>41.82</v>
      </c>
      <c r="G1472" s="2">
        <v>290.83</v>
      </c>
      <c r="H1472" s="2" t="str">
        <f>VLOOKUP(qhkz_4dqm[[#This Row],[fuel_type]],lookup!A:B,2,FALSE)</f>
        <v>Gasoline</v>
      </c>
      <c r="I1472" s="2">
        <f ca="1">YEAR(TODAY())-qhkz_4dqm[[#This Row],[year]]</f>
        <v>6</v>
      </c>
      <c r="J1472" s="2" t="str" cm="1">
        <f t="array" aca="1" ref="J1472" ca="1">_xlfn.IFS(qhkz_4dqm[[#This Row],[vehicle_age]]&lt;=3,"Newer",qhkz_4dqm[[#This Row],[vehicle_age]]&lt;=9,"Mid-age",qhkz_4dqm[[#This Row],[vehicle_age]]&lt;=19,"Older",qhkz_4dqm[[#This Row],[vehicle_age]]&gt;=20,"Very Old")</f>
        <v>Mid-age</v>
      </c>
    </row>
    <row r="1473" spans="1:10">
      <c r="A1473" s="2">
        <v>24151134</v>
      </c>
      <c r="B1473" s="2">
        <v>2415113401</v>
      </c>
      <c r="C1473" s="2">
        <v>1</v>
      </c>
      <c r="D1473" s="2">
        <v>2014</v>
      </c>
      <c r="E1473" s="2">
        <v>1</v>
      </c>
      <c r="F1473" s="2">
        <v>211.12</v>
      </c>
      <c r="G1473" s="2">
        <v>217.63</v>
      </c>
      <c r="H1473" s="2" t="str">
        <f>VLOOKUP(qhkz_4dqm[[#This Row],[fuel_type]],lookup!A:B,2,FALSE)</f>
        <v>Gasoline</v>
      </c>
      <c r="I1473" s="2">
        <f ca="1">YEAR(TODAY())-qhkz_4dqm[[#This Row],[year]]</f>
        <v>12</v>
      </c>
      <c r="J1473" s="2" t="str" cm="1">
        <f t="array" aca="1" ref="J1473" ca="1">_xlfn.IFS(qhkz_4dqm[[#This Row],[vehicle_age]]&lt;=3,"Newer",qhkz_4dqm[[#This Row],[vehicle_age]]&lt;=9,"Mid-age",qhkz_4dqm[[#This Row],[vehicle_age]]&lt;=19,"Older",qhkz_4dqm[[#This Row],[vehicle_age]]&gt;=20,"Very Old")</f>
        <v>Older</v>
      </c>
    </row>
    <row r="1474" spans="1:10">
      <c r="A1474" s="2">
        <v>24151135</v>
      </c>
      <c r="B1474" s="2">
        <v>2415113501</v>
      </c>
      <c r="C1474" s="2">
        <v>1</v>
      </c>
      <c r="D1474" s="2">
        <v>2015</v>
      </c>
      <c r="E1474" s="2">
        <v>1</v>
      </c>
      <c r="F1474" s="2">
        <v>165.38</v>
      </c>
      <c r="G1474" s="2">
        <v>254.03</v>
      </c>
      <c r="H1474" s="2" t="str">
        <f>VLOOKUP(qhkz_4dqm[[#This Row],[fuel_type]],lookup!A:B,2,FALSE)</f>
        <v>Gasoline</v>
      </c>
      <c r="I1474" s="2">
        <f ca="1">YEAR(TODAY())-qhkz_4dqm[[#This Row],[year]]</f>
        <v>11</v>
      </c>
      <c r="J1474" s="2" t="str" cm="1">
        <f t="array" aca="1" ref="J1474" ca="1">_xlfn.IFS(qhkz_4dqm[[#This Row],[vehicle_age]]&lt;=3,"Newer",qhkz_4dqm[[#This Row],[vehicle_age]]&lt;=9,"Mid-age",qhkz_4dqm[[#This Row],[vehicle_age]]&lt;=19,"Older",qhkz_4dqm[[#This Row],[vehicle_age]]&gt;=20,"Very Old")</f>
        <v>Older</v>
      </c>
    </row>
    <row r="1475" spans="1:10">
      <c r="A1475" s="2">
        <v>24151136</v>
      </c>
      <c r="B1475" s="2">
        <v>2415113601</v>
      </c>
      <c r="C1475" s="2">
        <v>1</v>
      </c>
      <c r="D1475" s="2">
        <v>2022</v>
      </c>
      <c r="E1475" s="2">
        <v>1</v>
      </c>
      <c r="F1475" s="2">
        <v>996.01</v>
      </c>
      <c r="G1475" s="2">
        <v>1282.8599999999999</v>
      </c>
      <c r="H1475" s="2" t="str">
        <f>VLOOKUP(qhkz_4dqm[[#This Row],[fuel_type]],lookup!A:B,2,FALSE)</f>
        <v>Gasoline</v>
      </c>
      <c r="I1475" s="2">
        <f ca="1">YEAR(TODAY())-qhkz_4dqm[[#This Row],[year]]</f>
        <v>4</v>
      </c>
      <c r="J1475" s="2" t="str" cm="1">
        <f t="array" aca="1" ref="J1475" ca="1">_xlfn.IFS(qhkz_4dqm[[#This Row],[vehicle_age]]&lt;=3,"Newer",qhkz_4dqm[[#This Row],[vehicle_age]]&lt;=9,"Mid-age",qhkz_4dqm[[#This Row],[vehicle_age]]&lt;=19,"Older",qhkz_4dqm[[#This Row],[vehicle_age]]&gt;=20,"Very Old")</f>
        <v>Mid-age</v>
      </c>
    </row>
    <row r="1476" spans="1:10">
      <c r="A1476" s="2">
        <v>24151140</v>
      </c>
      <c r="B1476" s="2">
        <v>2415114001</v>
      </c>
      <c r="C1476" s="2">
        <v>1</v>
      </c>
      <c r="D1476" s="2">
        <v>2002</v>
      </c>
      <c r="E1476" s="2">
        <v>1</v>
      </c>
      <c r="F1476" s="2">
        <v>1467.88</v>
      </c>
      <c r="G1476" s="2">
        <v>1081.6099999999999</v>
      </c>
      <c r="H1476" s="2" t="str">
        <f>VLOOKUP(qhkz_4dqm[[#This Row],[fuel_type]],lookup!A:B,2,FALSE)</f>
        <v>Gasoline</v>
      </c>
      <c r="I1476" s="2">
        <f ca="1">YEAR(TODAY())-qhkz_4dqm[[#This Row],[year]]</f>
        <v>24</v>
      </c>
      <c r="J1476" s="2" t="str" cm="1">
        <f t="array" aca="1" ref="J1476" ca="1">_xlfn.IFS(qhkz_4dqm[[#This Row],[vehicle_age]]&lt;=3,"Newer",qhkz_4dqm[[#This Row],[vehicle_age]]&lt;=9,"Mid-age",qhkz_4dqm[[#This Row],[vehicle_age]]&lt;=19,"Older",qhkz_4dqm[[#This Row],[vehicle_age]]&gt;=20,"Very Old")</f>
        <v>Very Old</v>
      </c>
    </row>
    <row r="1477" spans="1:10">
      <c r="A1477" s="2">
        <v>24151146</v>
      </c>
      <c r="B1477" s="2">
        <v>2415114601</v>
      </c>
      <c r="C1477" s="2">
        <v>1</v>
      </c>
      <c r="D1477" s="2">
        <v>2021</v>
      </c>
      <c r="E1477" s="2">
        <v>1</v>
      </c>
      <c r="F1477" s="2">
        <v>485.58</v>
      </c>
      <c r="G1477" s="2">
        <v>386.4</v>
      </c>
      <c r="H1477" s="2" t="str">
        <f>VLOOKUP(qhkz_4dqm[[#This Row],[fuel_type]],lookup!A:B,2,FALSE)</f>
        <v>Gasoline</v>
      </c>
      <c r="I1477" s="2">
        <f ca="1">YEAR(TODAY())-qhkz_4dqm[[#This Row],[year]]</f>
        <v>5</v>
      </c>
      <c r="J1477" s="2" t="str" cm="1">
        <f t="array" aca="1" ref="J1477" ca="1">_xlfn.IFS(qhkz_4dqm[[#This Row],[vehicle_age]]&lt;=3,"Newer",qhkz_4dqm[[#This Row],[vehicle_age]]&lt;=9,"Mid-age",qhkz_4dqm[[#This Row],[vehicle_age]]&lt;=19,"Older",qhkz_4dqm[[#This Row],[vehicle_age]]&gt;=20,"Very Old")</f>
        <v>Mid-age</v>
      </c>
    </row>
    <row r="1478" spans="1:10">
      <c r="A1478" s="2">
        <v>24151156</v>
      </c>
      <c r="B1478" s="2">
        <v>2415115601</v>
      </c>
      <c r="C1478" s="2">
        <v>1</v>
      </c>
      <c r="D1478" s="2">
        <v>2024</v>
      </c>
      <c r="E1478" s="2">
        <v>2</v>
      </c>
      <c r="F1478" s="2">
        <v>198.05</v>
      </c>
      <c r="G1478" s="2">
        <v>133.25</v>
      </c>
      <c r="H1478" s="2" t="str">
        <f>VLOOKUP(qhkz_4dqm[[#This Row],[fuel_type]],lookup!A:B,2,FALSE)</f>
        <v>Diesel</v>
      </c>
      <c r="I1478" s="2">
        <f ca="1">YEAR(TODAY())-qhkz_4dqm[[#This Row],[year]]</f>
        <v>2</v>
      </c>
      <c r="J1478" s="2" t="str" cm="1">
        <f t="array" aca="1" ref="J1478" ca="1">_xlfn.IFS(qhkz_4dqm[[#This Row],[vehicle_age]]&lt;=3,"Newer",qhkz_4dqm[[#This Row],[vehicle_age]]&lt;=9,"Mid-age",qhkz_4dqm[[#This Row],[vehicle_age]]&lt;=19,"Older",qhkz_4dqm[[#This Row],[vehicle_age]]&gt;=20,"Very Old")</f>
        <v>Newer</v>
      </c>
    </row>
    <row r="1479" spans="1:10">
      <c r="A1479" s="2">
        <v>24151164</v>
      </c>
      <c r="B1479" s="2">
        <v>2415116401</v>
      </c>
      <c r="C1479" s="2">
        <v>1</v>
      </c>
      <c r="D1479" s="2">
        <v>2022</v>
      </c>
      <c r="E1479" s="2">
        <v>1</v>
      </c>
      <c r="F1479" s="2">
        <v>356.07</v>
      </c>
      <c r="G1479" s="2">
        <v>840.07</v>
      </c>
      <c r="H1479" s="2" t="str">
        <f>VLOOKUP(qhkz_4dqm[[#This Row],[fuel_type]],lookup!A:B,2,FALSE)</f>
        <v>Gasoline</v>
      </c>
      <c r="I1479" s="2">
        <f ca="1">YEAR(TODAY())-qhkz_4dqm[[#This Row],[year]]</f>
        <v>4</v>
      </c>
      <c r="J1479" s="2" t="str" cm="1">
        <f t="array" aca="1" ref="J1479" ca="1">_xlfn.IFS(qhkz_4dqm[[#This Row],[vehicle_age]]&lt;=3,"Newer",qhkz_4dqm[[#This Row],[vehicle_age]]&lt;=9,"Mid-age",qhkz_4dqm[[#This Row],[vehicle_age]]&lt;=19,"Older",qhkz_4dqm[[#This Row],[vehicle_age]]&gt;=20,"Very Old")</f>
        <v>Mid-age</v>
      </c>
    </row>
    <row r="1480" spans="1:10">
      <c r="A1480" s="2">
        <v>24151172</v>
      </c>
      <c r="B1480" s="2">
        <v>2415117201</v>
      </c>
      <c r="C1480" s="2">
        <v>1</v>
      </c>
      <c r="D1480" s="2">
        <v>2002</v>
      </c>
      <c r="E1480" s="2">
        <v>1</v>
      </c>
      <c r="F1480" s="2">
        <v>319.19</v>
      </c>
      <c r="G1480" s="2">
        <v>376.37</v>
      </c>
      <c r="H1480" s="2" t="str">
        <f>VLOOKUP(qhkz_4dqm[[#This Row],[fuel_type]],lookup!A:B,2,FALSE)</f>
        <v>Gasoline</v>
      </c>
      <c r="I1480" s="2">
        <f ca="1">YEAR(TODAY())-qhkz_4dqm[[#This Row],[year]]</f>
        <v>24</v>
      </c>
      <c r="J1480" s="2" t="str" cm="1">
        <f t="array" aca="1" ref="J1480" ca="1">_xlfn.IFS(qhkz_4dqm[[#This Row],[vehicle_age]]&lt;=3,"Newer",qhkz_4dqm[[#This Row],[vehicle_age]]&lt;=9,"Mid-age",qhkz_4dqm[[#This Row],[vehicle_age]]&lt;=19,"Older",qhkz_4dqm[[#This Row],[vehicle_age]]&gt;=20,"Very Old")</f>
        <v>Very Old</v>
      </c>
    </row>
    <row r="1481" spans="1:10">
      <c r="A1481" s="2">
        <v>24151176</v>
      </c>
      <c r="B1481" s="2">
        <v>2415117601</v>
      </c>
      <c r="C1481" s="2">
        <v>1</v>
      </c>
      <c r="D1481" s="2">
        <v>2008</v>
      </c>
      <c r="E1481" s="2">
        <v>1</v>
      </c>
      <c r="F1481" s="2">
        <v>23.81</v>
      </c>
      <c r="G1481" s="2">
        <v>111.01</v>
      </c>
      <c r="H1481" s="2" t="str">
        <f>VLOOKUP(qhkz_4dqm[[#This Row],[fuel_type]],lookup!A:B,2,FALSE)</f>
        <v>Gasoline</v>
      </c>
      <c r="I1481" s="2">
        <f ca="1">YEAR(TODAY())-qhkz_4dqm[[#This Row],[year]]</f>
        <v>18</v>
      </c>
      <c r="J1481" s="2" t="str" cm="1">
        <f t="array" aca="1" ref="J1481" ca="1">_xlfn.IFS(qhkz_4dqm[[#This Row],[vehicle_age]]&lt;=3,"Newer",qhkz_4dqm[[#This Row],[vehicle_age]]&lt;=9,"Mid-age",qhkz_4dqm[[#This Row],[vehicle_age]]&lt;=19,"Older",qhkz_4dqm[[#This Row],[vehicle_age]]&gt;=20,"Very Old")</f>
        <v>Older</v>
      </c>
    </row>
    <row r="1482" spans="1:10">
      <c r="A1482" s="2">
        <v>24151182</v>
      </c>
      <c r="B1482" s="2">
        <v>2415118201</v>
      </c>
      <c r="C1482" s="2">
        <v>1</v>
      </c>
      <c r="D1482" s="2">
        <v>2021</v>
      </c>
      <c r="E1482" s="2">
        <v>1</v>
      </c>
      <c r="F1482" s="2">
        <v>2680.07</v>
      </c>
      <c r="G1482" s="2">
        <v>1962.28</v>
      </c>
      <c r="H1482" s="2" t="str">
        <f>VLOOKUP(qhkz_4dqm[[#This Row],[fuel_type]],lookup!A:B,2,FALSE)</f>
        <v>Gasoline</v>
      </c>
      <c r="I1482" s="2">
        <f ca="1">YEAR(TODAY())-qhkz_4dqm[[#This Row],[year]]</f>
        <v>5</v>
      </c>
      <c r="J1482" s="2" t="str" cm="1">
        <f t="array" aca="1" ref="J1482" ca="1">_xlfn.IFS(qhkz_4dqm[[#This Row],[vehicle_age]]&lt;=3,"Newer",qhkz_4dqm[[#This Row],[vehicle_age]]&lt;=9,"Mid-age",qhkz_4dqm[[#This Row],[vehicle_age]]&lt;=19,"Older",qhkz_4dqm[[#This Row],[vehicle_age]]&gt;=20,"Very Old")</f>
        <v>Mid-age</v>
      </c>
    </row>
    <row r="1483" spans="1:10">
      <c r="A1483" s="2">
        <v>24151188</v>
      </c>
      <c r="B1483" s="2">
        <v>2415118801</v>
      </c>
      <c r="C1483" s="2">
        <v>1</v>
      </c>
      <c r="D1483" s="2">
        <v>2019</v>
      </c>
      <c r="E1483" s="2">
        <v>1</v>
      </c>
      <c r="F1483" s="2">
        <v>676.44</v>
      </c>
      <c r="G1483" s="2">
        <v>520.32000000000005</v>
      </c>
      <c r="H1483" s="2" t="str">
        <f>VLOOKUP(qhkz_4dqm[[#This Row],[fuel_type]],lookup!A:B,2,FALSE)</f>
        <v>Gasoline</v>
      </c>
      <c r="I1483" s="2">
        <f ca="1">YEAR(TODAY())-qhkz_4dqm[[#This Row],[year]]</f>
        <v>7</v>
      </c>
      <c r="J1483" s="2" t="str" cm="1">
        <f t="array" aca="1" ref="J1483" ca="1">_xlfn.IFS(qhkz_4dqm[[#This Row],[vehicle_age]]&lt;=3,"Newer",qhkz_4dqm[[#This Row],[vehicle_age]]&lt;=9,"Mid-age",qhkz_4dqm[[#This Row],[vehicle_age]]&lt;=19,"Older",qhkz_4dqm[[#This Row],[vehicle_age]]&gt;=20,"Very Old")</f>
        <v>Mid-age</v>
      </c>
    </row>
    <row r="1484" spans="1:10">
      <c r="A1484" s="2">
        <v>24151189</v>
      </c>
      <c r="B1484" s="2">
        <v>2415118901</v>
      </c>
      <c r="C1484" s="2">
        <v>1</v>
      </c>
      <c r="D1484" s="2">
        <v>2021</v>
      </c>
      <c r="E1484" s="2">
        <v>1</v>
      </c>
      <c r="F1484" s="2">
        <v>82.12</v>
      </c>
      <c r="G1484" s="2">
        <v>265.79000000000002</v>
      </c>
      <c r="H1484" s="2" t="str">
        <f>VLOOKUP(qhkz_4dqm[[#This Row],[fuel_type]],lookup!A:B,2,FALSE)</f>
        <v>Gasoline</v>
      </c>
      <c r="I1484" s="2">
        <f ca="1">YEAR(TODAY())-qhkz_4dqm[[#This Row],[year]]</f>
        <v>5</v>
      </c>
      <c r="J1484" s="2" t="str" cm="1">
        <f t="array" aca="1" ref="J1484" ca="1">_xlfn.IFS(qhkz_4dqm[[#This Row],[vehicle_age]]&lt;=3,"Newer",qhkz_4dqm[[#This Row],[vehicle_age]]&lt;=9,"Mid-age",qhkz_4dqm[[#This Row],[vehicle_age]]&lt;=19,"Older",qhkz_4dqm[[#This Row],[vehicle_age]]&gt;=20,"Very Old")</f>
        <v>Mid-age</v>
      </c>
    </row>
    <row r="1485" spans="1:10">
      <c r="A1485" s="2">
        <v>24151192</v>
      </c>
      <c r="B1485" s="2">
        <v>2415119201</v>
      </c>
      <c r="C1485" s="2">
        <v>1</v>
      </c>
      <c r="D1485" s="2">
        <v>2006</v>
      </c>
      <c r="E1485" s="2">
        <v>1</v>
      </c>
      <c r="F1485" s="2">
        <v>1.84</v>
      </c>
      <c r="G1485" s="2">
        <v>250.92</v>
      </c>
      <c r="H1485" s="2" t="str">
        <f>VLOOKUP(qhkz_4dqm[[#This Row],[fuel_type]],lookup!A:B,2,FALSE)</f>
        <v>Gasoline</v>
      </c>
      <c r="I1485" s="2">
        <f ca="1">YEAR(TODAY())-qhkz_4dqm[[#This Row],[year]]</f>
        <v>20</v>
      </c>
      <c r="J1485" s="2" t="str" cm="1">
        <f t="array" aca="1" ref="J1485" ca="1">_xlfn.IFS(qhkz_4dqm[[#This Row],[vehicle_age]]&lt;=3,"Newer",qhkz_4dqm[[#This Row],[vehicle_age]]&lt;=9,"Mid-age",qhkz_4dqm[[#This Row],[vehicle_age]]&lt;=19,"Older",qhkz_4dqm[[#This Row],[vehicle_age]]&gt;=20,"Very Old")</f>
        <v>Very Old</v>
      </c>
    </row>
    <row r="1486" spans="1:10">
      <c r="A1486" s="2">
        <v>24151203</v>
      </c>
      <c r="B1486" s="2">
        <v>2415120301</v>
      </c>
      <c r="C1486" s="2">
        <v>1</v>
      </c>
      <c r="D1486" s="2">
        <v>2016</v>
      </c>
      <c r="E1486" s="2">
        <v>1</v>
      </c>
      <c r="F1486" s="2">
        <v>4813.47</v>
      </c>
      <c r="G1486" s="2">
        <v>1336.07</v>
      </c>
      <c r="H1486" s="2" t="str">
        <f>VLOOKUP(qhkz_4dqm[[#This Row],[fuel_type]],lookup!A:B,2,FALSE)</f>
        <v>Gasoline</v>
      </c>
      <c r="I1486" s="2">
        <f ca="1">YEAR(TODAY())-qhkz_4dqm[[#This Row],[year]]</f>
        <v>10</v>
      </c>
      <c r="J1486" s="2" t="str" cm="1">
        <f t="array" aca="1" ref="J1486" ca="1">_xlfn.IFS(qhkz_4dqm[[#This Row],[vehicle_age]]&lt;=3,"Newer",qhkz_4dqm[[#This Row],[vehicle_age]]&lt;=9,"Mid-age",qhkz_4dqm[[#This Row],[vehicle_age]]&lt;=19,"Older",qhkz_4dqm[[#This Row],[vehicle_age]]&gt;=20,"Very Old")</f>
        <v>Older</v>
      </c>
    </row>
    <row r="1487" spans="1:10">
      <c r="A1487" s="2">
        <v>24151205</v>
      </c>
      <c r="B1487" s="2">
        <v>2415120501</v>
      </c>
      <c r="C1487" s="2">
        <v>1</v>
      </c>
      <c r="D1487" s="2">
        <v>2017</v>
      </c>
      <c r="E1487" s="2">
        <v>1</v>
      </c>
      <c r="F1487" s="2">
        <v>2879.48</v>
      </c>
      <c r="G1487" s="2">
        <v>4232.5200000000004</v>
      </c>
      <c r="H1487" s="2" t="str">
        <f>VLOOKUP(qhkz_4dqm[[#This Row],[fuel_type]],lookup!A:B,2,FALSE)</f>
        <v>Gasoline</v>
      </c>
      <c r="I1487" s="2">
        <f ca="1">YEAR(TODAY())-qhkz_4dqm[[#This Row],[year]]</f>
        <v>9</v>
      </c>
      <c r="J1487" s="2" t="str" cm="1">
        <f t="array" aca="1" ref="J1487" ca="1">_xlfn.IFS(qhkz_4dqm[[#This Row],[vehicle_age]]&lt;=3,"Newer",qhkz_4dqm[[#This Row],[vehicle_age]]&lt;=9,"Mid-age",qhkz_4dqm[[#This Row],[vehicle_age]]&lt;=19,"Older",qhkz_4dqm[[#This Row],[vehicle_age]]&gt;=20,"Very Old")</f>
        <v>Mid-age</v>
      </c>
    </row>
    <row r="1488" spans="1:10">
      <c r="A1488" s="2">
        <v>24151215</v>
      </c>
      <c r="B1488" s="2">
        <v>2415121501</v>
      </c>
      <c r="C1488" s="2">
        <v>1</v>
      </c>
      <c r="D1488" s="2">
        <v>2016</v>
      </c>
      <c r="E1488" s="2">
        <v>1</v>
      </c>
      <c r="F1488" s="2">
        <v>328.09</v>
      </c>
      <c r="G1488" s="2">
        <v>291.8</v>
      </c>
      <c r="H1488" s="2" t="str">
        <f>VLOOKUP(qhkz_4dqm[[#This Row],[fuel_type]],lookup!A:B,2,FALSE)</f>
        <v>Gasoline</v>
      </c>
      <c r="I1488" s="2">
        <f ca="1">YEAR(TODAY())-qhkz_4dqm[[#This Row],[year]]</f>
        <v>10</v>
      </c>
      <c r="J1488" s="2" t="str" cm="1">
        <f t="array" aca="1" ref="J1488" ca="1">_xlfn.IFS(qhkz_4dqm[[#This Row],[vehicle_age]]&lt;=3,"Newer",qhkz_4dqm[[#This Row],[vehicle_age]]&lt;=9,"Mid-age",qhkz_4dqm[[#This Row],[vehicle_age]]&lt;=19,"Older",qhkz_4dqm[[#This Row],[vehicle_age]]&gt;=20,"Very Old")</f>
        <v>Older</v>
      </c>
    </row>
    <row r="1489" spans="1:10">
      <c r="A1489" s="2">
        <v>24151216</v>
      </c>
      <c r="B1489" s="2">
        <v>2415121601</v>
      </c>
      <c r="C1489" s="2">
        <v>1</v>
      </c>
      <c r="D1489" s="2">
        <v>2022</v>
      </c>
      <c r="E1489" s="2">
        <v>1</v>
      </c>
      <c r="F1489" s="2">
        <v>292.32</v>
      </c>
      <c r="G1489" s="2">
        <v>1826.1</v>
      </c>
      <c r="H1489" s="2" t="str">
        <f>VLOOKUP(qhkz_4dqm[[#This Row],[fuel_type]],lookup!A:B,2,FALSE)</f>
        <v>Gasoline</v>
      </c>
      <c r="I1489" s="2">
        <f ca="1">YEAR(TODAY())-qhkz_4dqm[[#This Row],[year]]</f>
        <v>4</v>
      </c>
      <c r="J1489" s="2" t="str" cm="1">
        <f t="array" aca="1" ref="J1489" ca="1">_xlfn.IFS(qhkz_4dqm[[#This Row],[vehicle_age]]&lt;=3,"Newer",qhkz_4dqm[[#This Row],[vehicle_age]]&lt;=9,"Mid-age",qhkz_4dqm[[#This Row],[vehicle_age]]&lt;=19,"Older",qhkz_4dqm[[#This Row],[vehicle_age]]&gt;=20,"Very Old")</f>
        <v>Mid-age</v>
      </c>
    </row>
    <row r="1490" spans="1:10">
      <c r="A1490" s="2">
        <v>24151225</v>
      </c>
      <c r="B1490" s="2">
        <v>2415122501</v>
      </c>
      <c r="C1490" s="2">
        <v>1</v>
      </c>
      <c r="D1490" s="2">
        <v>2009</v>
      </c>
      <c r="E1490" s="2">
        <v>1</v>
      </c>
      <c r="F1490" s="2">
        <v>263.55</v>
      </c>
      <c r="G1490" s="2">
        <v>390.16</v>
      </c>
      <c r="H1490" s="2" t="str">
        <f>VLOOKUP(qhkz_4dqm[[#This Row],[fuel_type]],lookup!A:B,2,FALSE)</f>
        <v>Gasoline</v>
      </c>
      <c r="I1490" s="2">
        <f ca="1">YEAR(TODAY())-qhkz_4dqm[[#This Row],[year]]</f>
        <v>17</v>
      </c>
      <c r="J1490" s="2" t="str" cm="1">
        <f t="array" aca="1" ref="J1490" ca="1">_xlfn.IFS(qhkz_4dqm[[#This Row],[vehicle_age]]&lt;=3,"Newer",qhkz_4dqm[[#This Row],[vehicle_age]]&lt;=9,"Mid-age",qhkz_4dqm[[#This Row],[vehicle_age]]&lt;=19,"Older",qhkz_4dqm[[#This Row],[vehicle_age]]&gt;=20,"Very Old")</f>
        <v>Older</v>
      </c>
    </row>
    <row r="1491" spans="1:10">
      <c r="A1491" s="2">
        <v>24151226</v>
      </c>
      <c r="B1491" s="2">
        <v>2415122601</v>
      </c>
      <c r="C1491" s="2">
        <v>1</v>
      </c>
      <c r="D1491" s="2">
        <v>2023</v>
      </c>
      <c r="E1491" s="2">
        <v>1</v>
      </c>
      <c r="F1491" s="2">
        <v>1081.1400000000001</v>
      </c>
      <c r="G1491" s="2">
        <v>1647.19</v>
      </c>
      <c r="H1491" s="2" t="str">
        <f>VLOOKUP(qhkz_4dqm[[#This Row],[fuel_type]],lookup!A:B,2,FALSE)</f>
        <v>Gasoline</v>
      </c>
      <c r="I1491" s="2">
        <f ca="1">YEAR(TODAY())-qhkz_4dqm[[#This Row],[year]]</f>
        <v>3</v>
      </c>
      <c r="J1491" s="2" t="str" cm="1">
        <f t="array" aca="1" ref="J1491" ca="1">_xlfn.IFS(qhkz_4dqm[[#This Row],[vehicle_age]]&lt;=3,"Newer",qhkz_4dqm[[#This Row],[vehicle_age]]&lt;=9,"Mid-age",qhkz_4dqm[[#This Row],[vehicle_age]]&lt;=19,"Older",qhkz_4dqm[[#This Row],[vehicle_age]]&gt;=20,"Very Old")</f>
        <v>Newer</v>
      </c>
    </row>
    <row r="1492" spans="1:10">
      <c r="A1492" s="2">
        <v>24151256</v>
      </c>
      <c r="B1492" s="2">
        <v>2415125601</v>
      </c>
      <c r="C1492" s="2">
        <v>1</v>
      </c>
      <c r="D1492" s="2">
        <v>2011</v>
      </c>
      <c r="E1492" s="2">
        <v>1</v>
      </c>
      <c r="F1492" s="2">
        <v>487.94</v>
      </c>
      <c r="G1492" s="2">
        <v>345.22</v>
      </c>
      <c r="H1492" s="2" t="str">
        <f>VLOOKUP(qhkz_4dqm[[#This Row],[fuel_type]],lookup!A:B,2,FALSE)</f>
        <v>Gasoline</v>
      </c>
      <c r="I1492" s="2">
        <f ca="1">YEAR(TODAY())-qhkz_4dqm[[#This Row],[year]]</f>
        <v>15</v>
      </c>
      <c r="J1492" s="2" t="str" cm="1">
        <f t="array" aca="1" ref="J1492" ca="1">_xlfn.IFS(qhkz_4dqm[[#This Row],[vehicle_age]]&lt;=3,"Newer",qhkz_4dqm[[#This Row],[vehicle_age]]&lt;=9,"Mid-age",qhkz_4dqm[[#This Row],[vehicle_age]]&lt;=19,"Older",qhkz_4dqm[[#This Row],[vehicle_age]]&gt;=20,"Very Old")</f>
        <v>Older</v>
      </c>
    </row>
    <row r="1493" spans="1:10">
      <c r="A1493" s="2">
        <v>24151259</v>
      </c>
      <c r="B1493" s="2">
        <v>2415125901</v>
      </c>
      <c r="C1493" s="2">
        <v>1</v>
      </c>
      <c r="D1493" s="2">
        <v>2008</v>
      </c>
      <c r="E1493" s="2">
        <v>1</v>
      </c>
      <c r="F1493" s="2">
        <v>0.92</v>
      </c>
      <c r="G1493" s="2">
        <v>529.51</v>
      </c>
      <c r="H1493" s="2" t="str">
        <f>VLOOKUP(qhkz_4dqm[[#This Row],[fuel_type]],lookup!A:B,2,FALSE)</f>
        <v>Gasoline</v>
      </c>
      <c r="I1493" s="2">
        <f ca="1">YEAR(TODAY())-qhkz_4dqm[[#This Row],[year]]</f>
        <v>18</v>
      </c>
      <c r="J1493" s="2" t="str" cm="1">
        <f t="array" aca="1" ref="J1493" ca="1">_xlfn.IFS(qhkz_4dqm[[#This Row],[vehicle_age]]&lt;=3,"Newer",qhkz_4dqm[[#This Row],[vehicle_age]]&lt;=9,"Mid-age",qhkz_4dqm[[#This Row],[vehicle_age]]&lt;=19,"Older",qhkz_4dqm[[#This Row],[vehicle_age]]&gt;=20,"Very Old")</f>
        <v>Older</v>
      </c>
    </row>
    <row r="1494" spans="1:10">
      <c r="A1494" s="2">
        <v>24151261</v>
      </c>
      <c r="B1494" s="2">
        <v>2415126101</v>
      </c>
      <c r="C1494" s="2">
        <v>1</v>
      </c>
      <c r="D1494" s="2">
        <v>2018</v>
      </c>
      <c r="E1494" s="2">
        <v>1</v>
      </c>
      <c r="F1494" s="2">
        <v>167.39</v>
      </c>
      <c r="G1494" s="2">
        <v>1672.83</v>
      </c>
      <c r="H1494" s="2" t="str">
        <f>VLOOKUP(qhkz_4dqm[[#This Row],[fuel_type]],lookup!A:B,2,FALSE)</f>
        <v>Gasoline</v>
      </c>
      <c r="I1494" s="2">
        <f ca="1">YEAR(TODAY())-qhkz_4dqm[[#This Row],[year]]</f>
        <v>8</v>
      </c>
      <c r="J1494" s="2" t="str" cm="1">
        <f t="array" aca="1" ref="J1494" ca="1">_xlfn.IFS(qhkz_4dqm[[#This Row],[vehicle_age]]&lt;=3,"Newer",qhkz_4dqm[[#This Row],[vehicle_age]]&lt;=9,"Mid-age",qhkz_4dqm[[#This Row],[vehicle_age]]&lt;=19,"Older",qhkz_4dqm[[#This Row],[vehicle_age]]&gt;=20,"Very Old")</f>
        <v>Mid-age</v>
      </c>
    </row>
    <row r="1495" spans="1:10">
      <c r="A1495" s="2">
        <v>24151266</v>
      </c>
      <c r="B1495" s="2">
        <v>2415126601</v>
      </c>
      <c r="C1495" s="2">
        <v>1</v>
      </c>
      <c r="D1495" s="2">
        <v>2019</v>
      </c>
      <c r="E1495" s="2">
        <v>1</v>
      </c>
      <c r="F1495" s="2">
        <v>172.25</v>
      </c>
      <c r="G1495" s="2">
        <v>366.84</v>
      </c>
      <c r="H1495" s="2" t="str">
        <f>VLOOKUP(qhkz_4dqm[[#This Row],[fuel_type]],lookup!A:B,2,FALSE)</f>
        <v>Gasoline</v>
      </c>
      <c r="I1495" s="2">
        <f ca="1">YEAR(TODAY())-qhkz_4dqm[[#This Row],[year]]</f>
        <v>7</v>
      </c>
      <c r="J1495" s="2" t="str" cm="1">
        <f t="array" aca="1" ref="J1495" ca="1">_xlfn.IFS(qhkz_4dqm[[#This Row],[vehicle_age]]&lt;=3,"Newer",qhkz_4dqm[[#This Row],[vehicle_age]]&lt;=9,"Mid-age",qhkz_4dqm[[#This Row],[vehicle_age]]&lt;=19,"Older",qhkz_4dqm[[#This Row],[vehicle_age]]&gt;=20,"Very Old")</f>
        <v>Mid-age</v>
      </c>
    </row>
    <row r="1496" spans="1:10">
      <c r="A1496" s="2">
        <v>24151271</v>
      </c>
      <c r="B1496" s="2">
        <v>2415127101</v>
      </c>
      <c r="C1496" s="2">
        <v>1</v>
      </c>
      <c r="D1496" s="2">
        <v>2023</v>
      </c>
      <c r="E1496" s="2">
        <v>1</v>
      </c>
      <c r="F1496" s="2">
        <v>560.76</v>
      </c>
      <c r="G1496" s="2">
        <v>1027.8399999999999</v>
      </c>
      <c r="H1496" s="2" t="str">
        <f>VLOOKUP(qhkz_4dqm[[#This Row],[fuel_type]],lookup!A:B,2,FALSE)</f>
        <v>Gasoline</v>
      </c>
      <c r="I1496" s="2">
        <f ca="1">YEAR(TODAY())-qhkz_4dqm[[#This Row],[year]]</f>
        <v>3</v>
      </c>
      <c r="J1496" s="2" t="str" cm="1">
        <f t="array" aca="1" ref="J1496" ca="1">_xlfn.IFS(qhkz_4dqm[[#This Row],[vehicle_age]]&lt;=3,"Newer",qhkz_4dqm[[#This Row],[vehicle_age]]&lt;=9,"Mid-age",qhkz_4dqm[[#This Row],[vehicle_age]]&lt;=19,"Older",qhkz_4dqm[[#This Row],[vehicle_age]]&gt;=20,"Very Old")</f>
        <v>Newer</v>
      </c>
    </row>
    <row r="1497" spans="1:10">
      <c r="A1497" s="2">
        <v>24151272</v>
      </c>
      <c r="B1497" s="2">
        <v>2415127201</v>
      </c>
      <c r="C1497" s="2">
        <v>1</v>
      </c>
      <c r="D1497" s="2">
        <v>2022</v>
      </c>
      <c r="E1497" s="2">
        <v>1</v>
      </c>
      <c r="F1497" s="2">
        <v>706.63</v>
      </c>
      <c r="G1497" s="2">
        <v>1692.41</v>
      </c>
      <c r="H1497" s="2" t="str">
        <f>VLOOKUP(qhkz_4dqm[[#This Row],[fuel_type]],lookup!A:B,2,FALSE)</f>
        <v>Gasoline</v>
      </c>
      <c r="I1497" s="2">
        <f ca="1">YEAR(TODAY())-qhkz_4dqm[[#This Row],[year]]</f>
        <v>4</v>
      </c>
      <c r="J1497" s="2" t="str" cm="1">
        <f t="array" aca="1" ref="J1497" ca="1">_xlfn.IFS(qhkz_4dqm[[#This Row],[vehicle_age]]&lt;=3,"Newer",qhkz_4dqm[[#This Row],[vehicle_age]]&lt;=9,"Mid-age",qhkz_4dqm[[#This Row],[vehicle_age]]&lt;=19,"Older",qhkz_4dqm[[#This Row],[vehicle_age]]&gt;=20,"Very Old")</f>
        <v>Mid-age</v>
      </c>
    </row>
    <row r="1498" spans="1:10">
      <c r="A1498" s="2">
        <v>24151279</v>
      </c>
      <c r="B1498" s="2">
        <v>2415127901</v>
      </c>
      <c r="C1498" s="2">
        <v>1</v>
      </c>
      <c r="D1498" s="2">
        <v>2021</v>
      </c>
      <c r="E1498" s="2">
        <v>1</v>
      </c>
      <c r="F1498" s="2">
        <v>79.569999999999993</v>
      </c>
      <c r="G1498" s="2">
        <v>201.15</v>
      </c>
      <c r="H1498" s="2" t="str">
        <f>VLOOKUP(qhkz_4dqm[[#This Row],[fuel_type]],lookup!A:B,2,FALSE)</f>
        <v>Gasoline</v>
      </c>
      <c r="I1498" s="2">
        <f ca="1">YEAR(TODAY())-qhkz_4dqm[[#This Row],[year]]</f>
        <v>5</v>
      </c>
      <c r="J1498" s="2" t="str" cm="1">
        <f t="array" aca="1" ref="J1498" ca="1">_xlfn.IFS(qhkz_4dqm[[#This Row],[vehicle_age]]&lt;=3,"Newer",qhkz_4dqm[[#This Row],[vehicle_age]]&lt;=9,"Mid-age",qhkz_4dqm[[#This Row],[vehicle_age]]&lt;=19,"Older",qhkz_4dqm[[#This Row],[vehicle_age]]&gt;=20,"Very Old")</f>
        <v>Mid-age</v>
      </c>
    </row>
    <row r="1499" spans="1:10">
      <c r="A1499" s="2">
        <v>24151287</v>
      </c>
      <c r="B1499" s="2">
        <v>2415128701</v>
      </c>
      <c r="C1499" s="2">
        <v>1</v>
      </c>
      <c r="D1499" s="2">
        <v>2008</v>
      </c>
      <c r="E1499" s="2">
        <v>1</v>
      </c>
      <c r="F1499" s="2">
        <v>1021.51</v>
      </c>
      <c r="G1499" s="2">
        <v>335.86</v>
      </c>
      <c r="H1499" s="2" t="str">
        <f>VLOOKUP(qhkz_4dqm[[#This Row],[fuel_type]],lookup!A:B,2,FALSE)</f>
        <v>Gasoline</v>
      </c>
      <c r="I1499" s="2">
        <f ca="1">YEAR(TODAY())-qhkz_4dqm[[#This Row],[year]]</f>
        <v>18</v>
      </c>
      <c r="J1499" s="2" t="str" cm="1">
        <f t="array" aca="1" ref="J1499" ca="1">_xlfn.IFS(qhkz_4dqm[[#This Row],[vehicle_age]]&lt;=3,"Newer",qhkz_4dqm[[#This Row],[vehicle_age]]&lt;=9,"Mid-age",qhkz_4dqm[[#This Row],[vehicle_age]]&lt;=19,"Older",qhkz_4dqm[[#This Row],[vehicle_age]]&gt;=20,"Very Old")</f>
        <v>Older</v>
      </c>
    </row>
    <row r="1500" spans="1:10">
      <c r="A1500" s="2">
        <v>24151301</v>
      </c>
      <c r="B1500" s="2">
        <v>2415130101</v>
      </c>
      <c r="C1500" s="2">
        <v>1</v>
      </c>
      <c r="D1500" s="2">
        <v>2024</v>
      </c>
      <c r="E1500" s="2">
        <v>2</v>
      </c>
      <c r="F1500" s="2">
        <v>312.29000000000002</v>
      </c>
      <c r="G1500" s="2">
        <v>205.95</v>
      </c>
      <c r="H1500" s="2" t="str">
        <f>VLOOKUP(qhkz_4dqm[[#This Row],[fuel_type]],lookup!A:B,2,FALSE)</f>
        <v>Diesel</v>
      </c>
      <c r="I1500" s="2">
        <f ca="1">YEAR(TODAY())-qhkz_4dqm[[#This Row],[year]]</f>
        <v>2</v>
      </c>
      <c r="J1500" s="2" t="str" cm="1">
        <f t="array" aca="1" ref="J1500" ca="1">_xlfn.IFS(qhkz_4dqm[[#This Row],[vehicle_age]]&lt;=3,"Newer",qhkz_4dqm[[#This Row],[vehicle_age]]&lt;=9,"Mid-age",qhkz_4dqm[[#This Row],[vehicle_age]]&lt;=19,"Older",qhkz_4dqm[[#This Row],[vehicle_age]]&gt;=20,"Very Old")</f>
        <v>Newer</v>
      </c>
    </row>
    <row r="1501" spans="1:10">
      <c r="A1501" s="2">
        <v>24151318</v>
      </c>
      <c r="B1501" s="2">
        <v>2415131801</v>
      </c>
      <c r="C1501" s="2">
        <v>1</v>
      </c>
      <c r="D1501" s="2">
        <v>2022</v>
      </c>
      <c r="E1501" s="2">
        <v>1</v>
      </c>
      <c r="F1501" s="2">
        <v>198.96</v>
      </c>
      <c r="G1501" s="2">
        <v>345.82</v>
      </c>
      <c r="H1501" s="2" t="str">
        <f>VLOOKUP(qhkz_4dqm[[#This Row],[fuel_type]],lookup!A:B,2,FALSE)</f>
        <v>Gasoline</v>
      </c>
      <c r="I1501" s="2">
        <f ca="1">YEAR(TODAY())-qhkz_4dqm[[#This Row],[year]]</f>
        <v>4</v>
      </c>
      <c r="J1501" s="2" t="str" cm="1">
        <f t="array" aca="1" ref="J1501" ca="1">_xlfn.IFS(qhkz_4dqm[[#This Row],[vehicle_age]]&lt;=3,"Newer",qhkz_4dqm[[#This Row],[vehicle_age]]&lt;=9,"Mid-age",qhkz_4dqm[[#This Row],[vehicle_age]]&lt;=19,"Older",qhkz_4dqm[[#This Row],[vehicle_age]]&gt;=20,"Very Old")</f>
        <v>Mid-age</v>
      </c>
    </row>
    <row r="1502" spans="1:10">
      <c r="A1502" s="2">
        <v>24151323</v>
      </c>
      <c r="B1502" s="2">
        <v>2415132301</v>
      </c>
      <c r="C1502" s="2">
        <v>1</v>
      </c>
      <c r="D1502" s="2">
        <v>2010</v>
      </c>
      <c r="E1502" s="2">
        <v>1</v>
      </c>
      <c r="F1502" s="2">
        <v>2.4</v>
      </c>
      <c r="G1502" s="2">
        <v>445.31</v>
      </c>
      <c r="H1502" s="2" t="str">
        <f>VLOOKUP(qhkz_4dqm[[#This Row],[fuel_type]],lookup!A:B,2,FALSE)</f>
        <v>Gasoline</v>
      </c>
      <c r="I1502" s="2">
        <f ca="1">YEAR(TODAY())-qhkz_4dqm[[#This Row],[year]]</f>
        <v>16</v>
      </c>
      <c r="J1502" s="2" t="str" cm="1">
        <f t="array" aca="1" ref="J1502" ca="1">_xlfn.IFS(qhkz_4dqm[[#This Row],[vehicle_age]]&lt;=3,"Newer",qhkz_4dqm[[#This Row],[vehicle_age]]&lt;=9,"Mid-age",qhkz_4dqm[[#This Row],[vehicle_age]]&lt;=19,"Older",qhkz_4dqm[[#This Row],[vehicle_age]]&gt;=20,"Very Old")</f>
        <v>Older</v>
      </c>
    </row>
    <row r="1503" spans="1:10">
      <c r="A1503" s="2">
        <v>24151327</v>
      </c>
      <c r="B1503" s="2">
        <v>2415132701</v>
      </c>
      <c r="C1503" s="2">
        <v>1</v>
      </c>
      <c r="D1503" s="2">
        <v>2016</v>
      </c>
      <c r="E1503" s="2">
        <v>1</v>
      </c>
      <c r="F1503" s="2">
        <v>1080.8499999999999</v>
      </c>
      <c r="G1503" s="2">
        <v>1292.26</v>
      </c>
      <c r="H1503" s="2" t="str">
        <f>VLOOKUP(qhkz_4dqm[[#This Row],[fuel_type]],lookup!A:B,2,FALSE)</f>
        <v>Gasoline</v>
      </c>
      <c r="I1503" s="2">
        <f ca="1">YEAR(TODAY())-qhkz_4dqm[[#This Row],[year]]</f>
        <v>10</v>
      </c>
      <c r="J1503" s="2" t="str" cm="1">
        <f t="array" aca="1" ref="J1503" ca="1">_xlfn.IFS(qhkz_4dqm[[#This Row],[vehicle_age]]&lt;=3,"Newer",qhkz_4dqm[[#This Row],[vehicle_age]]&lt;=9,"Mid-age",qhkz_4dqm[[#This Row],[vehicle_age]]&lt;=19,"Older",qhkz_4dqm[[#This Row],[vehicle_age]]&gt;=20,"Very Old")</f>
        <v>Older</v>
      </c>
    </row>
    <row r="1504" spans="1:10">
      <c r="A1504" s="2">
        <v>24151330</v>
      </c>
      <c r="B1504" s="2">
        <v>2415133001</v>
      </c>
      <c r="C1504" s="2">
        <v>1</v>
      </c>
      <c r="D1504" s="2">
        <v>2017</v>
      </c>
      <c r="E1504" s="2">
        <v>1</v>
      </c>
      <c r="F1504" s="2">
        <v>1326.15</v>
      </c>
      <c r="G1504" s="2">
        <v>1958.24</v>
      </c>
      <c r="H1504" s="2" t="str">
        <f>VLOOKUP(qhkz_4dqm[[#This Row],[fuel_type]],lookup!A:B,2,FALSE)</f>
        <v>Gasoline</v>
      </c>
      <c r="I1504" s="2">
        <f ca="1">YEAR(TODAY())-qhkz_4dqm[[#This Row],[year]]</f>
        <v>9</v>
      </c>
      <c r="J1504" s="2" t="str" cm="1">
        <f t="array" aca="1" ref="J1504" ca="1">_xlfn.IFS(qhkz_4dqm[[#This Row],[vehicle_age]]&lt;=3,"Newer",qhkz_4dqm[[#This Row],[vehicle_age]]&lt;=9,"Mid-age",qhkz_4dqm[[#This Row],[vehicle_age]]&lt;=19,"Older",qhkz_4dqm[[#This Row],[vehicle_age]]&gt;=20,"Very Old")</f>
        <v>Mid-age</v>
      </c>
    </row>
    <row r="1505" spans="1:10">
      <c r="A1505" s="2">
        <v>24151331</v>
      </c>
      <c r="B1505" s="2">
        <v>2415133101</v>
      </c>
      <c r="C1505" s="2">
        <v>1</v>
      </c>
      <c r="D1505" s="2">
        <v>2000</v>
      </c>
      <c r="E1505" s="2">
        <v>1</v>
      </c>
      <c r="F1505" s="2">
        <v>1605.31</v>
      </c>
      <c r="G1505" s="2">
        <v>708.01</v>
      </c>
      <c r="H1505" s="2" t="str">
        <f>VLOOKUP(qhkz_4dqm[[#This Row],[fuel_type]],lookup!A:B,2,FALSE)</f>
        <v>Gasoline</v>
      </c>
      <c r="I1505" s="2">
        <f ca="1">YEAR(TODAY())-qhkz_4dqm[[#This Row],[year]]</f>
        <v>26</v>
      </c>
      <c r="J1505" s="2" t="str" cm="1">
        <f t="array" aca="1" ref="J1505" ca="1">_xlfn.IFS(qhkz_4dqm[[#This Row],[vehicle_age]]&lt;=3,"Newer",qhkz_4dqm[[#This Row],[vehicle_age]]&lt;=9,"Mid-age",qhkz_4dqm[[#This Row],[vehicle_age]]&lt;=19,"Older",qhkz_4dqm[[#This Row],[vehicle_age]]&gt;=20,"Very Old")</f>
        <v>Very Old</v>
      </c>
    </row>
    <row r="1506" spans="1:10">
      <c r="A1506" s="2">
        <v>24151335</v>
      </c>
      <c r="B1506" s="2">
        <v>2415133501</v>
      </c>
      <c r="C1506" s="2">
        <v>1</v>
      </c>
      <c r="D1506" s="2">
        <v>2023</v>
      </c>
      <c r="E1506" s="2">
        <v>4</v>
      </c>
      <c r="F1506" s="2">
        <v>511.9</v>
      </c>
      <c r="G1506" s="2">
        <v>594.72</v>
      </c>
      <c r="H1506" s="2" t="str">
        <f>VLOOKUP(qhkz_4dqm[[#This Row],[fuel_type]],lookup!A:B,2,FALSE)</f>
        <v>Electric</v>
      </c>
      <c r="I1506" s="2">
        <f ca="1">YEAR(TODAY())-qhkz_4dqm[[#This Row],[year]]</f>
        <v>3</v>
      </c>
      <c r="J1506" s="2" t="str" cm="1">
        <f t="array" aca="1" ref="J1506" ca="1">_xlfn.IFS(qhkz_4dqm[[#This Row],[vehicle_age]]&lt;=3,"Newer",qhkz_4dqm[[#This Row],[vehicle_age]]&lt;=9,"Mid-age",qhkz_4dqm[[#This Row],[vehicle_age]]&lt;=19,"Older",qhkz_4dqm[[#This Row],[vehicle_age]]&gt;=20,"Very Old")</f>
        <v>Newer</v>
      </c>
    </row>
    <row r="1507" spans="1:10">
      <c r="A1507" s="2">
        <v>24151349</v>
      </c>
      <c r="B1507" s="2">
        <v>2415134901</v>
      </c>
      <c r="C1507" s="2">
        <v>1</v>
      </c>
      <c r="D1507" s="2">
        <v>2018</v>
      </c>
      <c r="E1507" s="2">
        <v>1</v>
      </c>
      <c r="F1507" s="2">
        <v>0.92</v>
      </c>
      <c r="G1507" s="2">
        <v>315.22000000000003</v>
      </c>
      <c r="H1507" s="2" t="str">
        <f>VLOOKUP(qhkz_4dqm[[#This Row],[fuel_type]],lookup!A:B,2,FALSE)</f>
        <v>Gasoline</v>
      </c>
      <c r="I1507" s="2">
        <f ca="1">YEAR(TODAY())-qhkz_4dqm[[#This Row],[year]]</f>
        <v>8</v>
      </c>
      <c r="J1507" s="2" t="str" cm="1">
        <f t="array" aca="1" ref="J1507" ca="1">_xlfn.IFS(qhkz_4dqm[[#This Row],[vehicle_age]]&lt;=3,"Newer",qhkz_4dqm[[#This Row],[vehicle_age]]&lt;=9,"Mid-age",qhkz_4dqm[[#This Row],[vehicle_age]]&lt;=19,"Older",qhkz_4dqm[[#This Row],[vehicle_age]]&gt;=20,"Very Old")</f>
        <v>Mid-age</v>
      </c>
    </row>
    <row r="1508" spans="1:10">
      <c r="A1508" s="2">
        <v>24151351</v>
      </c>
      <c r="B1508" s="2">
        <v>2415135101</v>
      </c>
      <c r="C1508" s="2">
        <v>1</v>
      </c>
      <c r="D1508" s="2">
        <v>2007</v>
      </c>
      <c r="E1508" s="2">
        <v>1</v>
      </c>
      <c r="F1508" s="2">
        <v>137.75</v>
      </c>
      <c r="G1508" s="2">
        <v>362.25</v>
      </c>
      <c r="H1508" s="2" t="str">
        <f>VLOOKUP(qhkz_4dqm[[#This Row],[fuel_type]],lookup!A:B,2,FALSE)</f>
        <v>Gasoline</v>
      </c>
      <c r="I1508" s="2">
        <f ca="1">YEAR(TODAY())-qhkz_4dqm[[#This Row],[year]]</f>
        <v>19</v>
      </c>
      <c r="J1508" s="2" t="str" cm="1">
        <f t="array" aca="1" ref="J1508" ca="1">_xlfn.IFS(qhkz_4dqm[[#This Row],[vehicle_age]]&lt;=3,"Newer",qhkz_4dqm[[#This Row],[vehicle_age]]&lt;=9,"Mid-age",qhkz_4dqm[[#This Row],[vehicle_age]]&lt;=19,"Older",qhkz_4dqm[[#This Row],[vehicle_age]]&gt;=20,"Very Old")</f>
        <v>Older</v>
      </c>
    </row>
    <row r="1509" spans="1:10">
      <c r="A1509" s="2">
        <v>24151356</v>
      </c>
      <c r="B1509" s="2">
        <v>2415135601</v>
      </c>
      <c r="C1509" s="2">
        <v>1</v>
      </c>
      <c r="D1509" s="2">
        <v>2015</v>
      </c>
      <c r="E1509" s="2">
        <v>1</v>
      </c>
      <c r="F1509" s="2">
        <v>567.33000000000004</v>
      </c>
      <c r="G1509" s="2">
        <v>127.21</v>
      </c>
      <c r="H1509" s="2" t="str">
        <f>VLOOKUP(qhkz_4dqm[[#This Row],[fuel_type]],lookup!A:B,2,FALSE)</f>
        <v>Gasoline</v>
      </c>
      <c r="I1509" s="2">
        <f ca="1">YEAR(TODAY())-qhkz_4dqm[[#This Row],[year]]</f>
        <v>11</v>
      </c>
      <c r="J1509" s="2" t="str" cm="1">
        <f t="array" aca="1" ref="J1509" ca="1">_xlfn.IFS(qhkz_4dqm[[#This Row],[vehicle_age]]&lt;=3,"Newer",qhkz_4dqm[[#This Row],[vehicle_age]]&lt;=9,"Mid-age",qhkz_4dqm[[#This Row],[vehicle_age]]&lt;=19,"Older",qhkz_4dqm[[#This Row],[vehicle_age]]&gt;=20,"Very Old")</f>
        <v>Older</v>
      </c>
    </row>
    <row r="1510" spans="1:10">
      <c r="A1510" s="2">
        <v>24151360</v>
      </c>
      <c r="B1510" s="2">
        <v>2415136001</v>
      </c>
      <c r="C1510" s="2">
        <v>1</v>
      </c>
      <c r="D1510" s="2">
        <v>2010</v>
      </c>
      <c r="E1510" s="2">
        <v>1</v>
      </c>
      <c r="F1510" s="2">
        <v>245.36</v>
      </c>
      <c r="G1510" s="2">
        <v>554.28</v>
      </c>
      <c r="H1510" s="2" t="str">
        <f>VLOOKUP(qhkz_4dqm[[#This Row],[fuel_type]],lookup!A:B,2,FALSE)</f>
        <v>Gasoline</v>
      </c>
      <c r="I1510" s="2">
        <f ca="1">YEAR(TODAY())-qhkz_4dqm[[#This Row],[year]]</f>
        <v>16</v>
      </c>
      <c r="J1510" s="2" t="str" cm="1">
        <f t="array" aca="1" ref="J1510" ca="1">_xlfn.IFS(qhkz_4dqm[[#This Row],[vehicle_age]]&lt;=3,"Newer",qhkz_4dqm[[#This Row],[vehicle_age]]&lt;=9,"Mid-age",qhkz_4dqm[[#This Row],[vehicle_age]]&lt;=19,"Older",qhkz_4dqm[[#This Row],[vehicle_age]]&gt;=20,"Very Old")</f>
        <v>Older</v>
      </c>
    </row>
    <row r="1511" spans="1:10">
      <c r="A1511" s="2">
        <v>24151366</v>
      </c>
      <c r="B1511" s="2">
        <v>2415136601</v>
      </c>
      <c r="C1511" s="2">
        <v>1</v>
      </c>
      <c r="D1511" s="2">
        <v>2012</v>
      </c>
      <c r="E1511" s="2">
        <v>1</v>
      </c>
      <c r="F1511" s="2">
        <v>142.68</v>
      </c>
      <c r="G1511" s="2">
        <v>559.41999999999996</v>
      </c>
      <c r="H1511" s="2" t="str">
        <f>VLOOKUP(qhkz_4dqm[[#This Row],[fuel_type]],lookup!A:B,2,FALSE)</f>
        <v>Gasoline</v>
      </c>
      <c r="I1511" s="2">
        <f ca="1">YEAR(TODAY())-qhkz_4dqm[[#This Row],[year]]</f>
        <v>14</v>
      </c>
      <c r="J1511" s="2" t="str" cm="1">
        <f t="array" aca="1" ref="J1511" ca="1">_xlfn.IFS(qhkz_4dqm[[#This Row],[vehicle_age]]&lt;=3,"Newer",qhkz_4dqm[[#This Row],[vehicle_age]]&lt;=9,"Mid-age",qhkz_4dqm[[#This Row],[vehicle_age]]&lt;=19,"Older",qhkz_4dqm[[#This Row],[vehicle_age]]&gt;=20,"Very Old")</f>
        <v>Older</v>
      </c>
    </row>
    <row r="1512" spans="1:10">
      <c r="A1512" s="2">
        <v>24151379</v>
      </c>
      <c r="B1512" s="2">
        <v>2415137901</v>
      </c>
      <c r="C1512" s="2">
        <v>1</v>
      </c>
      <c r="D1512" s="2">
        <v>2007</v>
      </c>
      <c r="E1512" s="2">
        <v>1</v>
      </c>
      <c r="F1512" s="2">
        <v>199.04</v>
      </c>
      <c r="G1512" s="2">
        <v>345.82</v>
      </c>
      <c r="H1512" s="2" t="str">
        <f>VLOOKUP(qhkz_4dqm[[#This Row],[fuel_type]],lookup!A:B,2,FALSE)</f>
        <v>Gasoline</v>
      </c>
      <c r="I1512" s="2">
        <f ca="1">YEAR(TODAY())-qhkz_4dqm[[#This Row],[year]]</f>
        <v>19</v>
      </c>
      <c r="J1512" s="2" t="str" cm="1">
        <f t="array" aca="1" ref="J1512" ca="1">_xlfn.IFS(qhkz_4dqm[[#This Row],[vehicle_age]]&lt;=3,"Newer",qhkz_4dqm[[#This Row],[vehicle_age]]&lt;=9,"Mid-age",qhkz_4dqm[[#This Row],[vehicle_age]]&lt;=19,"Older",qhkz_4dqm[[#This Row],[vehicle_age]]&gt;=20,"Very Old")</f>
        <v>Older</v>
      </c>
    </row>
    <row r="1513" spans="1:10">
      <c r="A1513" s="2">
        <v>24151381</v>
      </c>
      <c r="B1513" s="2">
        <v>2415138101</v>
      </c>
      <c r="C1513" s="2">
        <v>1</v>
      </c>
      <c r="D1513" s="2">
        <v>2017</v>
      </c>
      <c r="E1513" s="2">
        <v>1</v>
      </c>
      <c r="F1513" s="2">
        <v>2916.73</v>
      </c>
      <c r="G1513" s="2">
        <v>3047.54</v>
      </c>
      <c r="H1513" s="2" t="str">
        <f>VLOOKUP(qhkz_4dqm[[#This Row],[fuel_type]],lookup!A:B,2,FALSE)</f>
        <v>Gasoline</v>
      </c>
      <c r="I1513" s="2">
        <f ca="1">YEAR(TODAY())-qhkz_4dqm[[#This Row],[year]]</f>
        <v>9</v>
      </c>
      <c r="J1513" s="2" t="str" cm="1">
        <f t="array" aca="1" ref="J1513" ca="1">_xlfn.IFS(qhkz_4dqm[[#This Row],[vehicle_age]]&lt;=3,"Newer",qhkz_4dqm[[#This Row],[vehicle_age]]&lt;=9,"Mid-age",qhkz_4dqm[[#This Row],[vehicle_age]]&lt;=19,"Older",qhkz_4dqm[[#This Row],[vehicle_age]]&gt;=20,"Very Old")</f>
        <v>Mid-age</v>
      </c>
    </row>
    <row r="1514" spans="1:10">
      <c r="A1514" s="2">
        <v>24151409</v>
      </c>
      <c r="B1514" s="2">
        <v>2415140901</v>
      </c>
      <c r="C1514" s="2">
        <v>1</v>
      </c>
      <c r="D1514" s="2">
        <v>2009</v>
      </c>
      <c r="E1514" s="2">
        <v>1</v>
      </c>
      <c r="F1514" s="2">
        <v>6.67</v>
      </c>
      <c r="G1514" s="2">
        <v>475.01</v>
      </c>
      <c r="H1514" s="2" t="str">
        <f>VLOOKUP(qhkz_4dqm[[#This Row],[fuel_type]],lookup!A:B,2,FALSE)</f>
        <v>Gasoline</v>
      </c>
      <c r="I1514" s="2">
        <f ca="1">YEAR(TODAY())-qhkz_4dqm[[#This Row],[year]]</f>
        <v>17</v>
      </c>
      <c r="J1514" s="2" t="str" cm="1">
        <f t="array" aca="1" ref="J1514" ca="1">_xlfn.IFS(qhkz_4dqm[[#This Row],[vehicle_age]]&lt;=3,"Newer",qhkz_4dqm[[#This Row],[vehicle_age]]&lt;=9,"Mid-age",qhkz_4dqm[[#This Row],[vehicle_age]]&lt;=19,"Older",qhkz_4dqm[[#This Row],[vehicle_age]]&gt;=20,"Very Old")</f>
        <v>Older</v>
      </c>
    </row>
    <row r="1515" spans="1:10">
      <c r="A1515" s="2">
        <v>24151426</v>
      </c>
      <c r="B1515" s="2">
        <v>2415142601</v>
      </c>
      <c r="C1515" s="2">
        <v>1</v>
      </c>
      <c r="D1515" s="2">
        <v>2020</v>
      </c>
      <c r="E1515" s="2">
        <v>1</v>
      </c>
      <c r="F1515" s="2">
        <v>806.12</v>
      </c>
      <c r="G1515" s="2">
        <v>1406.63</v>
      </c>
      <c r="H1515" s="2" t="str">
        <f>VLOOKUP(qhkz_4dqm[[#This Row],[fuel_type]],lookup!A:B,2,FALSE)</f>
        <v>Gasoline</v>
      </c>
      <c r="I1515" s="2">
        <f ca="1">YEAR(TODAY())-qhkz_4dqm[[#This Row],[year]]</f>
        <v>6</v>
      </c>
      <c r="J1515" s="2" t="str" cm="1">
        <f t="array" aca="1" ref="J1515" ca="1">_xlfn.IFS(qhkz_4dqm[[#This Row],[vehicle_age]]&lt;=3,"Newer",qhkz_4dqm[[#This Row],[vehicle_age]]&lt;=9,"Mid-age",qhkz_4dqm[[#This Row],[vehicle_age]]&lt;=19,"Older",qhkz_4dqm[[#This Row],[vehicle_age]]&gt;=20,"Very Old")</f>
        <v>Mid-age</v>
      </c>
    </row>
    <row r="1516" spans="1:10">
      <c r="A1516" s="2">
        <v>24151440</v>
      </c>
      <c r="B1516" s="2">
        <v>2415144001</v>
      </c>
      <c r="C1516" s="2">
        <v>1</v>
      </c>
      <c r="D1516" s="2">
        <v>2020</v>
      </c>
      <c r="E1516" s="2">
        <v>1</v>
      </c>
      <c r="F1516" s="2">
        <v>1.58</v>
      </c>
      <c r="G1516" s="2">
        <v>290.49</v>
      </c>
      <c r="H1516" s="2" t="str">
        <f>VLOOKUP(qhkz_4dqm[[#This Row],[fuel_type]],lookup!A:B,2,FALSE)</f>
        <v>Gasoline</v>
      </c>
      <c r="I1516" s="2">
        <f ca="1">YEAR(TODAY())-qhkz_4dqm[[#This Row],[year]]</f>
        <v>6</v>
      </c>
      <c r="J1516" s="2" t="str" cm="1">
        <f t="array" aca="1" ref="J1516" ca="1">_xlfn.IFS(qhkz_4dqm[[#This Row],[vehicle_age]]&lt;=3,"Newer",qhkz_4dqm[[#This Row],[vehicle_age]]&lt;=9,"Mid-age",qhkz_4dqm[[#This Row],[vehicle_age]]&lt;=19,"Older",qhkz_4dqm[[#This Row],[vehicle_age]]&gt;=20,"Very Old")</f>
        <v>Mid-age</v>
      </c>
    </row>
    <row r="1517" spans="1:10">
      <c r="A1517" s="2">
        <v>24151444</v>
      </c>
      <c r="B1517" s="2">
        <v>2415144401</v>
      </c>
      <c r="C1517" s="2">
        <v>1</v>
      </c>
      <c r="D1517" s="2">
        <v>2019</v>
      </c>
      <c r="E1517" s="2">
        <v>1</v>
      </c>
      <c r="F1517" s="2">
        <v>551.96</v>
      </c>
      <c r="G1517" s="2">
        <v>813.34</v>
      </c>
      <c r="H1517" s="2" t="str">
        <f>VLOOKUP(qhkz_4dqm[[#This Row],[fuel_type]],lookup!A:B,2,FALSE)</f>
        <v>Gasoline</v>
      </c>
      <c r="I1517" s="2">
        <f ca="1">YEAR(TODAY())-qhkz_4dqm[[#This Row],[year]]</f>
        <v>7</v>
      </c>
      <c r="J1517" s="2" t="str" cm="1">
        <f t="array" aca="1" ref="J1517" ca="1">_xlfn.IFS(qhkz_4dqm[[#This Row],[vehicle_age]]&lt;=3,"Newer",qhkz_4dqm[[#This Row],[vehicle_age]]&lt;=9,"Mid-age",qhkz_4dqm[[#This Row],[vehicle_age]]&lt;=19,"Older",qhkz_4dqm[[#This Row],[vehicle_age]]&gt;=20,"Very Old")</f>
        <v>Mid-age</v>
      </c>
    </row>
    <row r="1518" spans="1:10">
      <c r="A1518" s="2">
        <v>24151450</v>
      </c>
      <c r="B1518" s="2">
        <v>2415145001</v>
      </c>
      <c r="C1518" s="2">
        <v>1</v>
      </c>
      <c r="D1518" s="2">
        <v>2020</v>
      </c>
      <c r="E1518" s="2">
        <v>1</v>
      </c>
      <c r="F1518" s="2">
        <v>4642.57</v>
      </c>
      <c r="G1518" s="2">
        <v>2514.9699999999998</v>
      </c>
      <c r="H1518" s="2" t="str">
        <f>VLOOKUP(qhkz_4dqm[[#This Row],[fuel_type]],lookup!A:B,2,FALSE)</f>
        <v>Gasoline</v>
      </c>
      <c r="I1518" s="2">
        <f ca="1">YEAR(TODAY())-qhkz_4dqm[[#This Row],[year]]</f>
        <v>6</v>
      </c>
      <c r="J1518" s="2" t="str" cm="1">
        <f t="array" aca="1" ref="J1518" ca="1">_xlfn.IFS(qhkz_4dqm[[#This Row],[vehicle_age]]&lt;=3,"Newer",qhkz_4dqm[[#This Row],[vehicle_age]]&lt;=9,"Mid-age",qhkz_4dqm[[#This Row],[vehicle_age]]&lt;=19,"Older",qhkz_4dqm[[#This Row],[vehicle_age]]&gt;=20,"Very Old")</f>
        <v>Mid-age</v>
      </c>
    </row>
    <row r="1519" spans="1:10">
      <c r="A1519" s="2">
        <v>24151453</v>
      </c>
      <c r="B1519" s="2">
        <v>2415145301</v>
      </c>
      <c r="C1519" s="2">
        <v>1</v>
      </c>
      <c r="D1519" s="2">
        <v>2021</v>
      </c>
      <c r="E1519" s="2">
        <v>1</v>
      </c>
      <c r="F1519" s="2">
        <v>14.65</v>
      </c>
      <c r="G1519" s="2">
        <v>139.03</v>
      </c>
      <c r="H1519" s="2" t="str">
        <f>VLOOKUP(qhkz_4dqm[[#This Row],[fuel_type]],lookup!A:B,2,FALSE)</f>
        <v>Gasoline</v>
      </c>
      <c r="I1519" s="2">
        <f ca="1">YEAR(TODAY())-qhkz_4dqm[[#This Row],[year]]</f>
        <v>5</v>
      </c>
      <c r="J1519" s="2" t="str" cm="1">
        <f t="array" aca="1" ref="J1519" ca="1">_xlfn.IFS(qhkz_4dqm[[#This Row],[vehicle_age]]&lt;=3,"Newer",qhkz_4dqm[[#This Row],[vehicle_age]]&lt;=9,"Mid-age",qhkz_4dqm[[#This Row],[vehicle_age]]&lt;=19,"Older",qhkz_4dqm[[#This Row],[vehicle_age]]&gt;=20,"Very Old")</f>
        <v>Mid-age</v>
      </c>
    </row>
    <row r="1520" spans="1:10">
      <c r="A1520" s="2">
        <v>24151454</v>
      </c>
      <c r="B1520" s="2">
        <v>2415145401</v>
      </c>
      <c r="C1520" s="2">
        <v>1</v>
      </c>
      <c r="D1520" s="2">
        <v>2019</v>
      </c>
      <c r="E1520" s="2">
        <v>1</v>
      </c>
      <c r="F1520" s="2">
        <v>79.72</v>
      </c>
      <c r="G1520" s="2">
        <v>279.64999999999998</v>
      </c>
      <c r="H1520" s="2" t="str">
        <f>VLOOKUP(qhkz_4dqm[[#This Row],[fuel_type]],lookup!A:B,2,FALSE)</f>
        <v>Gasoline</v>
      </c>
      <c r="I1520" s="2">
        <f ca="1">YEAR(TODAY())-qhkz_4dqm[[#This Row],[year]]</f>
        <v>7</v>
      </c>
      <c r="J1520" s="2" t="str" cm="1">
        <f t="array" aca="1" ref="J1520" ca="1">_xlfn.IFS(qhkz_4dqm[[#This Row],[vehicle_age]]&lt;=3,"Newer",qhkz_4dqm[[#This Row],[vehicle_age]]&lt;=9,"Mid-age",qhkz_4dqm[[#This Row],[vehicle_age]]&lt;=19,"Older",qhkz_4dqm[[#This Row],[vehicle_age]]&gt;=20,"Very Old")</f>
        <v>Mid-age</v>
      </c>
    </row>
    <row r="1521" spans="1:10">
      <c r="A1521" s="2">
        <v>24151464</v>
      </c>
      <c r="B1521" s="2">
        <v>2415146401</v>
      </c>
      <c r="C1521" s="2">
        <v>1</v>
      </c>
      <c r="D1521" s="2">
        <v>2012</v>
      </c>
      <c r="E1521" s="2">
        <v>1</v>
      </c>
      <c r="F1521" s="2">
        <v>198.86</v>
      </c>
      <c r="G1521" s="2">
        <v>739.6</v>
      </c>
      <c r="H1521" s="2" t="str">
        <f>VLOOKUP(qhkz_4dqm[[#This Row],[fuel_type]],lookup!A:B,2,FALSE)</f>
        <v>Gasoline</v>
      </c>
      <c r="I1521" s="2">
        <f ca="1">YEAR(TODAY())-qhkz_4dqm[[#This Row],[year]]</f>
        <v>14</v>
      </c>
      <c r="J1521" s="2" t="str" cm="1">
        <f t="array" aca="1" ref="J1521" ca="1">_xlfn.IFS(qhkz_4dqm[[#This Row],[vehicle_age]]&lt;=3,"Newer",qhkz_4dqm[[#This Row],[vehicle_age]]&lt;=9,"Mid-age",qhkz_4dqm[[#This Row],[vehicle_age]]&lt;=19,"Older",qhkz_4dqm[[#This Row],[vehicle_age]]&gt;=20,"Very Old")</f>
        <v>Older</v>
      </c>
    </row>
    <row r="1522" spans="1:10">
      <c r="A1522" s="2">
        <v>24151479</v>
      </c>
      <c r="B1522" s="2">
        <v>2415147901</v>
      </c>
      <c r="C1522" s="2">
        <v>1</v>
      </c>
      <c r="D1522" s="2">
        <v>2006</v>
      </c>
      <c r="E1522" s="2">
        <v>1</v>
      </c>
      <c r="F1522" s="2">
        <v>961.79</v>
      </c>
      <c r="G1522" s="2">
        <v>975.14</v>
      </c>
      <c r="H1522" s="2" t="str">
        <f>VLOOKUP(qhkz_4dqm[[#This Row],[fuel_type]],lookup!A:B,2,FALSE)</f>
        <v>Gasoline</v>
      </c>
      <c r="I1522" s="2">
        <f ca="1">YEAR(TODAY())-qhkz_4dqm[[#This Row],[year]]</f>
        <v>20</v>
      </c>
      <c r="J1522" s="2" t="str" cm="1">
        <f t="array" aca="1" ref="J1522" ca="1">_xlfn.IFS(qhkz_4dqm[[#This Row],[vehicle_age]]&lt;=3,"Newer",qhkz_4dqm[[#This Row],[vehicle_age]]&lt;=9,"Mid-age",qhkz_4dqm[[#This Row],[vehicle_age]]&lt;=19,"Older",qhkz_4dqm[[#This Row],[vehicle_age]]&gt;=20,"Very Old")</f>
        <v>Very Old</v>
      </c>
    </row>
    <row r="1523" spans="1:10">
      <c r="A1523" s="2">
        <v>24151487</v>
      </c>
      <c r="B1523" s="2">
        <v>2415148701</v>
      </c>
      <c r="C1523" s="2">
        <v>1</v>
      </c>
      <c r="D1523" s="2">
        <v>2004</v>
      </c>
      <c r="E1523" s="2">
        <v>1</v>
      </c>
      <c r="F1523" s="2">
        <v>777</v>
      </c>
      <c r="G1523" s="2">
        <v>406.54</v>
      </c>
      <c r="H1523" s="2" t="str">
        <f>VLOOKUP(qhkz_4dqm[[#This Row],[fuel_type]],lookup!A:B,2,FALSE)</f>
        <v>Gasoline</v>
      </c>
      <c r="I1523" s="2">
        <f ca="1">YEAR(TODAY())-qhkz_4dqm[[#This Row],[year]]</f>
        <v>22</v>
      </c>
      <c r="J1523" s="2" t="str" cm="1">
        <f t="array" aca="1" ref="J1523" ca="1">_xlfn.IFS(qhkz_4dqm[[#This Row],[vehicle_age]]&lt;=3,"Newer",qhkz_4dqm[[#This Row],[vehicle_age]]&lt;=9,"Mid-age",qhkz_4dqm[[#This Row],[vehicle_age]]&lt;=19,"Older",qhkz_4dqm[[#This Row],[vehicle_age]]&gt;=20,"Very Old")</f>
        <v>Very Old</v>
      </c>
    </row>
    <row r="1524" spans="1:10">
      <c r="A1524" s="2">
        <v>24151490</v>
      </c>
      <c r="B1524" s="2">
        <v>2415149001</v>
      </c>
      <c r="C1524" s="2">
        <v>1</v>
      </c>
      <c r="D1524" s="2">
        <v>2014</v>
      </c>
      <c r="E1524" s="2">
        <v>1</v>
      </c>
      <c r="F1524" s="2">
        <v>56.24</v>
      </c>
      <c r="G1524" s="2">
        <v>344.96</v>
      </c>
      <c r="H1524" s="2" t="str">
        <f>VLOOKUP(qhkz_4dqm[[#This Row],[fuel_type]],lookup!A:B,2,FALSE)</f>
        <v>Gasoline</v>
      </c>
      <c r="I1524" s="2">
        <f ca="1">YEAR(TODAY())-qhkz_4dqm[[#This Row],[year]]</f>
        <v>12</v>
      </c>
      <c r="J1524" s="2" t="str" cm="1">
        <f t="array" aca="1" ref="J1524" ca="1">_xlfn.IFS(qhkz_4dqm[[#This Row],[vehicle_age]]&lt;=3,"Newer",qhkz_4dqm[[#This Row],[vehicle_age]]&lt;=9,"Mid-age",qhkz_4dqm[[#This Row],[vehicle_age]]&lt;=19,"Older",qhkz_4dqm[[#This Row],[vehicle_age]]&gt;=20,"Very Old")</f>
        <v>Older</v>
      </c>
    </row>
    <row r="1525" spans="1:10">
      <c r="A1525" s="2">
        <v>24151492</v>
      </c>
      <c r="B1525" s="2">
        <v>2415149201</v>
      </c>
      <c r="C1525" s="2">
        <v>1</v>
      </c>
      <c r="D1525" s="2">
        <v>2022</v>
      </c>
      <c r="E1525" s="2">
        <v>1</v>
      </c>
      <c r="F1525" s="2">
        <v>0.92</v>
      </c>
      <c r="G1525" s="2">
        <v>129.51</v>
      </c>
      <c r="H1525" s="2" t="str">
        <f>VLOOKUP(qhkz_4dqm[[#This Row],[fuel_type]],lookup!A:B,2,FALSE)</f>
        <v>Gasoline</v>
      </c>
      <c r="I1525" s="2">
        <f ca="1">YEAR(TODAY())-qhkz_4dqm[[#This Row],[year]]</f>
        <v>4</v>
      </c>
      <c r="J1525" s="2" t="str" cm="1">
        <f t="array" aca="1" ref="J1525" ca="1">_xlfn.IFS(qhkz_4dqm[[#This Row],[vehicle_age]]&lt;=3,"Newer",qhkz_4dqm[[#This Row],[vehicle_age]]&lt;=9,"Mid-age",qhkz_4dqm[[#This Row],[vehicle_age]]&lt;=19,"Older",qhkz_4dqm[[#This Row],[vehicle_age]]&gt;=20,"Very Old")</f>
        <v>Mid-age</v>
      </c>
    </row>
    <row r="1526" spans="1:10">
      <c r="A1526" s="2">
        <v>24151517</v>
      </c>
      <c r="B1526" s="2">
        <v>2415151701</v>
      </c>
      <c r="C1526" s="2">
        <v>1</v>
      </c>
      <c r="D1526" s="2">
        <v>2016</v>
      </c>
      <c r="E1526" s="2">
        <v>1</v>
      </c>
      <c r="F1526" s="2">
        <v>2662.55</v>
      </c>
      <c r="G1526" s="2">
        <v>3045.25</v>
      </c>
      <c r="H1526" s="2" t="str">
        <f>VLOOKUP(qhkz_4dqm[[#This Row],[fuel_type]],lookup!A:B,2,FALSE)</f>
        <v>Gasoline</v>
      </c>
      <c r="I1526" s="2">
        <f ca="1">YEAR(TODAY())-qhkz_4dqm[[#This Row],[year]]</f>
        <v>10</v>
      </c>
      <c r="J1526" s="2" t="str" cm="1">
        <f t="array" aca="1" ref="J1526" ca="1">_xlfn.IFS(qhkz_4dqm[[#This Row],[vehicle_age]]&lt;=3,"Newer",qhkz_4dqm[[#This Row],[vehicle_age]]&lt;=9,"Mid-age",qhkz_4dqm[[#This Row],[vehicle_age]]&lt;=19,"Older",qhkz_4dqm[[#This Row],[vehicle_age]]&gt;=20,"Very Old")</f>
        <v>Older</v>
      </c>
    </row>
    <row r="1527" spans="1:10">
      <c r="A1527" s="2">
        <v>24151521</v>
      </c>
      <c r="B1527" s="2">
        <v>2415152101</v>
      </c>
      <c r="C1527" s="2">
        <v>1</v>
      </c>
      <c r="D1527" s="2">
        <v>2021</v>
      </c>
      <c r="E1527" s="2">
        <v>1</v>
      </c>
      <c r="F1527" s="2">
        <v>213.31</v>
      </c>
      <c r="G1527" s="2">
        <v>301.89999999999998</v>
      </c>
      <c r="H1527" s="2" t="str">
        <f>VLOOKUP(qhkz_4dqm[[#This Row],[fuel_type]],lookup!A:B,2,FALSE)</f>
        <v>Gasoline</v>
      </c>
      <c r="I1527" s="2">
        <f ca="1">YEAR(TODAY())-qhkz_4dqm[[#This Row],[year]]</f>
        <v>5</v>
      </c>
      <c r="J1527" s="2" t="str" cm="1">
        <f t="array" aca="1" ref="J1527" ca="1">_xlfn.IFS(qhkz_4dqm[[#This Row],[vehicle_age]]&lt;=3,"Newer",qhkz_4dqm[[#This Row],[vehicle_age]]&lt;=9,"Mid-age",qhkz_4dqm[[#This Row],[vehicle_age]]&lt;=19,"Older",qhkz_4dqm[[#This Row],[vehicle_age]]&gt;=20,"Very Old")</f>
        <v>Mid-age</v>
      </c>
    </row>
    <row r="1528" spans="1:10">
      <c r="A1528" s="2">
        <v>24151546</v>
      </c>
      <c r="B1528" s="2">
        <v>2415154601</v>
      </c>
      <c r="C1528" s="2">
        <v>1</v>
      </c>
      <c r="D1528" s="2">
        <v>2023</v>
      </c>
      <c r="E1528" s="2">
        <v>1</v>
      </c>
      <c r="F1528" s="2">
        <v>20.85</v>
      </c>
      <c r="G1528" s="2">
        <v>345.82</v>
      </c>
      <c r="H1528" s="2" t="str">
        <f>VLOOKUP(qhkz_4dqm[[#This Row],[fuel_type]],lookup!A:B,2,FALSE)</f>
        <v>Gasoline</v>
      </c>
      <c r="I1528" s="2">
        <f ca="1">YEAR(TODAY())-qhkz_4dqm[[#This Row],[year]]</f>
        <v>3</v>
      </c>
      <c r="J1528" s="2" t="str" cm="1">
        <f t="array" aca="1" ref="J1528" ca="1">_xlfn.IFS(qhkz_4dqm[[#This Row],[vehicle_age]]&lt;=3,"Newer",qhkz_4dqm[[#This Row],[vehicle_age]]&lt;=9,"Mid-age",qhkz_4dqm[[#This Row],[vehicle_age]]&lt;=19,"Older",qhkz_4dqm[[#This Row],[vehicle_age]]&gt;=20,"Very Old")</f>
        <v>Newer</v>
      </c>
    </row>
    <row r="1529" spans="1:10">
      <c r="A1529" s="2">
        <v>24151548</v>
      </c>
      <c r="B1529" s="2">
        <v>2415154801</v>
      </c>
      <c r="C1529" s="2">
        <v>1</v>
      </c>
      <c r="D1529" s="2">
        <v>2024</v>
      </c>
      <c r="E1529" s="2">
        <v>1</v>
      </c>
      <c r="F1529" s="2">
        <v>5475.61</v>
      </c>
      <c r="G1529" s="2">
        <v>4569.1099999999997</v>
      </c>
      <c r="H1529" s="2" t="str">
        <f>VLOOKUP(qhkz_4dqm[[#This Row],[fuel_type]],lookup!A:B,2,FALSE)</f>
        <v>Gasoline</v>
      </c>
      <c r="I1529" s="2">
        <f ca="1">YEAR(TODAY())-qhkz_4dqm[[#This Row],[year]]</f>
        <v>2</v>
      </c>
      <c r="J1529" s="2" t="str" cm="1">
        <f t="array" aca="1" ref="J1529" ca="1">_xlfn.IFS(qhkz_4dqm[[#This Row],[vehicle_age]]&lt;=3,"Newer",qhkz_4dqm[[#This Row],[vehicle_age]]&lt;=9,"Mid-age",qhkz_4dqm[[#This Row],[vehicle_age]]&lt;=19,"Older",qhkz_4dqm[[#This Row],[vehicle_age]]&gt;=20,"Very Old")</f>
        <v>Newer</v>
      </c>
    </row>
    <row r="1530" spans="1:10">
      <c r="A1530" s="2">
        <v>24151549</v>
      </c>
      <c r="B1530" s="2">
        <v>2415154901</v>
      </c>
      <c r="C1530" s="2">
        <v>1</v>
      </c>
      <c r="D1530" s="2">
        <v>2021</v>
      </c>
      <c r="E1530" s="2">
        <v>1</v>
      </c>
      <c r="F1530" s="2">
        <v>706.06</v>
      </c>
      <c r="G1530" s="2">
        <v>635.48</v>
      </c>
      <c r="H1530" s="2" t="str">
        <f>VLOOKUP(qhkz_4dqm[[#This Row],[fuel_type]],lookup!A:B,2,FALSE)</f>
        <v>Gasoline</v>
      </c>
      <c r="I1530" s="2">
        <f ca="1">YEAR(TODAY())-qhkz_4dqm[[#This Row],[year]]</f>
        <v>5</v>
      </c>
      <c r="J1530" s="2" t="str" cm="1">
        <f t="array" aca="1" ref="J1530" ca="1">_xlfn.IFS(qhkz_4dqm[[#This Row],[vehicle_age]]&lt;=3,"Newer",qhkz_4dqm[[#This Row],[vehicle_age]]&lt;=9,"Mid-age",qhkz_4dqm[[#This Row],[vehicle_age]]&lt;=19,"Older",qhkz_4dqm[[#This Row],[vehicle_age]]&gt;=20,"Very Old")</f>
        <v>Mid-age</v>
      </c>
    </row>
    <row r="1531" spans="1:10">
      <c r="A1531" s="2">
        <v>24151551</v>
      </c>
      <c r="B1531" s="2">
        <v>2415155101</v>
      </c>
      <c r="C1531" s="2">
        <v>1</v>
      </c>
      <c r="D1531" s="2">
        <v>2020</v>
      </c>
      <c r="E1531" s="2">
        <v>1</v>
      </c>
      <c r="F1531" s="2">
        <v>165.2</v>
      </c>
      <c r="G1531" s="2">
        <v>96.86</v>
      </c>
      <c r="H1531" s="2" t="str">
        <f>VLOOKUP(qhkz_4dqm[[#This Row],[fuel_type]],lookup!A:B,2,FALSE)</f>
        <v>Gasoline</v>
      </c>
      <c r="I1531" s="2">
        <f ca="1">YEAR(TODAY())-qhkz_4dqm[[#This Row],[year]]</f>
        <v>6</v>
      </c>
      <c r="J1531" s="2" t="str" cm="1">
        <f t="array" aca="1" ref="J1531" ca="1">_xlfn.IFS(qhkz_4dqm[[#This Row],[vehicle_age]]&lt;=3,"Newer",qhkz_4dqm[[#This Row],[vehicle_age]]&lt;=9,"Mid-age",qhkz_4dqm[[#This Row],[vehicle_age]]&lt;=19,"Older",qhkz_4dqm[[#This Row],[vehicle_age]]&gt;=20,"Very Old")</f>
        <v>Mid-age</v>
      </c>
    </row>
    <row r="1532" spans="1:10">
      <c r="A1532" s="2">
        <v>24151576</v>
      </c>
      <c r="B1532" s="2">
        <v>2415157601</v>
      </c>
      <c r="C1532" s="2">
        <v>1</v>
      </c>
      <c r="D1532" s="2">
        <v>2023</v>
      </c>
      <c r="E1532" s="2">
        <v>1</v>
      </c>
      <c r="F1532" s="2">
        <v>4.3899999999999997</v>
      </c>
      <c r="G1532" s="2">
        <v>186.15</v>
      </c>
      <c r="H1532" s="2" t="str">
        <f>VLOOKUP(qhkz_4dqm[[#This Row],[fuel_type]],lookup!A:B,2,FALSE)</f>
        <v>Gasoline</v>
      </c>
      <c r="I1532" s="2">
        <f ca="1">YEAR(TODAY())-qhkz_4dqm[[#This Row],[year]]</f>
        <v>3</v>
      </c>
      <c r="J1532" s="2" t="str" cm="1">
        <f t="array" aca="1" ref="J1532" ca="1">_xlfn.IFS(qhkz_4dqm[[#This Row],[vehicle_age]]&lt;=3,"Newer",qhkz_4dqm[[#This Row],[vehicle_age]]&lt;=9,"Mid-age",qhkz_4dqm[[#This Row],[vehicle_age]]&lt;=19,"Older",qhkz_4dqm[[#This Row],[vehicle_age]]&gt;=20,"Very Old")</f>
        <v>Newer</v>
      </c>
    </row>
    <row r="1533" spans="1:10">
      <c r="A1533" s="2">
        <v>24151583</v>
      </c>
      <c r="B1533" s="2">
        <v>2415158301</v>
      </c>
      <c r="C1533" s="2">
        <v>1</v>
      </c>
      <c r="D1533" s="2">
        <v>2019</v>
      </c>
      <c r="E1533" s="2">
        <v>1</v>
      </c>
      <c r="F1533" s="2">
        <v>438.17</v>
      </c>
      <c r="G1533" s="2">
        <v>717.53</v>
      </c>
      <c r="H1533" s="2" t="str">
        <f>VLOOKUP(qhkz_4dqm[[#This Row],[fuel_type]],lookup!A:B,2,FALSE)</f>
        <v>Gasoline</v>
      </c>
      <c r="I1533" s="2">
        <f ca="1">YEAR(TODAY())-qhkz_4dqm[[#This Row],[year]]</f>
        <v>7</v>
      </c>
      <c r="J1533" s="2" t="str" cm="1">
        <f t="array" aca="1" ref="J1533" ca="1">_xlfn.IFS(qhkz_4dqm[[#This Row],[vehicle_age]]&lt;=3,"Newer",qhkz_4dqm[[#This Row],[vehicle_age]]&lt;=9,"Mid-age",qhkz_4dqm[[#This Row],[vehicle_age]]&lt;=19,"Older",qhkz_4dqm[[#This Row],[vehicle_age]]&gt;=20,"Very Old")</f>
        <v>Mid-age</v>
      </c>
    </row>
    <row r="1534" spans="1:10">
      <c r="A1534" s="2">
        <v>24151617</v>
      </c>
      <c r="B1534" s="2">
        <v>2415161701</v>
      </c>
      <c r="C1534" s="2">
        <v>1</v>
      </c>
      <c r="D1534" s="2">
        <v>2021</v>
      </c>
      <c r="E1534" s="2">
        <v>1</v>
      </c>
      <c r="F1534" s="2">
        <v>1752.1</v>
      </c>
      <c r="G1534" s="2">
        <v>957.39</v>
      </c>
      <c r="H1534" s="2" t="str">
        <f>VLOOKUP(qhkz_4dqm[[#This Row],[fuel_type]],lookup!A:B,2,FALSE)</f>
        <v>Gasoline</v>
      </c>
      <c r="I1534" s="2">
        <f ca="1">YEAR(TODAY())-qhkz_4dqm[[#This Row],[year]]</f>
        <v>5</v>
      </c>
      <c r="J1534" s="2" t="str" cm="1">
        <f t="array" aca="1" ref="J1534" ca="1">_xlfn.IFS(qhkz_4dqm[[#This Row],[vehicle_age]]&lt;=3,"Newer",qhkz_4dqm[[#This Row],[vehicle_age]]&lt;=9,"Mid-age",qhkz_4dqm[[#This Row],[vehicle_age]]&lt;=19,"Older",qhkz_4dqm[[#This Row],[vehicle_age]]&gt;=20,"Very Old")</f>
        <v>Mid-age</v>
      </c>
    </row>
    <row r="1535" spans="1:10">
      <c r="A1535" s="2">
        <v>24151620</v>
      </c>
      <c r="B1535" s="2">
        <v>2415162001</v>
      </c>
      <c r="C1535" s="2">
        <v>1</v>
      </c>
      <c r="D1535" s="2">
        <v>2013</v>
      </c>
      <c r="E1535" s="2">
        <v>1</v>
      </c>
      <c r="F1535" s="2">
        <v>57.81</v>
      </c>
      <c r="G1535" s="2">
        <v>345.63</v>
      </c>
      <c r="H1535" s="2" t="str">
        <f>VLOOKUP(qhkz_4dqm[[#This Row],[fuel_type]],lookup!A:B,2,FALSE)</f>
        <v>Gasoline</v>
      </c>
      <c r="I1535" s="2">
        <f ca="1">YEAR(TODAY())-qhkz_4dqm[[#This Row],[year]]</f>
        <v>13</v>
      </c>
      <c r="J1535" s="2" t="str" cm="1">
        <f t="array" aca="1" ref="J1535" ca="1">_xlfn.IFS(qhkz_4dqm[[#This Row],[vehicle_age]]&lt;=3,"Newer",qhkz_4dqm[[#This Row],[vehicle_age]]&lt;=9,"Mid-age",qhkz_4dqm[[#This Row],[vehicle_age]]&lt;=19,"Older",qhkz_4dqm[[#This Row],[vehicle_age]]&gt;=20,"Very Old")</f>
        <v>Older</v>
      </c>
    </row>
    <row r="1536" spans="1:10">
      <c r="A1536" s="2">
        <v>24151622</v>
      </c>
      <c r="B1536" s="2">
        <v>2415162201</v>
      </c>
      <c r="C1536" s="2">
        <v>1</v>
      </c>
      <c r="D1536" s="2">
        <v>2003</v>
      </c>
      <c r="E1536" s="2">
        <v>1</v>
      </c>
      <c r="F1536" s="2">
        <v>1.83</v>
      </c>
      <c r="G1536" s="2">
        <v>129.66999999999999</v>
      </c>
      <c r="H1536" s="2" t="str">
        <f>VLOOKUP(qhkz_4dqm[[#This Row],[fuel_type]],lookup!A:B,2,FALSE)</f>
        <v>Gasoline</v>
      </c>
      <c r="I1536" s="2">
        <f ca="1">YEAR(TODAY())-qhkz_4dqm[[#This Row],[year]]</f>
        <v>23</v>
      </c>
      <c r="J1536" s="2" t="str" cm="1">
        <f t="array" aca="1" ref="J1536" ca="1">_xlfn.IFS(qhkz_4dqm[[#This Row],[vehicle_age]]&lt;=3,"Newer",qhkz_4dqm[[#This Row],[vehicle_age]]&lt;=9,"Mid-age",qhkz_4dqm[[#This Row],[vehicle_age]]&lt;=19,"Older",qhkz_4dqm[[#This Row],[vehicle_age]]&gt;=20,"Very Old")</f>
        <v>Very Old</v>
      </c>
    </row>
    <row r="1537" spans="1:10">
      <c r="A1537" s="2">
        <v>24151624</v>
      </c>
      <c r="B1537" s="2">
        <v>2415162401</v>
      </c>
      <c r="C1537" s="2">
        <v>1</v>
      </c>
      <c r="D1537" s="2">
        <v>2017</v>
      </c>
      <c r="E1537" s="2">
        <v>1</v>
      </c>
      <c r="F1537" s="2">
        <v>10.050000000000001</v>
      </c>
      <c r="G1537" s="2">
        <v>145.11000000000001</v>
      </c>
      <c r="H1537" s="2" t="str">
        <f>VLOOKUP(qhkz_4dqm[[#This Row],[fuel_type]],lookup!A:B,2,FALSE)</f>
        <v>Gasoline</v>
      </c>
      <c r="I1537" s="2">
        <f ca="1">YEAR(TODAY())-qhkz_4dqm[[#This Row],[year]]</f>
        <v>9</v>
      </c>
      <c r="J1537" s="2" t="str" cm="1">
        <f t="array" aca="1" ref="J1537" ca="1">_xlfn.IFS(qhkz_4dqm[[#This Row],[vehicle_age]]&lt;=3,"Newer",qhkz_4dqm[[#This Row],[vehicle_age]]&lt;=9,"Mid-age",qhkz_4dqm[[#This Row],[vehicle_age]]&lt;=19,"Older",qhkz_4dqm[[#This Row],[vehicle_age]]&gt;=20,"Very Old")</f>
        <v>Mid-age</v>
      </c>
    </row>
    <row r="1538" spans="1:10">
      <c r="A1538" s="2">
        <v>24151632</v>
      </c>
      <c r="B1538" s="2">
        <v>2415163201</v>
      </c>
      <c r="C1538" s="2">
        <v>1</v>
      </c>
      <c r="D1538" s="2">
        <v>2023</v>
      </c>
      <c r="E1538" s="2">
        <v>1</v>
      </c>
      <c r="F1538" s="2">
        <v>466.56</v>
      </c>
      <c r="G1538" s="2">
        <v>924.45</v>
      </c>
      <c r="H1538" s="2" t="str">
        <f>VLOOKUP(qhkz_4dqm[[#This Row],[fuel_type]],lookup!A:B,2,FALSE)</f>
        <v>Gasoline</v>
      </c>
      <c r="I1538" s="2">
        <f ca="1">YEAR(TODAY())-qhkz_4dqm[[#This Row],[year]]</f>
        <v>3</v>
      </c>
      <c r="J1538" s="2" t="str" cm="1">
        <f t="array" aca="1" ref="J1538" ca="1">_xlfn.IFS(qhkz_4dqm[[#This Row],[vehicle_age]]&lt;=3,"Newer",qhkz_4dqm[[#This Row],[vehicle_age]]&lt;=9,"Mid-age",qhkz_4dqm[[#This Row],[vehicle_age]]&lt;=19,"Older",qhkz_4dqm[[#This Row],[vehicle_age]]&gt;=20,"Very Old")</f>
        <v>Newer</v>
      </c>
    </row>
    <row r="1539" spans="1:10">
      <c r="A1539" s="2">
        <v>24151648</v>
      </c>
      <c r="B1539" s="2">
        <v>2415164801</v>
      </c>
      <c r="C1539" s="2">
        <v>1</v>
      </c>
      <c r="D1539" s="2">
        <v>2022</v>
      </c>
      <c r="E1539" s="2">
        <v>4</v>
      </c>
      <c r="F1539" s="2">
        <v>106.24</v>
      </c>
      <c r="G1539" s="2">
        <v>635.13</v>
      </c>
      <c r="H1539" s="2" t="str">
        <f>VLOOKUP(qhkz_4dqm[[#This Row],[fuel_type]],lookup!A:B,2,FALSE)</f>
        <v>Electric</v>
      </c>
      <c r="I1539" s="2">
        <f ca="1">YEAR(TODAY())-qhkz_4dqm[[#This Row],[year]]</f>
        <v>4</v>
      </c>
      <c r="J1539" s="2" t="str" cm="1">
        <f t="array" aca="1" ref="J1539" ca="1">_xlfn.IFS(qhkz_4dqm[[#This Row],[vehicle_age]]&lt;=3,"Newer",qhkz_4dqm[[#This Row],[vehicle_age]]&lt;=9,"Mid-age",qhkz_4dqm[[#This Row],[vehicle_age]]&lt;=19,"Older",qhkz_4dqm[[#This Row],[vehicle_age]]&gt;=20,"Very Old")</f>
        <v>Mid-age</v>
      </c>
    </row>
    <row r="1540" spans="1:10">
      <c r="A1540" s="2">
        <v>24151650</v>
      </c>
      <c r="B1540" s="2">
        <v>2415165001</v>
      </c>
      <c r="C1540" s="2">
        <v>1</v>
      </c>
      <c r="D1540" s="2">
        <v>2016</v>
      </c>
      <c r="E1540" s="2">
        <v>1</v>
      </c>
      <c r="F1540" s="2">
        <v>2626.13</v>
      </c>
      <c r="G1540" s="2">
        <v>279.64999999999998</v>
      </c>
      <c r="H1540" s="2" t="str">
        <f>VLOOKUP(qhkz_4dqm[[#This Row],[fuel_type]],lookup!A:B,2,FALSE)</f>
        <v>Gasoline</v>
      </c>
      <c r="I1540" s="2">
        <f ca="1">YEAR(TODAY())-qhkz_4dqm[[#This Row],[year]]</f>
        <v>10</v>
      </c>
      <c r="J1540" s="2" t="str" cm="1">
        <f t="array" aca="1" ref="J1540" ca="1">_xlfn.IFS(qhkz_4dqm[[#This Row],[vehicle_age]]&lt;=3,"Newer",qhkz_4dqm[[#This Row],[vehicle_age]]&lt;=9,"Mid-age",qhkz_4dqm[[#This Row],[vehicle_age]]&lt;=19,"Older",qhkz_4dqm[[#This Row],[vehicle_age]]&gt;=20,"Very Old")</f>
        <v>Older</v>
      </c>
    </row>
    <row r="1541" spans="1:10">
      <c r="A1541" s="2">
        <v>24151656</v>
      </c>
      <c r="B1541" s="2">
        <v>2415165601</v>
      </c>
      <c r="C1541" s="2">
        <v>1</v>
      </c>
      <c r="D1541" s="2">
        <v>2022</v>
      </c>
      <c r="E1541" s="2">
        <v>1</v>
      </c>
      <c r="F1541" s="2">
        <v>229.86</v>
      </c>
      <c r="G1541" s="2">
        <v>301.13</v>
      </c>
      <c r="H1541" s="2" t="str">
        <f>VLOOKUP(qhkz_4dqm[[#This Row],[fuel_type]],lookup!A:B,2,FALSE)</f>
        <v>Gasoline</v>
      </c>
      <c r="I1541" s="2">
        <f ca="1">YEAR(TODAY())-qhkz_4dqm[[#This Row],[year]]</f>
        <v>4</v>
      </c>
      <c r="J1541" s="2" t="str" cm="1">
        <f t="array" aca="1" ref="J1541" ca="1">_xlfn.IFS(qhkz_4dqm[[#This Row],[vehicle_age]]&lt;=3,"Newer",qhkz_4dqm[[#This Row],[vehicle_age]]&lt;=9,"Mid-age",qhkz_4dqm[[#This Row],[vehicle_age]]&lt;=19,"Older",qhkz_4dqm[[#This Row],[vehicle_age]]&gt;=20,"Very Old")</f>
        <v>Mid-age</v>
      </c>
    </row>
    <row r="1542" spans="1:10">
      <c r="A1542" s="2">
        <v>24151657</v>
      </c>
      <c r="B1542" s="2">
        <v>2415165701</v>
      </c>
      <c r="C1542" s="2">
        <v>1</v>
      </c>
      <c r="D1542" s="2">
        <v>2010</v>
      </c>
      <c r="E1542" s="2">
        <v>1</v>
      </c>
      <c r="F1542" s="2">
        <v>14.75</v>
      </c>
      <c r="G1542" s="2">
        <v>729.7</v>
      </c>
      <c r="H1542" s="2" t="str">
        <f>VLOOKUP(qhkz_4dqm[[#This Row],[fuel_type]],lookup!A:B,2,FALSE)</f>
        <v>Gasoline</v>
      </c>
      <c r="I1542" s="2">
        <f ca="1">YEAR(TODAY())-qhkz_4dqm[[#This Row],[year]]</f>
        <v>16</v>
      </c>
      <c r="J1542" s="2" t="str" cm="1">
        <f t="array" aca="1" ref="J1542" ca="1">_xlfn.IFS(qhkz_4dqm[[#This Row],[vehicle_age]]&lt;=3,"Newer",qhkz_4dqm[[#This Row],[vehicle_age]]&lt;=9,"Mid-age",qhkz_4dqm[[#This Row],[vehicle_age]]&lt;=19,"Older",qhkz_4dqm[[#This Row],[vehicle_age]]&gt;=20,"Very Old")</f>
        <v>Older</v>
      </c>
    </row>
    <row r="1543" spans="1:10">
      <c r="A1543" s="2">
        <v>24151669</v>
      </c>
      <c r="B1543" s="2">
        <v>2415166901</v>
      </c>
      <c r="C1543" s="2">
        <v>1</v>
      </c>
      <c r="D1543" s="2">
        <v>2001</v>
      </c>
      <c r="E1543" s="2">
        <v>1</v>
      </c>
      <c r="F1543" s="2">
        <v>1852.48</v>
      </c>
      <c r="G1543" s="2">
        <v>1917.96</v>
      </c>
      <c r="H1543" s="2" t="str">
        <f>VLOOKUP(qhkz_4dqm[[#This Row],[fuel_type]],lookup!A:B,2,FALSE)</f>
        <v>Gasoline</v>
      </c>
      <c r="I1543" s="2">
        <f ca="1">YEAR(TODAY())-qhkz_4dqm[[#This Row],[year]]</f>
        <v>25</v>
      </c>
      <c r="J1543" s="2" t="str" cm="1">
        <f t="array" aca="1" ref="J1543" ca="1">_xlfn.IFS(qhkz_4dqm[[#This Row],[vehicle_age]]&lt;=3,"Newer",qhkz_4dqm[[#This Row],[vehicle_age]]&lt;=9,"Mid-age",qhkz_4dqm[[#This Row],[vehicle_age]]&lt;=19,"Older",qhkz_4dqm[[#This Row],[vehicle_age]]&gt;=20,"Very Old")</f>
        <v>Very Old</v>
      </c>
    </row>
    <row r="1544" spans="1:10">
      <c r="A1544" s="2">
        <v>24151680</v>
      </c>
      <c r="B1544" s="2">
        <v>2415168001</v>
      </c>
      <c r="C1544" s="2">
        <v>1</v>
      </c>
      <c r="D1544" s="2">
        <v>2011</v>
      </c>
      <c r="E1544" s="2">
        <v>6</v>
      </c>
      <c r="F1544" s="2">
        <v>607.87</v>
      </c>
      <c r="G1544" s="2">
        <v>825.29</v>
      </c>
      <c r="H1544" s="2" t="str">
        <f>VLOOKUP(qhkz_4dqm[[#This Row],[fuel_type]],lookup!A:B,2,FALSE)</f>
        <v>Other</v>
      </c>
      <c r="I1544" s="2">
        <f ca="1">YEAR(TODAY())-qhkz_4dqm[[#This Row],[year]]</f>
        <v>15</v>
      </c>
      <c r="J1544" s="2" t="str" cm="1">
        <f t="array" aca="1" ref="J1544" ca="1">_xlfn.IFS(qhkz_4dqm[[#This Row],[vehicle_age]]&lt;=3,"Newer",qhkz_4dqm[[#This Row],[vehicle_age]]&lt;=9,"Mid-age",qhkz_4dqm[[#This Row],[vehicle_age]]&lt;=19,"Older",qhkz_4dqm[[#This Row],[vehicle_age]]&gt;=20,"Very Old")</f>
        <v>Older</v>
      </c>
    </row>
    <row r="1545" spans="1:10">
      <c r="A1545" s="2">
        <v>24151689</v>
      </c>
      <c r="B1545" s="2">
        <v>2415168901</v>
      </c>
      <c r="C1545" s="2">
        <v>1</v>
      </c>
      <c r="D1545" s="2">
        <v>2008</v>
      </c>
      <c r="E1545" s="2">
        <v>1</v>
      </c>
      <c r="F1545" s="2">
        <v>34.58</v>
      </c>
      <c r="G1545" s="2">
        <v>1489.69</v>
      </c>
      <c r="H1545" s="2" t="str">
        <f>VLOOKUP(qhkz_4dqm[[#This Row],[fuel_type]],lookup!A:B,2,FALSE)</f>
        <v>Gasoline</v>
      </c>
      <c r="I1545" s="2">
        <f ca="1">YEAR(TODAY())-qhkz_4dqm[[#This Row],[year]]</f>
        <v>18</v>
      </c>
      <c r="J1545" s="2" t="str" cm="1">
        <f t="array" aca="1" ref="J1545" ca="1">_xlfn.IFS(qhkz_4dqm[[#This Row],[vehicle_age]]&lt;=3,"Newer",qhkz_4dqm[[#This Row],[vehicle_age]]&lt;=9,"Mid-age",qhkz_4dqm[[#This Row],[vehicle_age]]&lt;=19,"Older",qhkz_4dqm[[#This Row],[vehicle_age]]&gt;=20,"Very Old")</f>
        <v>Older</v>
      </c>
    </row>
    <row r="1546" spans="1:10">
      <c r="A1546" s="2">
        <v>24151694</v>
      </c>
      <c r="B1546" s="2">
        <v>2415169401</v>
      </c>
      <c r="C1546" s="2">
        <v>1</v>
      </c>
      <c r="D1546" s="2">
        <v>2021</v>
      </c>
      <c r="E1546" s="2">
        <v>1</v>
      </c>
      <c r="F1546" s="2">
        <v>62.07</v>
      </c>
      <c r="G1546" s="2">
        <v>290.99</v>
      </c>
      <c r="H1546" s="2" t="str">
        <f>VLOOKUP(qhkz_4dqm[[#This Row],[fuel_type]],lookup!A:B,2,FALSE)</f>
        <v>Gasoline</v>
      </c>
      <c r="I1546" s="2">
        <f ca="1">YEAR(TODAY())-qhkz_4dqm[[#This Row],[year]]</f>
        <v>5</v>
      </c>
      <c r="J1546" s="2" t="str" cm="1">
        <f t="array" aca="1" ref="J1546" ca="1">_xlfn.IFS(qhkz_4dqm[[#This Row],[vehicle_age]]&lt;=3,"Newer",qhkz_4dqm[[#This Row],[vehicle_age]]&lt;=9,"Mid-age",qhkz_4dqm[[#This Row],[vehicle_age]]&lt;=19,"Older",qhkz_4dqm[[#This Row],[vehicle_age]]&gt;=20,"Very Old")</f>
        <v>Mid-age</v>
      </c>
    </row>
    <row r="1547" spans="1:10">
      <c r="A1547" s="2">
        <v>24151703</v>
      </c>
      <c r="B1547" s="2">
        <v>2415170301</v>
      </c>
      <c r="C1547" s="2">
        <v>1</v>
      </c>
      <c r="D1547" s="2">
        <v>2019</v>
      </c>
      <c r="E1547" s="2">
        <v>1</v>
      </c>
      <c r="F1547" s="2">
        <v>762.39</v>
      </c>
      <c r="G1547" s="2">
        <v>1723.2</v>
      </c>
      <c r="H1547" s="2" t="str">
        <f>VLOOKUP(qhkz_4dqm[[#This Row],[fuel_type]],lookup!A:B,2,FALSE)</f>
        <v>Gasoline</v>
      </c>
      <c r="I1547" s="2">
        <f ca="1">YEAR(TODAY())-qhkz_4dqm[[#This Row],[year]]</f>
        <v>7</v>
      </c>
      <c r="J1547" s="2" t="str" cm="1">
        <f t="array" aca="1" ref="J1547" ca="1">_xlfn.IFS(qhkz_4dqm[[#This Row],[vehicle_age]]&lt;=3,"Newer",qhkz_4dqm[[#This Row],[vehicle_age]]&lt;=9,"Mid-age",qhkz_4dqm[[#This Row],[vehicle_age]]&lt;=19,"Older",qhkz_4dqm[[#This Row],[vehicle_age]]&gt;=20,"Very Old")</f>
        <v>Mid-age</v>
      </c>
    </row>
    <row r="1548" spans="1:10">
      <c r="A1548" s="2">
        <v>24151720</v>
      </c>
      <c r="B1548" s="2">
        <v>2415172001</v>
      </c>
      <c r="C1548" s="2">
        <v>1</v>
      </c>
      <c r="D1548" s="2">
        <v>2015</v>
      </c>
      <c r="E1548" s="2">
        <v>1</v>
      </c>
      <c r="F1548" s="2">
        <v>92.98</v>
      </c>
      <c r="G1548" s="2">
        <v>258.64</v>
      </c>
      <c r="H1548" s="2" t="str">
        <f>VLOOKUP(qhkz_4dqm[[#This Row],[fuel_type]],lookup!A:B,2,FALSE)</f>
        <v>Gasoline</v>
      </c>
      <c r="I1548" s="2">
        <f ca="1">YEAR(TODAY())-qhkz_4dqm[[#This Row],[year]]</f>
        <v>11</v>
      </c>
      <c r="J1548" s="2" t="str" cm="1">
        <f t="array" aca="1" ref="J1548" ca="1">_xlfn.IFS(qhkz_4dqm[[#This Row],[vehicle_age]]&lt;=3,"Newer",qhkz_4dqm[[#This Row],[vehicle_age]]&lt;=9,"Mid-age",qhkz_4dqm[[#This Row],[vehicle_age]]&lt;=19,"Older",qhkz_4dqm[[#This Row],[vehicle_age]]&gt;=20,"Very Old")</f>
        <v>Older</v>
      </c>
    </row>
    <row r="1549" spans="1:10">
      <c r="A1549" s="2">
        <v>24151722</v>
      </c>
      <c r="B1549" s="2">
        <v>2415172201</v>
      </c>
      <c r="C1549" s="2">
        <v>1</v>
      </c>
      <c r="D1549" s="2">
        <v>2019</v>
      </c>
      <c r="E1549" s="2">
        <v>1</v>
      </c>
      <c r="F1549" s="2">
        <v>1531.91</v>
      </c>
      <c r="G1549" s="2">
        <v>1216.02</v>
      </c>
      <c r="H1549" s="2" t="str">
        <f>VLOOKUP(qhkz_4dqm[[#This Row],[fuel_type]],lookup!A:B,2,FALSE)</f>
        <v>Gasoline</v>
      </c>
      <c r="I1549" s="2">
        <f ca="1">YEAR(TODAY())-qhkz_4dqm[[#This Row],[year]]</f>
        <v>7</v>
      </c>
      <c r="J1549" s="2" t="str" cm="1">
        <f t="array" aca="1" ref="J1549" ca="1">_xlfn.IFS(qhkz_4dqm[[#This Row],[vehicle_age]]&lt;=3,"Newer",qhkz_4dqm[[#This Row],[vehicle_age]]&lt;=9,"Mid-age",qhkz_4dqm[[#This Row],[vehicle_age]]&lt;=19,"Older",qhkz_4dqm[[#This Row],[vehicle_age]]&gt;=20,"Very Old")</f>
        <v>Mid-age</v>
      </c>
    </row>
    <row r="1550" spans="1:10">
      <c r="A1550" s="2">
        <v>24151730</v>
      </c>
      <c r="B1550" s="2">
        <v>2415173001</v>
      </c>
      <c r="C1550" s="2">
        <v>1</v>
      </c>
      <c r="D1550" s="2">
        <v>2015</v>
      </c>
      <c r="E1550" s="2">
        <v>1</v>
      </c>
      <c r="F1550" s="2">
        <v>313.98</v>
      </c>
      <c r="G1550" s="2">
        <v>1236.6500000000001</v>
      </c>
      <c r="H1550" s="2" t="str">
        <f>VLOOKUP(qhkz_4dqm[[#This Row],[fuel_type]],lookup!A:B,2,FALSE)</f>
        <v>Gasoline</v>
      </c>
      <c r="I1550" s="2">
        <f ca="1">YEAR(TODAY())-qhkz_4dqm[[#This Row],[year]]</f>
        <v>11</v>
      </c>
      <c r="J1550" s="2" t="str" cm="1">
        <f t="array" aca="1" ref="J1550" ca="1">_xlfn.IFS(qhkz_4dqm[[#This Row],[vehicle_age]]&lt;=3,"Newer",qhkz_4dqm[[#This Row],[vehicle_age]]&lt;=9,"Mid-age",qhkz_4dqm[[#This Row],[vehicle_age]]&lt;=19,"Older",qhkz_4dqm[[#This Row],[vehicle_age]]&gt;=20,"Very Old")</f>
        <v>Older</v>
      </c>
    </row>
    <row r="1551" spans="1:10">
      <c r="A1551" s="2">
        <v>24151740</v>
      </c>
      <c r="B1551" s="2">
        <v>2415174001</v>
      </c>
      <c r="C1551" s="2">
        <v>1</v>
      </c>
      <c r="D1551" s="2">
        <v>2015</v>
      </c>
      <c r="E1551" s="2">
        <v>1</v>
      </c>
      <c r="F1551" s="2">
        <v>11.34</v>
      </c>
      <c r="G1551" s="2">
        <v>397.27</v>
      </c>
      <c r="H1551" s="2" t="str">
        <f>VLOOKUP(qhkz_4dqm[[#This Row],[fuel_type]],lookup!A:B,2,FALSE)</f>
        <v>Gasoline</v>
      </c>
      <c r="I1551" s="2">
        <f ca="1">YEAR(TODAY())-qhkz_4dqm[[#This Row],[year]]</f>
        <v>11</v>
      </c>
      <c r="J1551" s="2" t="str" cm="1">
        <f t="array" aca="1" ref="J1551" ca="1">_xlfn.IFS(qhkz_4dqm[[#This Row],[vehicle_age]]&lt;=3,"Newer",qhkz_4dqm[[#This Row],[vehicle_age]]&lt;=9,"Mid-age",qhkz_4dqm[[#This Row],[vehicle_age]]&lt;=19,"Older",qhkz_4dqm[[#This Row],[vehicle_age]]&gt;=20,"Very Old")</f>
        <v>Older</v>
      </c>
    </row>
    <row r="1552" spans="1:10">
      <c r="A1552" s="2">
        <v>24151742</v>
      </c>
      <c r="B1552" s="2">
        <v>2415174201</v>
      </c>
      <c r="C1552" s="2">
        <v>1</v>
      </c>
      <c r="D1552" s="2">
        <v>2019</v>
      </c>
      <c r="E1552" s="2">
        <v>1</v>
      </c>
      <c r="F1552" s="2">
        <v>981.02</v>
      </c>
      <c r="G1552" s="2">
        <v>936.04</v>
      </c>
      <c r="H1552" s="2" t="str">
        <f>VLOOKUP(qhkz_4dqm[[#This Row],[fuel_type]],lookup!A:B,2,FALSE)</f>
        <v>Gasoline</v>
      </c>
      <c r="I1552" s="2">
        <f ca="1">YEAR(TODAY())-qhkz_4dqm[[#This Row],[year]]</f>
        <v>7</v>
      </c>
      <c r="J1552" s="2" t="str" cm="1">
        <f t="array" aca="1" ref="J1552" ca="1">_xlfn.IFS(qhkz_4dqm[[#This Row],[vehicle_age]]&lt;=3,"Newer",qhkz_4dqm[[#This Row],[vehicle_age]]&lt;=9,"Mid-age",qhkz_4dqm[[#This Row],[vehicle_age]]&lt;=19,"Older",qhkz_4dqm[[#This Row],[vehicle_age]]&gt;=20,"Very Old")</f>
        <v>Mid-age</v>
      </c>
    </row>
    <row r="1553" spans="1:10">
      <c r="A1553" s="2">
        <v>24151743</v>
      </c>
      <c r="B1553" s="2">
        <v>2415174301</v>
      </c>
      <c r="C1553" s="2">
        <v>1</v>
      </c>
      <c r="D1553" s="2">
        <v>2019</v>
      </c>
      <c r="E1553" s="2">
        <v>1</v>
      </c>
      <c r="F1553" s="2">
        <v>157.74</v>
      </c>
      <c r="G1553" s="2">
        <v>1178.8</v>
      </c>
      <c r="H1553" s="2" t="str">
        <f>VLOOKUP(qhkz_4dqm[[#This Row],[fuel_type]],lookup!A:B,2,FALSE)</f>
        <v>Gasoline</v>
      </c>
      <c r="I1553" s="2">
        <f ca="1">YEAR(TODAY())-qhkz_4dqm[[#This Row],[year]]</f>
        <v>7</v>
      </c>
      <c r="J1553" s="2" t="str" cm="1">
        <f t="array" aca="1" ref="J1553" ca="1">_xlfn.IFS(qhkz_4dqm[[#This Row],[vehicle_age]]&lt;=3,"Newer",qhkz_4dqm[[#This Row],[vehicle_age]]&lt;=9,"Mid-age",qhkz_4dqm[[#This Row],[vehicle_age]]&lt;=19,"Older",qhkz_4dqm[[#This Row],[vehicle_age]]&gt;=20,"Very Old")</f>
        <v>Mid-age</v>
      </c>
    </row>
    <row r="1554" spans="1:10">
      <c r="A1554" s="2">
        <v>24151747</v>
      </c>
      <c r="B1554" s="2">
        <v>2415174701</v>
      </c>
      <c r="C1554" s="2">
        <v>1</v>
      </c>
      <c r="D1554" s="2">
        <v>2011</v>
      </c>
      <c r="E1554" s="2">
        <v>1</v>
      </c>
      <c r="F1554" s="2">
        <v>3046.41</v>
      </c>
      <c r="G1554" s="2">
        <v>2281.6</v>
      </c>
      <c r="H1554" s="2" t="str">
        <f>VLOOKUP(qhkz_4dqm[[#This Row],[fuel_type]],lookup!A:B,2,FALSE)</f>
        <v>Gasoline</v>
      </c>
      <c r="I1554" s="2">
        <f ca="1">YEAR(TODAY())-qhkz_4dqm[[#This Row],[year]]</f>
        <v>15</v>
      </c>
      <c r="J1554" s="2" t="str" cm="1">
        <f t="array" aca="1" ref="J1554" ca="1">_xlfn.IFS(qhkz_4dqm[[#This Row],[vehicle_age]]&lt;=3,"Newer",qhkz_4dqm[[#This Row],[vehicle_age]]&lt;=9,"Mid-age",qhkz_4dqm[[#This Row],[vehicle_age]]&lt;=19,"Older",qhkz_4dqm[[#This Row],[vehicle_age]]&gt;=20,"Very Old")</f>
        <v>Older</v>
      </c>
    </row>
    <row r="1555" spans="1:10">
      <c r="A1555" s="2">
        <v>24151751</v>
      </c>
      <c r="B1555" s="2">
        <v>2415175101</v>
      </c>
      <c r="C1555" s="2">
        <v>1</v>
      </c>
      <c r="D1555" s="2">
        <v>2004</v>
      </c>
      <c r="E1555" s="2">
        <v>1</v>
      </c>
      <c r="F1555" s="2">
        <v>155.74</v>
      </c>
      <c r="G1555" s="2">
        <v>372.43</v>
      </c>
      <c r="H1555" s="2" t="str">
        <f>VLOOKUP(qhkz_4dqm[[#This Row],[fuel_type]],lookup!A:B,2,FALSE)</f>
        <v>Gasoline</v>
      </c>
      <c r="I1555" s="2">
        <f ca="1">YEAR(TODAY())-qhkz_4dqm[[#This Row],[year]]</f>
        <v>22</v>
      </c>
      <c r="J1555" s="2" t="str" cm="1">
        <f t="array" aca="1" ref="J1555" ca="1">_xlfn.IFS(qhkz_4dqm[[#This Row],[vehicle_age]]&lt;=3,"Newer",qhkz_4dqm[[#This Row],[vehicle_age]]&lt;=9,"Mid-age",qhkz_4dqm[[#This Row],[vehicle_age]]&lt;=19,"Older",qhkz_4dqm[[#This Row],[vehicle_age]]&gt;=20,"Very Old")</f>
        <v>Very Old</v>
      </c>
    </row>
    <row r="1556" spans="1:10">
      <c r="A1556" s="2">
        <v>24151761</v>
      </c>
      <c r="B1556" s="2">
        <v>2415176101</v>
      </c>
      <c r="C1556" s="2">
        <v>1</v>
      </c>
      <c r="D1556" s="2">
        <v>2023</v>
      </c>
      <c r="E1556" s="2">
        <v>1</v>
      </c>
      <c r="F1556" s="2">
        <v>86.34</v>
      </c>
      <c r="G1556" s="2">
        <v>355.8</v>
      </c>
      <c r="H1556" s="2" t="str">
        <f>VLOOKUP(qhkz_4dqm[[#This Row],[fuel_type]],lookup!A:B,2,FALSE)</f>
        <v>Gasoline</v>
      </c>
      <c r="I1556" s="2">
        <f ca="1">YEAR(TODAY())-qhkz_4dqm[[#This Row],[year]]</f>
        <v>3</v>
      </c>
      <c r="J1556" s="2" t="str" cm="1">
        <f t="array" aca="1" ref="J1556" ca="1">_xlfn.IFS(qhkz_4dqm[[#This Row],[vehicle_age]]&lt;=3,"Newer",qhkz_4dqm[[#This Row],[vehicle_age]]&lt;=9,"Mid-age",qhkz_4dqm[[#This Row],[vehicle_age]]&lt;=19,"Older",qhkz_4dqm[[#This Row],[vehicle_age]]&gt;=20,"Very Old")</f>
        <v>Newer</v>
      </c>
    </row>
    <row r="1557" spans="1:10">
      <c r="A1557" s="2">
        <v>24151772</v>
      </c>
      <c r="B1557" s="2">
        <v>2415177201</v>
      </c>
      <c r="C1557" s="2">
        <v>1</v>
      </c>
      <c r="D1557" s="2">
        <v>2022</v>
      </c>
      <c r="E1557" s="2">
        <v>1</v>
      </c>
      <c r="F1557" s="2">
        <v>2080.4</v>
      </c>
      <c r="G1557" s="2">
        <v>3045.59</v>
      </c>
      <c r="H1557" s="2" t="str">
        <f>VLOOKUP(qhkz_4dqm[[#This Row],[fuel_type]],lookup!A:B,2,FALSE)</f>
        <v>Gasoline</v>
      </c>
      <c r="I1557" s="2">
        <f ca="1">YEAR(TODAY())-qhkz_4dqm[[#This Row],[year]]</f>
        <v>4</v>
      </c>
      <c r="J1557" s="2" t="str" cm="1">
        <f t="array" aca="1" ref="J1557" ca="1">_xlfn.IFS(qhkz_4dqm[[#This Row],[vehicle_age]]&lt;=3,"Newer",qhkz_4dqm[[#This Row],[vehicle_age]]&lt;=9,"Mid-age",qhkz_4dqm[[#This Row],[vehicle_age]]&lt;=19,"Older",qhkz_4dqm[[#This Row],[vehicle_age]]&gt;=20,"Very Old")</f>
        <v>Mid-age</v>
      </c>
    </row>
    <row r="1558" spans="1:10">
      <c r="A1558" s="2">
        <v>24151775</v>
      </c>
      <c r="B1558" s="2">
        <v>2415177501</v>
      </c>
      <c r="C1558" s="2">
        <v>1</v>
      </c>
      <c r="D1558" s="2">
        <v>2011</v>
      </c>
      <c r="E1558" s="2">
        <v>1</v>
      </c>
      <c r="F1558" s="2">
        <v>2468.59</v>
      </c>
      <c r="G1558" s="2">
        <v>1449.89</v>
      </c>
      <c r="H1558" s="2" t="str">
        <f>VLOOKUP(qhkz_4dqm[[#This Row],[fuel_type]],lookup!A:B,2,FALSE)</f>
        <v>Gasoline</v>
      </c>
      <c r="I1558" s="2">
        <f ca="1">YEAR(TODAY())-qhkz_4dqm[[#This Row],[year]]</f>
        <v>15</v>
      </c>
      <c r="J1558" s="2" t="str" cm="1">
        <f t="array" aca="1" ref="J1558" ca="1">_xlfn.IFS(qhkz_4dqm[[#This Row],[vehicle_age]]&lt;=3,"Newer",qhkz_4dqm[[#This Row],[vehicle_age]]&lt;=9,"Mid-age",qhkz_4dqm[[#This Row],[vehicle_age]]&lt;=19,"Older",qhkz_4dqm[[#This Row],[vehicle_age]]&gt;=20,"Very Old")</f>
        <v>Older</v>
      </c>
    </row>
    <row r="1559" spans="1:10">
      <c r="A1559" s="2">
        <v>24151779</v>
      </c>
      <c r="B1559" s="2">
        <v>2415177901</v>
      </c>
      <c r="C1559" s="2">
        <v>1</v>
      </c>
      <c r="D1559" s="2">
        <v>1992</v>
      </c>
      <c r="E1559" s="2">
        <v>1</v>
      </c>
      <c r="F1559" s="2">
        <v>0.92</v>
      </c>
      <c r="G1559" s="2">
        <v>451.98</v>
      </c>
      <c r="H1559" s="2" t="str">
        <f>VLOOKUP(qhkz_4dqm[[#This Row],[fuel_type]],lookup!A:B,2,FALSE)</f>
        <v>Gasoline</v>
      </c>
      <c r="I1559" s="2">
        <f ca="1">YEAR(TODAY())-qhkz_4dqm[[#This Row],[year]]</f>
        <v>34</v>
      </c>
      <c r="J1559" s="2" t="str" cm="1">
        <f t="array" aca="1" ref="J1559" ca="1">_xlfn.IFS(qhkz_4dqm[[#This Row],[vehicle_age]]&lt;=3,"Newer",qhkz_4dqm[[#This Row],[vehicle_age]]&lt;=9,"Mid-age",qhkz_4dqm[[#This Row],[vehicle_age]]&lt;=19,"Older",qhkz_4dqm[[#This Row],[vehicle_age]]&gt;=20,"Very Old")</f>
        <v>Very Old</v>
      </c>
    </row>
    <row r="1560" spans="1:10">
      <c r="A1560" s="2">
        <v>24151792</v>
      </c>
      <c r="B1560" s="2">
        <v>2415179201</v>
      </c>
      <c r="C1560" s="2">
        <v>1</v>
      </c>
      <c r="D1560" s="2">
        <v>2024</v>
      </c>
      <c r="E1560" s="2">
        <v>1</v>
      </c>
      <c r="F1560" s="2">
        <v>939.51</v>
      </c>
      <c r="G1560" s="2">
        <v>2957.55</v>
      </c>
      <c r="H1560" s="2" t="str">
        <f>VLOOKUP(qhkz_4dqm[[#This Row],[fuel_type]],lookup!A:B,2,FALSE)</f>
        <v>Gasoline</v>
      </c>
      <c r="I1560" s="2">
        <f ca="1">YEAR(TODAY())-qhkz_4dqm[[#This Row],[year]]</f>
        <v>2</v>
      </c>
      <c r="J1560" s="2" t="str" cm="1">
        <f t="array" aca="1" ref="J1560" ca="1">_xlfn.IFS(qhkz_4dqm[[#This Row],[vehicle_age]]&lt;=3,"Newer",qhkz_4dqm[[#This Row],[vehicle_age]]&lt;=9,"Mid-age",qhkz_4dqm[[#This Row],[vehicle_age]]&lt;=19,"Older",qhkz_4dqm[[#This Row],[vehicle_age]]&gt;=20,"Very Old")</f>
        <v>Newer</v>
      </c>
    </row>
    <row r="1561" spans="1:10">
      <c r="A1561" s="2">
        <v>24151829</v>
      </c>
      <c r="B1561" s="2">
        <v>2415182901</v>
      </c>
      <c r="C1561" s="2">
        <v>1</v>
      </c>
      <c r="D1561" s="2">
        <v>2005</v>
      </c>
      <c r="E1561" s="2">
        <v>1</v>
      </c>
      <c r="F1561" s="2">
        <v>106.11</v>
      </c>
      <c r="G1561" s="2">
        <v>519.23</v>
      </c>
      <c r="H1561" s="2" t="str">
        <f>VLOOKUP(qhkz_4dqm[[#This Row],[fuel_type]],lookup!A:B,2,FALSE)</f>
        <v>Gasoline</v>
      </c>
      <c r="I1561" s="2">
        <f ca="1">YEAR(TODAY())-qhkz_4dqm[[#This Row],[year]]</f>
        <v>21</v>
      </c>
      <c r="J1561" s="2" t="str" cm="1">
        <f t="array" aca="1" ref="J1561" ca="1">_xlfn.IFS(qhkz_4dqm[[#This Row],[vehicle_age]]&lt;=3,"Newer",qhkz_4dqm[[#This Row],[vehicle_age]]&lt;=9,"Mid-age",qhkz_4dqm[[#This Row],[vehicle_age]]&lt;=19,"Older",qhkz_4dqm[[#This Row],[vehicle_age]]&gt;=20,"Very Old")</f>
        <v>Very Old</v>
      </c>
    </row>
    <row r="1562" spans="1:10">
      <c r="A1562" s="2">
        <v>24151830</v>
      </c>
      <c r="B1562" s="2">
        <v>2415183001</v>
      </c>
      <c r="C1562" s="2">
        <v>1</v>
      </c>
      <c r="D1562" s="2">
        <v>2018</v>
      </c>
      <c r="E1562" s="2">
        <v>1</v>
      </c>
      <c r="F1562" s="2">
        <v>56.32</v>
      </c>
      <c r="G1562" s="2">
        <v>142.72999999999999</v>
      </c>
      <c r="H1562" s="2" t="str">
        <f>VLOOKUP(qhkz_4dqm[[#This Row],[fuel_type]],lookup!A:B,2,FALSE)</f>
        <v>Gasoline</v>
      </c>
      <c r="I1562" s="2">
        <f ca="1">YEAR(TODAY())-qhkz_4dqm[[#This Row],[year]]</f>
        <v>8</v>
      </c>
      <c r="J1562" s="2" t="str" cm="1">
        <f t="array" aca="1" ref="J1562" ca="1">_xlfn.IFS(qhkz_4dqm[[#This Row],[vehicle_age]]&lt;=3,"Newer",qhkz_4dqm[[#This Row],[vehicle_age]]&lt;=9,"Mid-age",qhkz_4dqm[[#This Row],[vehicle_age]]&lt;=19,"Older",qhkz_4dqm[[#This Row],[vehicle_age]]&gt;=20,"Very Old")</f>
        <v>Mid-age</v>
      </c>
    </row>
    <row r="1563" spans="1:10">
      <c r="A1563" s="2">
        <v>24151835</v>
      </c>
      <c r="B1563" s="2">
        <v>2415183501</v>
      </c>
      <c r="C1563" s="2">
        <v>1</v>
      </c>
      <c r="D1563" s="2">
        <v>2017</v>
      </c>
      <c r="E1563" s="2">
        <v>1</v>
      </c>
      <c r="F1563" s="2">
        <v>318.75</v>
      </c>
      <c r="G1563" s="2">
        <v>711.92</v>
      </c>
      <c r="H1563" s="2" t="str">
        <f>VLOOKUP(qhkz_4dqm[[#This Row],[fuel_type]],lookup!A:B,2,FALSE)</f>
        <v>Gasoline</v>
      </c>
      <c r="I1563" s="2">
        <f ca="1">YEAR(TODAY())-qhkz_4dqm[[#This Row],[year]]</f>
        <v>9</v>
      </c>
      <c r="J1563" s="2" t="str" cm="1">
        <f t="array" aca="1" ref="J1563" ca="1">_xlfn.IFS(qhkz_4dqm[[#This Row],[vehicle_age]]&lt;=3,"Newer",qhkz_4dqm[[#This Row],[vehicle_age]]&lt;=9,"Mid-age",qhkz_4dqm[[#This Row],[vehicle_age]]&lt;=19,"Older",qhkz_4dqm[[#This Row],[vehicle_age]]&gt;=20,"Very Old")</f>
        <v>Mid-age</v>
      </c>
    </row>
    <row r="1564" spans="1:10">
      <c r="A1564" s="2">
        <v>24151857</v>
      </c>
      <c r="B1564" s="2">
        <v>2415185701</v>
      </c>
      <c r="C1564" s="2">
        <v>1</v>
      </c>
      <c r="D1564" s="2">
        <v>2006</v>
      </c>
      <c r="E1564" s="2">
        <v>1</v>
      </c>
      <c r="F1564" s="2">
        <v>14.75</v>
      </c>
      <c r="G1564" s="2">
        <v>729.7</v>
      </c>
      <c r="H1564" s="2" t="str">
        <f>VLOOKUP(qhkz_4dqm[[#This Row],[fuel_type]],lookup!A:B,2,FALSE)</f>
        <v>Gasoline</v>
      </c>
      <c r="I1564" s="2">
        <f ca="1">YEAR(TODAY())-qhkz_4dqm[[#This Row],[year]]</f>
        <v>20</v>
      </c>
      <c r="J1564" s="2" t="str" cm="1">
        <f t="array" aca="1" ref="J1564" ca="1">_xlfn.IFS(qhkz_4dqm[[#This Row],[vehicle_age]]&lt;=3,"Newer",qhkz_4dqm[[#This Row],[vehicle_age]]&lt;=9,"Mid-age",qhkz_4dqm[[#This Row],[vehicle_age]]&lt;=19,"Older",qhkz_4dqm[[#This Row],[vehicle_age]]&gt;=20,"Very Old")</f>
        <v>Very Old</v>
      </c>
    </row>
    <row r="1565" spans="1:10">
      <c r="A1565" s="2">
        <v>24151858</v>
      </c>
      <c r="B1565" s="2">
        <v>2415185801</v>
      </c>
      <c r="C1565" s="2">
        <v>1</v>
      </c>
      <c r="D1565" s="2">
        <v>2021</v>
      </c>
      <c r="E1565" s="2">
        <v>1</v>
      </c>
      <c r="F1565" s="2">
        <v>317.66000000000003</v>
      </c>
      <c r="G1565" s="2">
        <v>906.16</v>
      </c>
      <c r="H1565" s="2" t="str">
        <f>VLOOKUP(qhkz_4dqm[[#This Row],[fuel_type]],lookup!A:B,2,FALSE)</f>
        <v>Gasoline</v>
      </c>
      <c r="I1565" s="2">
        <f ca="1">YEAR(TODAY())-qhkz_4dqm[[#This Row],[year]]</f>
        <v>5</v>
      </c>
      <c r="J1565" s="2" t="str" cm="1">
        <f t="array" aca="1" ref="J1565" ca="1">_xlfn.IFS(qhkz_4dqm[[#This Row],[vehicle_age]]&lt;=3,"Newer",qhkz_4dqm[[#This Row],[vehicle_age]]&lt;=9,"Mid-age",qhkz_4dqm[[#This Row],[vehicle_age]]&lt;=19,"Older",qhkz_4dqm[[#This Row],[vehicle_age]]&gt;=20,"Very Old")</f>
        <v>Mid-age</v>
      </c>
    </row>
    <row r="1566" spans="1:10">
      <c r="A1566" s="2">
        <v>24151859</v>
      </c>
      <c r="B1566" s="2">
        <v>2415185901</v>
      </c>
      <c r="C1566" s="2">
        <v>1</v>
      </c>
      <c r="D1566" s="2">
        <v>2019</v>
      </c>
      <c r="E1566" s="2">
        <v>1</v>
      </c>
      <c r="F1566" s="2">
        <v>811.77</v>
      </c>
      <c r="G1566" s="2">
        <v>869.23</v>
      </c>
      <c r="H1566" s="2" t="str">
        <f>VLOOKUP(qhkz_4dqm[[#This Row],[fuel_type]],lookup!A:B,2,FALSE)</f>
        <v>Gasoline</v>
      </c>
      <c r="I1566" s="2">
        <f ca="1">YEAR(TODAY())-qhkz_4dqm[[#This Row],[year]]</f>
        <v>7</v>
      </c>
      <c r="J1566" s="2" t="str" cm="1">
        <f t="array" aca="1" ref="J1566" ca="1">_xlfn.IFS(qhkz_4dqm[[#This Row],[vehicle_age]]&lt;=3,"Newer",qhkz_4dqm[[#This Row],[vehicle_age]]&lt;=9,"Mid-age",qhkz_4dqm[[#This Row],[vehicle_age]]&lt;=19,"Older",qhkz_4dqm[[#This Row],[vehicle_age]]&gt;=20,"Very Old")</f>
        <v>Mid-age</v>
      </c>
    </row>
    <row r="1567" spans="1:10">
      <c r="A1567" s="2">
        <v>24151864</v>
      </c>
      <c r="B1567" s="2">
        <v>2415186401</v>
      </c>
      <c r="C1567" s="2">
        <v>1</v>
      </c>
      <c r="D1567" s="2">
        <v>2011</v>
      </c>
      <c r="E1567" s="2">
        <v>1</v>
      </c>
      <c r="F1567" s="2">
        <v>0.92</v>
      </c>
      <c r="G1567" s="2">
        <v>518.82000000000005</v>
      </c>
      <c r="H1567" s="2" t="str">
        <f>VLOOKUP(qhkz_4dqm[[#This Row],[fuel_type]],lookup!A:B,2,FALSE)</f>
        <v>Gasoline</v>
      </c>
      <c r="I1567" s="2">
        <f ca="1">YEAR(TODAY())-qhkz_4dqm[[#This Row],[year]]</f>
        <v>15</v>
      </c>
      <c r="J1567" s="2" t="str" cm="1">
        <f t="array" aca="1" ref="J1567" ca="1">_xlfn.IFS(qhkz_4dqm[[#This Row],[vehicle_age]]&lt;=3,"Newer",qhkz_4dqm[[#This Row],[vehicle_age]]&lt;=9,"Mid-age",qhkz_4dqm[[#This Row],[vehicle_age]]&lt;=19,"Older",qhkz_4dqm[[#This Row],[vehicle_age]]&gt;=20,"Very Old")</f>
        <v>Older</v>
      </c>
    </row>
    <row r="1568" spans="1:10">
      <c r="A1568" s="2">
        <v>24151867</v>
      </c>
      <c r="B1568" s="2">
        <v>2415186701</v>
      </c>
      <c r="C1568" s="2">
        <v>1</v>
      </c>
      <c r="D1568" s="2">
        <v>2018</v>
      </c>
      <c r="E1568" s="2">
        <v>1</v>
      </c>
      <c r="F1568" s="2">
        <v>410.71</v>
      </c>
      <c r="G1568" s="2">
        <v>335.5</v>
      </c>
      <c r="H1568" s="2" t="str">
        <f>VLOOKUP(qhkz_4dqm[[#This Row],[fuel_type]],lookup!A:B,2,FALSE)</f>
        <v>Gasoline</v>
      </c>
      <c r="I1568" s="2">
        <f ca="1">YEAR(TODAY())-qhkz_4dqm[[#This Row],[year]]</f>
        <v>8</v>
      </c>
      <c r="J1568" s="2" t="str" cm="1">
        <f t="array" aca="1" ref="J1568" ca="1">_xlfn.IFS(qhkz_4dqm[[#This Row],[vehicle_age]]&lt;=3,"Newer",qhkz_4dqm[[#This Row],[vehicle_age]]&lt;=9,"Mid-age",qhkz_4dqm[[#This Row],[vehicle_age]]&lt;=19,"Older",qhkz_4dqm[[#This Row],[vehicle_age]]&gt;=20,"Very Old")</f>
        <v>Mid-age</v>
      </c>
    </row>
    <row r="1569" spans="1:10">
      <c r="A1569" s="2">
        <v>24151870</v>
      </c>
      <c r="B1569" s="2">
        <v>2415187001</v>
      </c>
      <c r="C1569" s="2">
        <v>1</v>
      </c>
      <c r="D1569" s="2">
        <v>2022</v>
      </c>
      <c r="E1569" s="2">
        <v>1</v>
      </c>
      <c r="F1569" s="2">
        <v>144.66999999999999</v>
      </c>
      <c r="G1569" s="2">
        <v>232.01</v>
      </c>
      <c r="H1569" s="2" t="str">
        <f>VLOOKUP(qhkz_4dqm[[#This Row],[fuel_type]],lookup!A:B,2,FALSE)</f>
        <v>Gasoline</v>
      </c>
      <c r="I1569" s="2">
        <f ca="1">YEAR(TODAY())-qhkz_4dqm[[#This Row],[year]]</f>
        <v>4</v>
      </c>
      <c r="J1569" s="2" t="str" cm="1">
        <f t="array" aca="1" ref="J1569" ca="1">_xlfn.IFS(qhkz_4dqm[[#This Row],[vehicle_age]]&lt;=3,"Newer",qhkz_4dqm[[#This Row],[vehicle_age]]&lt;=9,"Mid-age",qhkz_4dqm[[#This Row],[vehicle_age]]&lt;=19,"Older",qhkz_4dqm[[#This Row],[vehicle_age]]&gt;=20,"Very Old")</f>
        <v>Mid-age</v>
      </c>
    </row>
    <row r="1570" spans="1:10">
      <c r="A1570" s="2">
        <v>24151872</v>
      </c>
      <c r="B1570" s="2">
        <v>2415187201</v>
      </c>
      <c r="C1570" s="2">
        <v>1</v>
      </c>
      <c r="D1570" s="2">
        <v>2025</v>
      </c>
      <c r="E1570" s="2">
        <v>1</v>
      </c>
      <c r="F1570" s="2">
        <v>0.92</v>
      </c>
      <c r="G1570" s="2">
        <v>232.14</v>
      </c>
      <c r="H1570" s="2" t="str">
        <f>VLOOKUP(qhkz_4dqm[[#This Row],[fuel_type]],lookup!A:B,2,FALSE)</f>
        <v>Gasoline</v>
      </c>
      <c r="I1570" s="2">
        <f ca="1">YEAR(TODAY())-qhkz_4dqm[[#This Row],[year]]</f>
        <v>1</v>
      </c>
      <c r="J1570" s="2" t="str" cm="1">
        <f t="array" aca="1" ref="J1570" ca="1">_xlfn.IFS(qhkz_4dqm[[#This Row],[vehicle_age]]&lt;=3,"Newer",qhkz_4dqm[[#This Row],[vehicle_age]]&lt;=9,"Mid-age",qhkz_4dqm[[#This Row],[vehicle_age]]&lt;=19,"Older",qhkz_4dqm[[#This Row],[vehicle_age]]&gt;=20,"Very Old")</f>
        <v>Newer</v>
      </c>
    </row>
    <row r="1571" spans="1:10">
      <c r="A1571" s="2">
        <v>24151877</v>
      </c>
      <c r="B1571" s="2">
        <v>2415187701</v>
      </c>
      <c r="C1571" s="2">
        <v>1</v>
      </c>
      <c r="D1571" s="2">
        <v>2007</v>
      </c>
      <c r="E1571" s="2">
        <v>1</v>
      </c>
      <c r="F1571" s="2">
        <v>1.83</v>
      </c>
      <c r="G1571" s="2">
        <v>214.58</v>
      </c>
      <c r="H1571" s="2" t="str">
        <f>VLOOKUP(qhkz_4dqm[[#This Row],[fuel_type]],lookup!A:B,2,FALSE)</f>
        <v>Gasoline</v>
      </c>
      <c r="I1571" s="2">
        <f ca="1">YEAR(TODAY())-qhkz_4dqm[[#This Row],[year]]</f>
        <v>19</v>
      </c>
      <c r="J1571" s="2" t="str" cm="1">
        <f t="array" aca="1" ref="J1571" ca="1">_xlfn.IFS(qhkz_4dqm[[#This Row],[vehicle_age]]&lt;=3,"Newer",qhkz_4dqm[[#This Row],[vehicle_age]]&lt;=9,"Mid-age",qhkz_4dqm[[#This Row],[vehicle_age]]&lt;=19,"Older",qhkz_4dqm[[#This Row],[vehicle_age]]&gt;=20,"Very Old")</f>
        <v>Older</v>
      </c>
    </row>
    <row r="1572" spans="1:10">
      <c r="A1572" s="2">
        <v>24151878</v>
      </c>
      <c r="B1572" s="2">
        <v>2415187801</v>
      </c>
      <c r="C1572" s="2">
        <v>1</v>
      </c>
      <c r="D1572" s="2">
        <v>2024</v>
      </c>
      <c r="E1572" s="2">
        <v>1</v>
      </c>
      <c r="F1572" s="2">
        <v>1055.83</v>
      </c>
      <c r="G1572" s="2">
        <v>1711.92</v>
      </c>
      <c r="H1572" s="2" t="str">
        <f>VLOOKUP(qhkz_4dqm[[#This Row],[fuel_type]],lookup!A:B,2,FALSE)</f>
        <v>Gasoline</v>
      </c>
      <c r="I1572" s="2">
        <f ca="1">YEAR(TODAY())-qhkz_4dqm[[#This Row],[year]]</f>
        <v>2</v>
      </c>
      <c r="J1572" s="2" t="str" cm="1">
        <f t="array" aca="1" ref="J1572" ca="1">_xlfn.IFS(qhkz_4dqm[[#This Row],[vehicle_age]]&lt;=3,"Newer",qhkz_4dqm[[#This Row],[vehicle_age]]&lt;=9,"Mid-age",qhkz_4dqm[[#This Row],[vehicle_age]]&lt;=19,"Older",qhkz_4dqm[[#This Row],[vehicle_age]]&gt;=20,"Very Old")</f>
        <v>Newer</v>
      </c>
    </row>
    <row r="1573" spans="1:10">
      <c r="A1573" s="2">
        <v>24151894</v>
      </c>
      <c r="B1573" s="2">
        <v>2415189401</v>
      </c>
      <c r="C1573" s="2">
        <v>1</v>
      </c>
      <c r="D1573" s="2">
        <v>2008</v>
      </c>
      <c r="E1573" s="2">
        <v>1</v>
      </c>
      <c r="F1573" s="2">
        <v>1321.28</v>
      </c>
      <c r="G1573" s="2">
        <v>1301.3599999999999</v>
      </c>
      <c r="H1573" s="2" t="str">
        <f>VLOOKUP(qhkz_4dqm[[#This Row],[fuel_type]],lookup!A:B,2,FALSE)</f>
        <v>Gasoline</v>
      </c>
      <c r="I1573" s="2">
        <f ca="1">YEAR(TODAY())-qhkz_4dqm[[#This Row],[year]]</f>
        <v>18</v>
      </c>
      <c r="J1573" s="2" t="str" cm="1">
        <f t="array" aca="1" ref="J1573" ca="1">_xlfn.IFS(qhkz_4dqm[[#This Row],[vehicle_age]]&lt;=3,"Newer",qhkz_4dqm[[#This Row],[vehicle_age]]&lt;=9,"Mid-age",qhkz_4dqm[[#This Row],[vehicle_age]]&lt;=19,"Older",qhkz_4dqm[[#This Row],[vehicle_age]]&gt;=20,"Very Old")</f>
        <v>Older</v>
      </c>
    </row>
    <row r="1574" spans="1:10">
      <c r="A1574" s="2">
        <v>24151898</v>
      </c>
      <c r="B1574" s="2">
        <v>2415189801</v>
      </c>
      <c r="C1574" s="2">
        <v>1</v>
      </c>
      <c r="D1574" s="2">
        <v>2018</v>
      </c>
      <c r="E1574" s="2">
        <v>1</v>
      </c>
      <c r="F1574" s="2">
        <v>0.92</v>
      </c>
      <c r="G1574" s="2">
        <v>445.56</v>
      </c>
      <c r="H1574" s="2" t="str">
        <f>VLOOKUP(qhkz_4dqm[[#This Row],[fuel_type]],lookup!A:B,2,FALSE)</f>
        <v>Gasoline</v>
      </c>
      <c r="I1574" s="2">
        <f ca="1">YEAR(TODAY())-qhkz_4dqm[[#This Row],[year]]</f>
        <v>8</v>
      </c>
      <c r="J1574" s="2" t="str" cm="1">
        <f t="array" aca="1" ref="J1574" ca="1">_xlfn.IFS(qhkz_4dqm[[#This Row],[vehicle_age]]&lt;=3,"Newer",qhkz_4dqm[[#This Row],[vehicle_age]]&lt;=9,"Mid-age",qhkz_4dqm[[#This Row],[vehicle_age]]&lt;=19,"Older",qhkz_4dqm[[#This Row],[vehicle_age]]&gt;=20,"Very Old")</f>
        <v>Mid-age</v>
      </c>
    </row>
    <row r="1575" spans="1:10">
      <c r="A1575" s="2">
        <v>24151899</v>
      </c>
      <c r="B1575" s="2">
        <v>2415189901</v>
      </c>
      <c r="C1575" s="2">
        <v>1</v>
      </c>
      <c r="D1575" s="2">
        <v>2011</v>
      </c>
      <c r="E1575" s="2">
        <v>1</v>
      </c>
      <c r="F1575" s="2">
        <v>1437.98</v>
      </c>
      <c r="G1575" s="2">
        <v>2161.21</v>
      </c>
      <c r="H1575" s="2" t="str">
        <f>VLOOKUP(qhkz_4dqm[[#This Row],[fuel_type]],lookup!A:B,2,FALSE)</f>
        <v>Gasoline</v>
      </c>
      <c r="I1575" s="2">
        <f ca="1">YEAR(TODAY())-qhkz_4dqm[[#This Row],[year]]</f>
        <v>15</v>
      </c>
      <c r="J1575" s="2" t="str" cm="1">
        <f t="array" aca="1" ref="J1575" ca="1">_xlfn.IFS(qhkz_4dqm[[#This Row],[vehicle_age]]&lt;=3,"Newer",qhkz_4dqm[[#This Row],[vehicle_age]]&lt;=9,"Mid-age",qhkz_4dqm[[#This Row],[vehicle_age]]&lt;=19,"Older",qhkz_4dqm[[#This Row],[vehicle_age]]&gt;=20,"Very Old")</f>
        <v>Older</v>
      </c>
    </row>
    <row r="1576" spans="1:10">
      <c r="A1576" s="2">
        <v>24151911</v>
      </c>
      <c r="B1576" s="2">
        <v>2415191101</v>
      </c>
      <c r="C1576" s="2">
        <v>1</v>
      </c>
      <c r="D1576" s="2">
        <v>2018</v>
      </c>
      <c r="E1576" s="2">
        <v>1</v>
      </c>
      <c r="F1576" s="2">
        <v>4730.04</v>
      </c>
      <c r="G1576" s="2">
        <v>1752.49</v>
      </c>
      <c r="H1576" s="2" t="str">
        <f>VLOOKUP(qhkz_4dqm[[#This Row],[fuel_type]],lookup!A:B,2,FALSE)</f>
        <v>Gasoline</v>
      </c>
      <c r="I1576" s="2">
        <f ca="1">YEAR(TODAY())-qhkz_4dqm[[#This Row],[year]]</f>
        <v>8</v>
      </c>
      <c r="J1576" s="2" t="str" cm="1">
        <f t="array" aca="1" ref="J1576" ca="1">_xlfn.IFS(qhkz_4dqm[[#This Row],[vehicle_age]]&lt;=3,"Newer",qhkz_4dqm[[#This Row],[vehicle_age]]&lt;=9,"Mid-age",qhkz_4dqm[[#This Row],[vehicle_age]]&lt;=19,"Older",qhkz_4dqm[[#This Row],[vehicle_age]]&gt;=20,"Very Old")</f>
        <v>Mid-age</v>
      </c>
    </row>
    <row r="1577" spans="1:10">
      <c r="A1577" s="2">
        <v>24151912</v>
      </c>
      <c r="B1577" s="2">
        <v>2415191201</v>
      </c>
      <c r="C1577" s="2">
        <v>1</v>
      </c>
      <c r="D1577" s="2">
        <v>2017</v>
      </c>
      <c r="E1577" s="2">
        <v>1</v>
      </c>
      <c r="F1577" s="2">
        <v>1022.01</v>
      </c>
      <c r="G1577" s="2">
        <v>436</v>
      </c>
      <c r="H1577" s="2" t="str">
        <f>VLOOKUP(qhkz_4dqm[[#This Row],[fuel_type]],lookup!A:B,2,FALSE)</f>
        <v>Gasoline</v>
      </c>
      <c r="I1577" s="2">
        <f ca="1">YEAR(TODAY())-qhkz_4dqm[[#This Row],[year]]</f>
        <v>9</v>
      </c>
      <c r="J1577" s="2" t="str" cm="1">
        <f t="array" aca="1" ref="J1577" ca="1">_xlfn.IFS(qhkz_4dqm[[#This Row],[vehicle_age]]&lt;=3,"Newer",qhkz_4dqm[[#This Row],[vehicle_age]]&lt;=9,"Mid-age",qhkz_4dqm[[#This Row],[vehicle_age]]&lt;=19,"Older",qhkz_4dqm[[#This Row],[vehicle_age]]&gt;=20,"Very Old")</f>
        <v>Mid-age</v>
      </c>
    </row>
    <row r="1578" spans="1:10">
      <c r="A1578" s="2">
        <v>24151913</v>
      </c>
      <c r="B1578" s="2">
        <v>2415191301</v>
      </c>
      <c r="C1578" s="2">
        <v>1</v>
      </c>
      <c r="D1578" s="2">
        <v>2020</v>
      </c>
      <c r="E1578" s="2">
        <v>1</v>
      </c>
      <c r="F1578" s="2">
        <v>6.48</v>
      </c>
      <c r="G1578" s="2">
        <v>217.25</v>
      </c>
      <c r="H1578" s="2" t="str">
        <f>VLOOKUP(qhkz_4dqm[[#This Row],[fuel_type]],lookup!A:B,2,FALSE)</f>
        <v>Gasoline</v>
      </c>
      <c r="I1578" s="2">
        <f ca="1">YEAR(TODAY())-qhkz_4dqm[[#This Row],[year]]</f>
        <v>6</v>
      </c>
      <c r="J1578" s="2" t="str" cm="1">
        <f t="array" aca="1" ref="J1578" ca="1">_xlfn.IFS(qhkz_4dqm[[#This Row],[vehicle_age]]&lt;=3,"Newer",qhkz_4dqm[[#This Row],[vehicle_age]]&lt;=9,"Mid-age",qhkz_4dqm[[#This Row],[vehicle_age]]&lt;=19,"Older",qhkz_4dqm[[#This Row],[vehicle_age]]&gt;=20,"Very Old")</f>
        <v>Mid-age</v>
      </c>
    </row>
    <row r="1579" spans="1:10">
      <c r="A1579" s="2">
        <v>24151925</v>
      </c>
      <c r="B1579" s="2">
        <v>2415192501</v>
      </c>
      <c r="C1579" s="2">
        <v>1</v>
      </c>
      <c r="D1579" s="2">
        <v>2021</v>
      </c>
      <c r="E1579" s="2">
        <v>1</v>
      </c>
      <c r="F1579" s="2">
        <v>1196.08</v>
      </c>
      <c r="G1579" s="2">
        <v>445.56</v>
      </c>
      <c r="H1579" s="2" t="str">
        <f>VLOOKUP(qhkz_4dqm[[#This Row],[fuel_type]],lookup!A:B,2,FALSE)</f>
        <v>Gasoline</v>
      </c>
      <c r="I1579" s="2">
        <f ca="1">YEAR(TODAY())-qhkz_4dqm[[#This Row],[year]]</f>
        <v>5</v>
      </c>
      <c r="J1579" s="2" t="str" cm="1">
        <f t="array" aca="1" ref="J1579" ca="1">_xlfn.IFS(qhkz_4dqm[[#This Row],[vehicle_age]]&lt;=3,"Newer",qhkz_4dqm[[#This Row],[vehicle_age]]&lt;=9,"Mid-age",qhkz_4dqm[[#This Row],[vehicle_age]]&lt;=19,"Older",qhkz_4dqm[[#This Row],[vehicle_age]]&gt;=20,"Very Old")</f>
        <v>Mid-age</v>
      </c>
    </row>
    <row r="1580" spans="1:10">
      <c r="A1580" s="2">
        <v>24151954</v>
      </c>
      <c r="B1580" s="2">
        <v>2415195401</v>
      </c>
      <c r="C1580" s="2">
        <v>1</v>
      </c>
      <c r="D1580" s="2">
        <v>2014</v>
      </c>
      <c r="E1580" s="2">
        <v>1</v>
      </c>
      <c r="F1580" s="2">
        <v>0.92</v>
      </c>
      <c r="G1580" s="2">
        <v>729.7</v>
      </c>
      <c r="H1580" s="2" t="str">
        <f>VLOOKUP(qhkz_4dqm[[#This Row],[fuel_type]],lookup!A:B,2,FALSE)</f>
        <v>Gasoline</v>
      </c>
      <c r="I1580" s="2">
        <f ca="1">YEAR(TODAY())-qhkz_4dqm[[#This Row],[year]]</f>
        <v>12</v>
      </c>
      <c r="J1580" s="2" t="str" cm="1">
        <f t="array" aca="1" ref="J1580" ca="1">_xlfn.IFS(qhkz_4dqm[[#This Row],[vehicle_age]]&lt;=3,"Newer",qhkz_4dqm[[#This Row],[vehicle_age]]&lt;=9,"Mid-age",qhkz_4dqm[[#This Row],[vehicle_age]]&lt;=19,"Older",qhkz_4dqm[[#This Row],[vehicle_age]]&gt;=20,"Very Old")</f>
        <v>Older</v>
      </c>
    </row>
    <row r="1581" spans="1:10">
      <c r="A1581" s="2">
        <v>24151955</v>
      </c>
      <c r="B1581" s="2">
        <v>2415195501</v>
      </c>
      <c r="C1581" s="2">
        <v>1</v>
      </c>
      <c r="D1581" s="2">
        <v>2016</v>
      </c>
      <c r="E1581" s="2">
        <v>1</v>
      </c>
      <c r="F1581" s="2">
        <v>742.27</v>
      </c>
      <c r="G1581" s="2">
        <v>1220</v>
      </c>
      <c r="H1581" s="2" t="str">
        <f>VLOOKUP(qhkz_4dqm[[#This Row],[fuel_type]],lookup!A:B,2,FALSE)</f>
        <v>Gasoline</v>
      </c>
      <c r="I1581" s="2">
        <f ca="1">YEAR(TODAY())-qhkz_4dqm[[#This Row],[year]]</f>
        <v>10</v>
      </c>
      <c r="J1581" s="2" t="str" cm="1">
        <f t="array" aca="1" ref="J1581" ca="1">_xlfn.IFS(qhkz_4dqm[[#This Row],[vehicle_age]]&lt;=3,"Newer",qhkz_4dqm[[#This Row],[vehicle_age]]&lt;=9,"Mid-age",qhkz_4dqm[[#This Row],[vehicle_age]]&lt;=19,"Older",qhkz_4dqm[[#This Row],[vehicle_age]]&gt;=20,"Very Old")</f>
        <v>Older</v>
      </c>
    </row>
    <row r="1582" spans="1:10">
      <c r="A1582" s="2">
        <v>24151957</v>
      </c>
      <c r="B1582" s="2">
        <v>2415195701</v>
      </c>
      <c r="C1582" s="2">
        <v>1</v>
      </c>
      <c r="D1582" s="2">
        <v>2019</v>
      </c>
      <c r="E1582" s="2">
        <v>1</v>
      </c>
      <c r="F1582" s="2">
        <v>121.86</v>
      </c>
      <c r="G1582" s="2">
        <v>148.16999999999999</v>
      </c>
      <c r="H1582" s="2" t="str">
        <f>VLOOKUP(qhkz_4dqm[[#This Row],[fuel_type]],lookup!A:B,2,FALSE)</f>
        <v>Gasoline</v>
      </c>
      <c r="I1582" s="2">
        <f ca="1">YEAR(TODAY())-qhkz_4dqm[[#This Row],[year]]</f>
        <v>7</v>
      </c>
      <c r="J1582" s="2" t="str" cm="1">
        <f t="array" aca="1" ref="J1582" ca="1">_xlfn.IFS(qhkz_4dqm[[#This Row],[vehicle_age]]&lt;=3,"Newer",qhkz_4dqm[[#This Row],[vehicle_age]]&lt;=9,"Mid-age",qhkz_4dqm[[#This Row],[vehicle_age]]&lt;=19,"Older",qhkz_4dqm[[#This Row],[vehicle_age]]&gt;=20,"Very Old")</f>
        <v>Mid-age</v>
      </c>
    </row>
    <row r="1583" spans="1:10">
      <c r="A1583" s="2">
        <v>24151960</v>
      </c>
      <c r="B1583" s="2">
        <v>2415196001</v>
      </c>
      <c r="C1583" s="2">
        <v>1</v>
      </c>
      <c r="D1583" s="2">
        <v>2024</v>
      </c>
      <c r="E1583" s="2">
        <v>1</v>
      </c>
      <c r="F1583" s="2">
        <v>155.4</v>
      </c>
      <c r="G1583" s="2">
        <v>279.64999999999998</v>
      </c>
      <c r="H1583" s="2" t="str">
        <f>VLOOKUP(qhkz_4dqm[[#This Row],[fuel_type]],lookup!A:B,2,FALSE)</f>
        <v>Gasoline</v>
      </c>
      <c r="I1583" s="2">
        <f ca="1">YEAR(TODAY())-qhkz_4dqm[[#This Row],[year]]</f>
        <v>2</v>
      </c>
      <c r="J1583" s="2" t="str" cm="1">
        <f t="array" aca="1" ref="J1583" ca="1">_xlfn.IFS(qhkz_4dqm[[#This Row],[vehicle_age]]&lt;=3,"Newer",qhkz_4dqm[[#This Row],[vehicle_age]]&lt;=9,"Mid-age",qhkz_4dqm[[#This Row],[vehicle_age]]&lt;=19,"Older",qhkz_4dqm[[#This Row],[vehicle_age]]&gt;=20,"Very Old")</f>
        <v>Newer</v>
      </c>
    </row>
    <row r="1584" spans="1:10">
      <c r="A1584" s="2">
        <v>24151961</v>
      </c>
      <c r="B1584" s="2">
        <v>2415196101</v>
      </c>
      <c r="C1584" s="2">
        <v>1</v>
      </c>
      <c r="D1584" s="2">
        <v>2020</v>
      </c>
      <c r="E1584" s="2">
        <v>1</v>
      </c>
      <c r="F1584" s="2">
        <v>202.54</v>
      </c>
      <c r="G1584" s="2">
        <v>212.19</v>
      </c>
      <c r="H1584" s="2" t="str">
        <f>VLOOKUP(qhkz_4dqm[[#This Row],[fuel_type]],lookup!A:B,2,FALSE)</f>
        <v>Gasoline</v>
      </c>
      <c r="I1584" s="2">
        <f ca="1">YEAR(TODAY())-qhkz_4dqm[[#This Row],[year]]</f>
        <v>6</v>
      </c>
      <c r="J1584" s="2" t="str" cm="1">
        <f t="array" aca="1" ref="J1584" ca="1">_xlfn.IFS(qhkz_4dqm[[#This Row],[vehicle_age]]&lt;=3,"Newer",qhkz_4dqm[[#This Row],[vehicle_age]]&lt;=9,"Mid-age",qhkz_4dqm[[#This Row],[vehicle_age]]&lt;=19,"Older",qhkz_4dqm[[#This Row],[vehicle_age]]&gt;=20,"Very Old")</f>
        <v>Mid-age</v>
      </c>
    </row>
    <row r="1585" spans="1:10">
      <c r="A1585" s="2">
        <v>24151962</v>
      </c>
      <c r="B1585" s="2">
        <v>2415196201</v>
      </c>
      <c r="C1585" s="2">
        <v>1</v>
      </c>
      <c r="D1585" s="2">
        <v>2018</v>
      </c>
      <c r="E1585" s="2">
        <v>1</v>
      </c>
      <c r="F1585" s="2">
        <v>0.92</v>
      </c>
      <c r="G1585" s="2">
        <v>310.39</v>
      </c>
      <c r="H1585" s="2" t="str">
        <f>VLOOKUP(qhkz_4dqm[[#This Row],[fuel_type]],lookup!A:B,2,FALSE)</f>
        <v>Gasoline</v>
      </c>
      <c r="I1585" s="2">
        <f ca="1">YEAR(TODAY())-qhkz_4dqm[[#This Row],[year]]</f>
        <v>8</v>
      </c>
      <c r="J1585" s="2" t="str" cm="1">
        <f t="array" aca="1" ref="J1585" ca="1">_xlfn.IFS(qhkz_4dqm[[#This Row],[vehicle_age]]&lt;=3,"Newer",qhkz_4dqm[[#This Row],[vehicle_age]]&lt;=9,"Mid-age",qhkz_4dqm[[#This Row],[vehicle_age]]&lt;=19,"Older",qhkz_4dqm[[#This Row],[vehicle_age]]&gt;=20,"Very Old")</f>
        <v>Mid-age</v>
      </c>
    </row>
    <row r="1586" spans="1:10">
      <c r="A1586" s="2">
        <v>24151968</v>
      </c>
      <c r="B1586" s="2">
        <v>2415196801</v>
      </c>
      <c r="C1586" s="2">
        <v>1</v>
      </c>
      <c r="D1586" s="2">
        <v>2019</v>
      </c>
      <c r="E1586" s="2">
        <v>1</v>
      </c>
      <c r="F1586" s="2">
        <v>384.06</v>
      </c>
      <c r="G1586" s="2">
        <v>370.2</v>
      </c>
      <c r="H1586" s="2" t="str">
        <f>VLOOKUP(qhkz_4dqm[[#This Row],[fuel_type]],lookup!A:B,2,FALSE)</f>
        <v>Gasoline</v>
      </c>
      <c r="I1586" s="2">
        <f ca="1">YEAR(TODAY())-qhkz_4dqm[[#This Row],[year]]</f>
        <v>7</v>
      </c>
      <c r="J1586" s="2" t="str" cm="1">
        <f t="array" aca="1" ref="J1586" ca="1">_xlfn.IFS(qhkz_4dqm[[#This Row],[vehicle_age]]&lt;=3,"Newer",qhkz_4dqm[[#This Row],[vehicle_age]]&lt;=9,"Mid-age",qhkz_4dqm[[#This Row],[vehicle_age]]&lt;=19,"Older",qhkz_4dqm[[#This Row],[vehicle_age]]&gt;=20,"Very Old")</f>
        <v>Mid-age</v>
      </c>
    </row>
    <row r="1587" spans="1:10">
      <c r="A1587" s="2">
        <v>24151971</v>
      </c>
      <c r="B1587" s="2">
        <v>2415197101</v>
      </c>
      <c r="C1587" s="2">
        <v>1</v>
      </c>
      <c r="D1587" s="2">
        <v>2007</v>
      </c>
      <c r="E1587" s="2">
        <v>1</v>
      </c>
      <c r="F1587" s="2">
        <v>1024.32</v>
      </c>
      <c r="G1587" s="2">
        <v>863.32</v>
      </c>
      <c r="H1587" s="2" t="str">
        <f>VLOOKUP(qhkz_4dqm[[#This Row],[fuel_type]],lookup!A:B,2,FALSE)</f>
        <v>Gasoline</v>
      </c>
      <c r="I1587" s="2">
        <f ca="1">YEAR(TODAY())-qhkz_4dqm[[#This Row],[year]]</f>
        <v>19</v>
      </c>
      <c r="J1587" s="2" t="str" cm="1">
        <f t="array" aca="1" ref="J1587" ca="1">_xlfn.IFS(qhkz_4dqm[[#This Row],[vehicle_age]]&lt;=3,"Newer",qhkz_4dqm[[#This Row],[vehicle_age]]&lt;=9,"Mid-age",qhkz_4dqm[[#This Row],[vehicle_age]]&lt;=19,"Older",qhkz_4dqm[[#This Row],[vehicle_age]]&gt;=20,"Very Old")</f>
        <v>Older</v>
      </c>
    </row>
    <row r="1588" spans="1:10">
      <c r="A1588" s="2">
        <v>24151972</v>
      </c>
      <c r="B1588" s="2">
        <v>2415197201</v>
      </c>
      <c r="C1588" s="2">
        <v>1</v>
      </c>
      <c r="D1588" s="2">
        <v>2022</v>
      </c>
      <c r="E1588" s="2">
        <v>1</v>
      </c>
      <c r="F1588" s="2">
        <v>0.92</v>
      </c>
      <c r="G1588" s="2">
        <v>445.56</v>
      </c>
      <c r="H1588" s="2" t="str">
        <f>VLOOKUP(qhkz_4dqm[[#This Row],[fuel_type]],lookup!A:B,2,FALSE)</f>
        <v>Gasoline</v>
      </c>
      <c r="I1588" s="2">
        <f ca="1">YEAR(TODAY())-qhkz_4dqm[[#This Row],[year]]</f>
        <v>4</v>
      </c>
      <c r="J1588" s="2" t="str" cm="1">
        <f t="array" aca="1" ref="J1588" ca="1">_xlfn.IFS(qhkz_4dqm[[#This Row],[vehicle_age]]&lt;=3,"Newer",qhkz_4dqm[[#This Row],[vehicle_age]]&lt;=9,"Mid-age",qhkz_4dqm[[#This Row],[vehicle_age]]&lt;=19,"Older",qhkz_4dqm[[#This Row],[vehicle_age]]&gt;=20,"Very Old")</f>
        <v>Mid-age</v>
      </c>
    </row>
    <row r="1589" spans="1:10">
      <c r="A1589" s="2">
        <v>24151984</v>
      </c>
      <c r="B1589" s="2">
        <v>2415198401</v>
      </c>
      <c r="C1589" s="2">
        <v>1</v>
      </c>
      <c r="D1589" s="2">
        <v>2019</v>
      </c>
      <c r="E1589" s="2">
        <v>1</v>
      </c>
      <c r="F1589" s="2">
        <v>1196.08</v>
      </c>
      <c r="G1589" s="2">
        <v>445.56</v>
      </c>
      <c r="H1589" s="2" t="str">
        <f>VLOOKUP(qhkz_4dqm[[#This Row],[fuel_type]],lookup!A:B,2,FALSE)</f>
        <v>Gasoline</v>
      </c>
      <c r="I1589" s="2">
        <f ca="1">YEAR(TODAY())-qhkz_4dqm[[#This Row],[year]]</f>
        <v>7</v>
      </c>
      <c r="J1589" s="2" t="str" cm="1">
        <f t="array" aca="1" ref="J1589" ca="1">_xlfn.IFS(qhkz_4dqm[[#This Row],[vehicle_age]]&lt;=3,"Newer",qhkz_4dqm[[#This Row],[vehicle_age]]&lt;=9,"Mid-age",qhkz_4dqm[[#This Row],[vehicle_age]]&lt;=19,"Older",qhkz_4dqm[[#This Row],[vehicle_age]]&gt;=20,"Very Old")</f>
        <v>Mid-age</v>
      </c>
    </row>
    <row r="1590" spans="1:10">
      <c r="A1590" s="2">
        <v>24151987</v>
      </c>
      <c r="B1590" s="2">
        <v>2415198701</v>
      </c>
      <c r="C1590" s="2">
        <v>1</v>
      </c>
      <c r="D1590" s="2">
        <v>2005</v>
      </c>
      <c r="E1590" s="2">
        <v>1</v>
      </c>
      <c r="F1590" s="2">
        <v>0.92</v>
      </c>
      <c r="G1590" s="2">
        <v>141.28</v>
      </c>
      <c r="H1590" s="2" t="str">
        <f>VLOOKUP(qhkz_4dqm[[#This Row],[fuel_type]],lookup!A:B,2,FALSE)</f>
        <v>Gasoline</v>
      </c>
      <c r="I1590" s="2">
        <f ca="1">YEAR(TODAY())-qhkz_4dqm[[#This Row],[year]]</f>
        <v>21</v>
      </c>
      <c r="J1590" s="2" t="str" cm="1">
        <f t="array" aca="1" ref="J1590" ca="1">_xlfn.IFS(qhkz_4dqm[[#This Row],[vehicle_age]]&lt;=3,"Newer",qhkz_4dqm[[#This Row],[vehicle_age]]&lt;=9,"Mid-age",qhkz_4dqm[[#This Row],[vehicle_age]]&lt;=19,"Older",qhkz_4dqm[[#This Row],[vehicle_age]]&gt;=20,"Very Old")</f>
        <v>Very Old</v>
      </c>
    </row>
    <row r="1591" spans="1:10">
      <c r="A1591" s="2">
        <v>24151997</v>
      </c>
      <c r="B1591" s="2">
        <v>2415199701</v>
      </c>
      <c r="C1591" s="2">
        <v>1</v>
      </c>
      <c r="D1591" s="2">
        <v>2020</v>
      </c>
      <c r="E1591" s="2">
        <v>1</v>
      </c>
      <c r="F1591" s="2">
        <v>558.39</v>
      </c>
      <c r="G1591" s="2">
        <v>701.5</v>
      </c>
      <c r="H1591" s="2" t="str">
        <f>VLOOKUP(qhkz_4dqm[[#This Row],[fuel_type]],lookup!A:B,2,FALSE)</f>
        <v>Gasoline</v>
      </c>
      <c r="I1591" s="2">
        <f ca="1">YEAR(TODAY())-qhkz_4dqm[[#This Row],[year]]</f>
        <v>6</v>
      </c>
      <c r="J1591" s="2" t="str" cm="1">
        <f t="array" aca="1" ref="J1591" ca="1">_xlfn.IFS(qhkz_4dqm[[#This Row],[vehicle_age]]&lt;=3,"Newer",qhkz_4dqm[[#This Row],[vehicle_age]]&lt;=9,"Mid-age",qhkz_4dqm[[#This Row],[vehicle_age]]&lt;=19,"Older",qhkz_4dqm[[#This Row],[vehicle_age]]&gt;=20,"Very Old")</f>
        <v>Mid-age</v>
      </c>
    </row>
    <row r="1592" spans="1:10">
      <c r="A1592" s="2">
        <v>24152005</v>
      </c>
      <c r="B1592" s="2">
        <v>2415200501</v>
      </c>
      <c r="C1592" s="2">
        <v>1</v>
      </c>
      <c r="D1592" s="2">
        <v>2024</v>
      </c>
      <c r="E1592" s="2">
        <v>1</v>
      </c>
      <c r="F1592" s="2">
        <v>400.81</v>
      </c>
      <c r="G1592" s="2">
        <v>595.41999999999996</v>
      </c>
      <c r="H1592" s="2" t="str">
        <f>VLOOKUP(qhkz_4dqm[[#This Row],[fuel_type]],lookup!A:B,2,FALSE)</f>
        <v>Gasoline</v>
      </c>
      <c r="I1592" s="2">
        <f ca="1">YEAR(TODAY())-qhkz_4dqm[[#This Row],[year]]</f>
        <v>2</v>
      </c>
      <c r="J1592" s="2" t="str" cm="1">
        <f t="array" aca="1" ref="J1592" ca="1">_xlfn.IFS(qhkz_4dqm[[#This Row],[vehicle_age]]&lt;=3,"Newer",qhkz_4dqm[[#This Row],[vehicle_age]]&lt;=9,"Mid-age",qhkz_4dqm[[#This Row],[vehicle_age]]&lt;=19,"Older",qhkz_4dqm[[#This Row],[vehicle_age]]&gt;=20,"Very Old")</f>
        <v>Newer</v>
      </c>
    </row>
    <row r="1593" spans="1:10">
      <c r="A1593" s="2">
        <v>24152006</v>
      </c>
      <c r="B1593" s="2">
        <v>2415200601</v>
      </c>
      <c r="C1593" s="2">
        <v>1</v>
      </c>
      <c r="D1593" s="2">
        <v>2011</v>
      </c>
      <c r="E1593" s="2">
        <v>1</v>
      </c>
      <c r="F1593" s="2">
        <v>5.5</v>
      </c>
      <c r="G1593" s="2">
        <v>220.49</v>
      </c>
      <c r="H1593" s="2" t="str">
        <f>VLOOKUP(qhkz_4dqm[[#This Row],[fuel_type]],lookup!A:B,2,FALSE)</f>
        <v>Gasoline</v>
      </c>
      <c r="I1593" s="2">
        <f ca="1">YEAR(TODAY())-qhkz_4dqm[[#This Row],[year]]</f>
        <v>15</v>
      </c>
      <c r="J1593" s="2" t="str" cm="1">
        <f t="array" aca="1" ref="J1593" ca="1">_xlfn.IFS(qhkz_4dqm[[#This Row],[vehicle_age]]&lt;=3,"Newer",qhkz_4dqm[[#This Row],[vehicle_age]]&lt;=9,"Mid-age",qhkz_4dqm[[#This Row],[vehicle_age]]&lt;=19,"Older",qhkz_4dqm[[#This Row],[vehicle_age]]&gt;=20,"Very Old")</f>
        <v>Older</v>
      </c>
    </row>
    <row r="1594" spans="1:10">
      <c r="A1594" s="2">
        <v>24152014</v>
      </c>
      <c r="B1594" s="2">
        <v>2415201401</v>
      </c>
      <c r="C1594" s="2">
        <v>1</v>
      </c>
      <c r="D1594" s="2">
        <v>2017</v>
      </c>
      <c r="E1594" s="2">
        <v>1</v>
      </c>
      <c r="F1594" s="2">
        <v>2993.36</v>
      </c>
      <c r="G1594" s="2">
        <v>1449.08</v>
      </c>
      <c r="H1594" s="2" t="str">
        <f>VLOOKUP(qhkz_4dqm[[#This Row],[fuel_type]],lookup!A:B,2,FALSE)</f>
        <v>Gasoline</v>
      </c>
      <c r="I1594" s="2">
        <f ca="1">YEAR(TODAY())-qhkz_4dqm[[#This Row],[year]]</f>
        <v>9</v>
      </c>
      <c r="J1594" s="2" t="str" cm="1">
        <f t="array" aca="1" ref="J1594" ca="1">_xlfn.IFS(qhkz_4dqm[[#This Row],[vehicle_age]]&lt;=3,"Newer",qhkz_4dqm[[#This Row],[vehicle_age]]&lt;=9,"Mid-age",qhkz_4dqm[[#This Row],[vehicle_age]]&lt;=19,"Older",qhkz_4dqm[[#This Row],[vehicle_age]]&gt;=20,"Very Old")</f>
        <v>Mid-age</v>
      </c>
    </row>
    <row r="1595" spans="1:10">
      <c r="A1595" s="2">
        <v>24152016</v>
      </c>
      <c r="B1595" s="2">
        <v>2415201601</v>
      </c>
      <c r="C1595" s="2">
        <v>1</v>
      </c>
      <c r="D1595" s="2">
        <v>2019</v>
      </c>
      <c r="E1595" s="2">
        <v>1</v>
      </c>
      <c r="F1595" s="2">
        <v>227.72</v>
      </c>
      <c r="G1595" s="2">
        <v>588.41</v>
      </c>
      <c r="H1595" s="2" t="str">
        <f>VLOOKUP(qhkz_4dqm[[#This Row],[fuel_type]],lookup!A:B,2,FALSE)</f>
        <v>Gasoline</v>
      </c>
      <c r="I1595" s="2">
        <f ca="1">YEAR(TODAY())-qhkz_4dqm[[#This Row],[year]]</f>
        <v>7</v>
      </c>
      <c r="J1595" s="2" t="str" cm="1">
        <f t="array" aca="1" ref="J1595" ca="1">_xlfn.IFS(qhkz_4dqm[[#This Row],[vehicle_age]]&lt;=3,"Newer",qhkz_4dqm[[#This Row],[vehicle_age]]&lt;=9,"Mid-age",qhkz_4dqm[[#This Row],[vehicle_age]]&lt;=19,"Older",qhkz_4dqm[[#This Row],[vehicle_age]]&gt;=20,"Very Old")</f>
        <v>Mid-age</v>
      </c>
    </row>
    <row r="1596" spans="1:10">
      <c r="A1596" s="2">
        <v>24152027</v>
      </c>
      <c r="B1596" s="2">
        <v>2415202701</v>
      </c>
      <c r="C1596" s="2">
        <v>1</v>
      </c>
      <c r="D1596" s="2">
        <v>2021</v>
      </c>
      <c r="E1596" s="2">
        <v>1</v>
      </c>
      <c r="F1596" s="2">
        <v>114.27</v>
      </c>
      <c r="G1596" s="2">
        <v>218.63</v>
      </c>
      <c r="H1596" s="2" t="str">
        <f>VLOOKUP(qhkz_4dqm[[#This Row],[fuel_type]],lookup!A:B,2,FALSE)</f>
        <v>Gasoline</v>
      </c>
      <c r="I1596" s="2">
        <f ca="1">YEAR(TODAY())-qhkz_4dqm[[#This Row],[year]]</f>
        <v>5</v>
      </c>
      <c r="J1596" s="2" t="str" cm="1">
        <f t="array" aca="1" ref="J1596" ca="1">_xlfn.IFS(qhkz_4dqm[[#This Row],[vehicle_age]]&lt;=3,"Newer",qhkz_4dqm[[#This Row],[vehicle_age]]&lt;=9,"Mid-age",qhkz_4dqm[[#This Row],[vehicle_age]]&lt;=19,"Older",qhkz_4dqm[[#This Row],[vehicle_age]]&gt;=20,"Very Old")</f>
        <v>Mid-age</v>
      </c>
    </row>
    <row r="1597" spans="1:10">
      <c r="A1597" s="2">
        <v>24152047</v>
      </c>
      <c r="B1597" s="2">
        <v>2415204701</v>
      </c>
      <c r="C1597" s="2">
        <v>1</v>
      </c>
      <c r="D1597" s="2">
        <v>2012</v>
      </c>
      <c r="E1597" s="2">
        <v>1</v>
      </c>
      <c r="F1597" s="2">
        <v>1463.01</v>
      </c>
      <c r="G1597" s="2">
        <v>2450.66</v>
      </c>
      <c r="H1597" s="2" t="str">
        <f>VLOOKUP(qhkz_4dqm[[#This Row],[fuel_type]],lookup!A:B,2,FALSE)</f>
        <v>Gasoline</v>
      </c>
      <c r="I1597" s="2">
        <f ca="1">YEAR(TODAY())-qhkz_4dqm[[#This Row],[year]]</f>
        <v>14</v>
      </c>
      <c r="J1597" s="2" t="str" cm="1">
        <f t="array" aca="1" ref="J1597" ca="1">_xlfn.IFS(qhkz_4dqm[[#This Row],[vehicle_age]]&lt;=3,"Newer",qhkz_4dqm[[#This Row],[vehicle_age]]&lt;=9,"Mid-age",qhkz_4dqm[[#This Row],[vehicle_age]]&lt;=19,"Older",qhkz_4dqm[[#This Row],[vehicle_age]]&gt;=20,"Very Old")</f>
        <v>Older</v>
      </c>
    </row>
    <row r="1598" spans="1:10">
      <c r="A1598" s="2">
        <v>24152051</v>
      </c>
      <c r="B1598" s="2">
        <v>2415205101</v>
      </c>
      <c r="C1598" s="2">
        <v>1</v>
      </c>
      <c r="D1598" s="2">
        <v>2004</v>
      </c>
      <c r="E1598" s="2">
        <v>1</v>
      </c>
      <c r="F1598" s="2">
        <v>5478.14</v>
      </c>
      <c r="G1598" s="2">
        <v>1855.05</v>
      </c>
      <c r="H1598" s="2" t="str">
        <f>VLOOKUP(qhkz_4dqm[[#This Row],[fuel_type]],lookup!A:B,2,FALSE)</f>
        <v>Gasoline</v>
      </c>
      <c r="I1598" s="2">
        <f ca="1">YEAR(TODAY())-qhkz_4dqm[[#This Row],[year]]</f>
        <v>22</v>
      </c>
      <c r="J1598" s="2" t="str" cm="1">
        <f t="array" aca="1" ref="J1598" ca="1">_xlfn.IFS(qhkz_4dqm[[#This Row],[vehicle_age]]&lt;=3,"Newer",qhkz_4dqm[[#This Row],[vehicle_age]]&lt;=9,"Mid-age",qhkz_4dqm[[#This Row],[vehicle_age]]&lt;=19,"Older",qhkz_4dqm[[#This Row],[vehicle_age]]&gt;=20,"Very Old")</f>
        <v>Very Old</v>
      </c>
    </row>
    <row r="1599" spans="1:10">
      <c r="A1599" s="2">
        <v>24152073</v>
      </c>
      <c r="B1599" s="2">
        <v>2415207301</v>
      </c>
      <c r="C1599" s="2">
        <v>1</v>
      </c>
      <c r="D1599" s="2">
        <v>1997</v>
      </c>
      <c r="E1599" s="2">
        <v>1</v>
      </c>
      <c r="F1599" s="2">
        <v>192.72</v>
      </c>
      <c r="G1599" s="2">
        <v>528.6</v>
      </c>
      <c r="H1599" s="2" t="str">
        <f>VLOOKUP(qhkz_4dqm[[#This Row],[fuel_type]],lookup!A:B,2,FALSE)</f>
        <v>Gasoline</v>
      </c>
      <c r="I1599" s="2">
        <f ca="1">YEAR(TODAY())-qhkz_4dqm[[#This Row],[year]]</f>
        <v>29</v>
      </c>
      <c r="J1599" s="2" t="str" cm="1">
        <f t="array" aca="1" ref="J1599" ca="1">_xlfn.IFS(qhkz_4dqm[[#This Row],[vehicle_age]]&lt;=3,"Newer",qhkz_4dqm[[#This Row],[vehicle_age]]&lt;=9,"Mid-age",qhkz_4dqm[[#This Row],[vehicle_age]]&lt;=19,"Older",qhkz_4dqm[[#This Row],[vehicle_age]]&gt;=20,"Very Old")</f>
        <v>Very Old</v>
      </c>
    </row>
    <row r="1600" spans="1:10">
      <c r="A1600" s="2">
        <v>24152083</v>
      </c>
      <c r="B1600" s="2">
        <v>2415208301</v>
      </c>
      <c r="C1600" s="2">
        <v>1</v>
      </c>
      <c r="D1600" s="2">
        <v>2015</v>
      </c>
      <c r="E1600" s="2">
        <v>1</v>
      </c>
      <c r="F1600" s="2">
        <v>159.76</v>
      </c>
      <c r="G1600" s="2">
        <v>529.22</v>
      </c>
      <c r="H1600" s="2" t="str">
        <f>VLOOKUP(qhkz_4dqm[[#This Row],[fuel_type]],lookup!A:B,2,FALSE)</f>
        <v>Gasoline</v>
      </c>
      <c r="I1600" s="2">
        <f ca="1">YEAR(TODAY())-qhkz_4dqm[[#This Row],[year]]</f>
        <v>11</v>
      </c>
      <c r="J1600" s="2" t="str" cm="1">
        <f t="array" aca="1" ref="J1600" ca="1">_xlfn.IFS(qhkz_4dqm[[#This Row],[vehicle_age]]&lt;=3,"Newer",qhkz_4dqm[[#This Row],[vehicle_age]]&lt;=9,"Mid-age",qhkz_4dqm[[#This Row],[vehicle_age]]&lt;=19,"Older",qhkz_4dqm[[#This Row],[vehicle_age]]&gt;=20,"Very Old")</f>
        <v>Older</v>
      </c>
    </row>
    <row r="1601" spans="1:10">
      <c r="A1601" s="2">
        <v>24152084</v>
      </c>
      <c r="B1601" s="2">
        <v>2415208401</v>
      </c>
      <c r="C1601" s="2">
        <v>1</v>
      </c>
      <c r="D1601" s="2">
        <v>2019</v>
      </c>
      <c r="E1601" s="2">
        <v>1</v>
      </c>
      <c r="F1601" s="2">
        <v>125.7</v>
      </c>
      <c r="G1601" s="2">
        <v>765.78</v>
      </c>
      <c r="H1601" s="2" t="str">
        <f>VLOOKUP(qhkz_4dqm[[#This Row],[fuel_type]],lookup!A:B,2,FALSE)</f>
        <v>Gasoline</v>
      </c>
      <c r="I1601" s="2">
        <f ca="1">YEAR(TODAY())-qhkz_4dqm[[#This Row],[year]]</f>
        <v>7</v>
      </c>
      <c r="J1601" s="2" t="str" cm="1">
        <f t="array" aca="1" ref="J1601" ca="1">_xlfn.IFS(qhkz_4dqm[[#This Row],[vehicle_age]]&lt;=3,"Newer",qhkz_4dqm[[#This Row],[vehicle_age]]&lt;=9,"Mid-age",qhkz_4dqm[[#This Row],[vehicle_age]]&lt;=19,"Older",qhkz_4dqm[[#This Row],[vehicle_age]]&gt;=20,"Very Old")</f>
        <v>Mid-age</v>
      </c>
    </row>
    <row r="1602" spans="1:10">
      <c r="A1602" s="2">
        <v>24152114</v>
      </c>
      <c r="B1602" s="2">
        <v>2415211401</v>
      </c>
      <c r="C1602" s="2">
        <v>1</v>
      </c>
      <c r="D1602" s="2">
        <v>2023</v>
      </c>
      <c r="E1602" s="2">
        <v>1</v>
      </c>
      <c r="F1602" s="2">
        <v>1373.01</v>
      </c>
      <c r="G1602" s="2">
        <v>1197.81</v>
      </c>
      <c r="H1602" s="2" t="str">
        <f>VLOOKUP(qhkz_4dqm[[#This Row],[fuel_type]],lookup!A:B,2,FALSE)</f>
        <v>Gasoline</v>
      </c>
      <c r="I1602" s="2">
        <f ca="1">YEAR(TODAY())-qhkz_4dqm[[#This Row],[year]]</f>
        <v>3</v>
      </c>
      <c r="J1602" s="2" t="str" cm="1">
        <f t="array" aca="1" ref="J1602" ca="1">_xlfn.IFS(qhkz_4dqm[[#This Row],[vehicle_age]]&lt;=3,"Newer",qhkz_4dqm[[#This Row],[vehicle_age]]&lt;=9,"Mid-age",qhkz_4dqm[[#This Row],[vehicle_age]]&lt;=19,"Older",qhkz_4dqm[[#This Row],[vehicle_age]]&gt;=20,"Very Old")</f>
        <v>Newer</v>
      </c>
    </row>
    <row r="1603" spans="1:10">
      <c r="A1603" s="2">
        <v>24152122</v>
      </c>
      <c r="B1603" s="2">
        <v>2415212201</v>
      </c>
      <c r="C1603" s="2">
        <v>1</v>
      </c>
      <c r="D1603" s="2">
        <v>2013</v>
      </c>
      <c r="E1603" s="2">
        <v>1</v>
      </c>
      <c r="F1603" s="2">
        <v>3653.1</v>
      </c>
      <c r="G1603" s="2">
        <v>2481.09</v>
      </c>
      <c r="H1603" s="2" t="str">
        <f>VLOOKUP(qhkz_4dqm[[#This Row],[fuel_type]],lookup!A:B,2,FALSE)</f>
        <v>Gasoline</v>
      </c>
      <c r="I1603" s="2">
        <f ca="1">YEAR(TODAY())-qhkz_4dqm[[#This Row],[year]]</f>
        <v>13</v>
      </c>
      <c r="J1603" s="2" t="str" cm="1">
        <f t="array" aca="1" ref="J1603" ca="1">_xlfn.IFS(qhkz_4dqm[[#This Row],[vehicle_age]]&lt;=3,"Newer",qhkz_4dqm[[#This Row],[vehicle_age]]&lt;=9,"Mid-age",qhkz_4dqm[[#This Row],[vehicle_age]]&lt;=19,"Older",qhkz_4dqm[[#This Row],[vehicle_age]]&gt;=20,"Very Old")</f>
        <v>Older</v>
      </c>
    </row>
    <row r="1604" spans="1:10">
      <c r="A1604" s="2">
        <v>24152135</v>
      </c>
      <c r="B1604" s="2">
        <v>2415213501</v>
      </c>
      <c r="C1604" s="2">
        <v>1</v>
      </c>
      <c r="D1604" s="2">
        <v>2008</v>
      </c>
      <c r="E1604" s="2">
        <v>1</v>
      </c>
      <c r="F1604" s="2">
        <v>1409.53</v>
      </c>
      <c r="G1604" s="2">
        <v>1162.9100000000001</v>
      </c>
      <c r="H1604" s="2" t="str">
        <f>VLOOKUP(qhkz_4dqm[[#This Row],[fuel_type]],lookup!A:B,2,FALSE)</f>
        <v>Gasoline</v>
      </c>
      <c r="I1604" s="2">
        <f ca="1">YEAR(TODAY())-qhkz_4dqm[[#This Row],[year]]</f>
        <v>18</v>
      </c>
      <c r="J1604" s="2" t="str" cm="1">
        <f t="array" aca="1" ref="J1604" ca="1">_xlfn.IFS(qhkz_4dqm[[#This Row],[vehicle_age]]&lt;=3,"Newer",qhkz_4dqm[[#This Row],[vehicle_age]]&lt;=9,"Mid-age",qhkz_4dqm[[#This Row],[vehicle_age]]&lt;=19,"Older",qhkz_4dqm[[#This Row],[vehicle_age]]&gt;=20,"Very Old")</f>
        <v>Older</v>
      </c>
    </row>
    <row r="1605" spans="1:10">
      <c r="A1605" s="2">
        <v>24152147</v>
      </c>
      <c r="B1605" s="2">
        <v>2415214701</v>
      </c>
      <c r="C1605" s="2">
        <v>1</v>
      </c>
      <c r="D1605" s="2">
        <v>2013</v>
      </c>
      <c r="E1605" s="2">
        <v>1</v>
      </c>
      <c r="F1605" s="2">
        <v>93.74</v>
      </c>
      <c r="G1605" s="2">
        <v>306.68</v>
      </c>
      <c r="H1605" s="2" t="str">
        <f>VLOOKUP(qhkz_4dqm[[#This Row],[fuel_type]],lookup!A:B,2,FALSE)</f>
        <v>Gasoline</v>
      </c>
      <c r="I1605" s="2">
        <f ca="1">YEAR(TODAY())-qhkz_4dqm[[#This Row],[year]]</f>
        <v>13</v>
      </c>
      <c r="J1605" s="2" t="str" cm="1">
        <f t="array" aca="1" ref="J1605" ca="1">_xlfn.IFS(qhkz_4dqm[[#This Row],[vehicle_age]]&lt;=3,"Newer",qhkz_4dqm[[#This Row],[vehicle_age]]&lt;=9,"Mid-age",qhkz_4dqm[[#This Row],[vehicle_age]]&lt;=19,"Older",qhkz_4dqm[[#This Row],[vehicle_age]]&gt;=20,"Very Old")</f>
        <v>Older</v>
      </c>
    </row>
    <row r="1606" spans="1:10">
      <c r="A1606" s="2">
        <v>24152149</v>
      </c>
      <c r="B1606" s="2">
        <v>2415214901</v>
      </c>
      <c r="C1606" s="2">
        <v>1</v>
      </c>
      <c r="D1606" s="2">
        <v>2019</v>
      </c>
      <c r="E1606" s="2">
        <v>1</v>
      </c>
      <c r="F1606" s="2">
        <v>1068.8900000000001</v>
      </c>
      <c r="G1606" s="2">
        <v>572.54</v>
      </c>
      <c r="H1606" s="2" t="str">
        <f>VLOOKUP(qhkz_4dqm[[#This Row],[fuel_type]],lookup!A:B,2,FALSE)</f>
        <v>Gasoline</v>
      </c>
      <c r="I1606" s="2">
        <f ca="1">YEAR(TODAY())-qhkz_4dqm[[#This Row],[year]]</f>
        <v>7</v>
      </c>
      <c r="J1606" s="2" t="str" cm="1">
        <f t="array" aca="1" ref="J1606" ca="1">_xlfn.IFS(qhkz_4dqm[[#This Row],[vehicle_age]]&lt;=3,"Newer",qhkz_4dqm[[#This Row],[vehicle_age]]&lt;=9,"Mid-age",qhkz_4dqm[[#This Row],[vehicle_age]]&lt;=19,"Older",qhkz_4dqm[[#This Row],[vehicle_age]]&gt;=20,"Very Old")</f>
        <v>Mid-age</v>
      </c>
    </row>
    <row r="1607" spans="1:10">
      <c r="A1607" s="2">
        <v>24152157</v>
      </c>
      <c r="B1607" s="2">
        <v>2415215701</v>
      </c>
      <c r="C1607" s="2">
        <v>1</v>
      </c>
      <c r="D1607" s="2">
        <v>2022</v>
      </c>
      <c r="E1607" s="2">
        <v>4</v>
      </c>
      <c r="F1607" s="2">
        <v>612.30999999999995</v>
      </c>
      <c r="G1607" s="2">
        <v>1015.95</v>
      </c>
      <c r="H1607" s="2" t="str">
        <f>VLOOKUP(qhkz_4dqm[[#This Row],[fuel_type]],lookup!A:B,2,FALSE)</f>
        <v>Electric</v>
      </c>
      <c r="I1607" s="2">
        <f ca="1">YEAR(TODAY())-qhkz_4dqm[[#This Row],[year]]</f>
        <v>4</v>
      </c>
      <c r="J1607" s="2" t="str" cm="1">
        <f t="array" aca="1" ref="J1607" ca="1">_xlfn.IFS(qhkz_4dqm[[#This Row],[vehicle_age]]&lt;=3,"Newer",qhkz_4dqm[[#This Row],[vehicle_age]]&lt;=9,"Mid-age",qhkz_4dqm[[#This Row],[vehicle_age]]&lt;=19,"Older",qhkz_4dqm[[#This Row],[vehicle_age]]&gt;=20,"Very Old")</f>
        <v>Mid-age</v>
      </c>
    </row>
    <row r="1608" spans="1:10">
      <c r="A1608" s="2">
        <v>24152164</v>
      </c>
      <c r="B1608" s="2">
        <v>2415216401</v>
      </c>
      <c r="C1608" s="2">
        <v>1</v>
      </c>
      <c r="D1608" s="2">
        <v>2017</v>
      </c>
      <c r="E1608" s="2">
        <v>1</v>
      </c>
      <c r="F1608" s="2">
        <v>2290.37</v>
      </c>
      <c r="G1608" s="2">
        <v>707.96</v>
      </c>
      <c r="H1608" s="2" t="str">
        <f>VLOOKUP(qhkz_4dqm[[#This Row],[fuel_type]],lookup!A:B,2,FALSE)</f>
        <v>Gasoline</v>
      </c>
      <c r="I1608" s="2">
        <f ca="1">YEAR(TODAY())-qhkz_4dqm[[#This Row],[year]]</f>
        <v>9</v>
      </c>
      <c r="J1608" s="2" t="str" cm="1">
        <f t="array" aca="1" ref="J1608" ca="1">_xlfn.IFS(qhkz_4dqm[[#This Row],[vehicle_age]]&lt;=3,"Newer",qhkz_4dqm[[#This Row],[vehicle_age]]&lt;=9,"Mid-age",qhkz_4dqm[[#This Row],[vehicle_age]]&lt;=19,"Older",qhkz_4dqm[[#This Row],[vehicle_age]]&gt;=20,"Very Old")</f>
        <v>Mid-age</v>
      </c>
    </row>
    <row r="1609" spans="1:10">
      <c r="A1609" s="2">
        <v>24152165</v>
      </c>
      <c r="B1609" s="2">
        <v>2415216501</v>
      </c>
      <c r="C1609" s="2">
        <v>1</v>
      </c>
      <c r="D1609" s="2">
        <v>2024</v>
      </c>
      <c r="E1609" s="2">
        <v>1</v>
      </c>
      <c r="F1609" s="2">
        <v>50.07</v>
      </c>
      <c r="G1609" s="2">
        <v>195.98</v>
      </c>
      <c r="H1609" s="2" t="str">
        <f>VLOOKUP(qhkz_4dqm[[#This Row],[fuel_type]],lookup!A:B,2,FALSE)</f>
        <v>Gasoline</v>
      </c>
      <c r="I1609" s="2">
        <f ca="1">YEAR(TODAY())-qhkz_4dqm[[#This Row],[year]]</f>
        <v>2</v>
      </c>
      <c r="J1609" s="2" t="str" cm="1">
        <f t="array" aca="1" ref="J1609" ca="1">_xlfn.IFS(qhkz_4dqm[[#This Row],[vehicle_age]]&lt;=3,"Newer",qhkz_4dqm[[#This Row],[vehicle_age]]&lt;=9,"Mid-age",qhkz_4dqm[[#This Row],[vehicle_age]]&lt;=19,"Older",qhkz_4dqm[[#This Row],[vehicle_age]]&gt;=20,"Very Old")</f>
        <v>Newer</v>
      </c>
    </row>
    <row r="1610" spans="1:10">
      <c r="A1610" s="2">
        <v>24152171</v>
      </c>
      <c r="B1610" s="2">
        <v>2415217101</v>
      </c>
      <c r="C1610" s="2">
        <v>1</v>
      </c>
      <c r="D1610" s="2">
        <v>2018</v>
      </c>
      <c r="E1610" s="2">
        <v>1</v>
      </c>
      <c r="F1610" s="2">
        <v>71.92</v>
      </c>
      <c r="G1610" s="2">
        <v>262.04000000000002</v>
      </c>
      <c r="H1610" s="2" t="str">
        <f>VLOOKUP(qhkz_4dqm[[#This Row],[fuel_type]],lookup!A:B,2,FALSE)</f>
        <v>Gasoline</v>
      </c>
      <c r="I1610" s="2">
        <f ca="1">YEAR(TODAY())-qhkz_4dqm[[#This Row],[year]]</f>
        <v>8</v>
      </c>
      <c r="J1610" s="2" t="str" cm="1">
        <f t="array" aca="1" ref="J1610" ca="1">_xlfn.IFS(qhkz_4dqm[[#This Row],[vehicle_age]]&lt;=3,"Newer",qhkz_4dqm[[#This Row],[vehicle_age]]&lt;=9,"Mid-age",qhkz_4dqm[[#This Row],[vehicle_age]]&lt;=19,"Older",qhkz_4dqm[[#This Row],[vehicle_age]]&gt;=20,"Very Old")</f>
        <v>Mid-age</v>
      </c>
    </row>
    <row r="1611" spans="1:10">
      <c r="A1611" s="2">
        <v>24152178</v>
      </c>
      <c r="B1611" s="2">
        <v>2415217801</v>
      </c>
      <c r="C1611" s="2">
        <v>1</v>
      </c>
      <c r="D1611" s="2">
        <v>2024</v>
      </c>
      <c r="E1611" s="2">
        <v>1</v>
      </c>
      <c r="F1611" s="2">
        <v>395.65</v>
      </c>
      <c r="G1611" s="2">
        <v>342.53</v>
      </c>
      <c r="H1611" s="2" t="str">
        <f>VLOOKUP(qhkz_4dqm[[#This Row],[fuel_type]],lookup!A:B,2,FALSE)</f>
        <v>Gasoline</v>
      </c>
      <c r="I1611" s="2">
        <f ca="1">YEAR(TODAY())-qhkz_4dqm[[#This Row],[year]]</f>
        <v>2</v>
      </c>
      <c r="J1611" s="2" t="str" cm="1">
        <f t="array" aca="1" ref="J1611" ca="1">_xlfn.IFS(qhkz_4dqm[[#This Row],[vehicle_age]]&lt;=3,"Newer",qhkz_4dqm[[#This Row],[vehicle_age]]&lt;=9,"Mid-age",qhkz_4dqm[[#This Row],[vehicle_age]]&lt;=19,"Older",qhkz_4dqm[[#This Row],[vehicle_age]]&gt;=20,"Very Old")</f>
        <v>Newer</v>
      </c>
    </row>
    <row r="1612" spans="1:10">
      <c r="A1612" s="2">
        <v>24152186</v>
      </c>
      <c r="B1612" s="2">
        <v>2415218601</v>
      </c>
      <c r="C1612" s="2">
        <v>1</v>
      </c>
      <c r="D1612" s="2">
        <v>2016</v>
      </c>
      <c r="E1612" s="2">
        <v>1</v>
      </c>
      <c r="F1612" s="2">
        <v>370.62</v>
      </c>
      <c r="G1612" s="2">
        <v>615.77</v>
      </c>
      <c r="H1612" s="2" t="str">
        <f>VLOOKUP(qhkz_4dqm[[#This Row],[fuel_type]],lookup!A:B,2,FALSE)</f>
        <v>Gasoline</v>
      </c>
      <c r="I1612" s="2">
        <f ca="1">YEAR(TODAY())-qhkz_4dqm[[#This Row],[year]]</f>
        <v>10</v>
      </c>
      <c r="J1612" s="2" t="str" cm="1">
        <f t="array" aca="1" ref="J1612" ca="1">_xlfn.IFS(qhkz_4dqm[[#This Row],[vehicle_age]]&lt;=3,"Newer",qhkz_4dqm[[#This Row],[vehicle_age]]&lt;=9,"Mid-age",qhkz_4dqm[[#This Row],[vehicle_age]]&lt;=19,"Older",qhkz_4dqm[[#This Row],[vehicle_age]]&gt;=20,"Very Old")</f>
        <v>Older</v>
      </c>
    </row>
    <row r="1613" spans="1:10">
      <c r="A1613" s="2">
        <v>24152188</v>
      </c>
      <c r="B1613" s="2">
        <v>2415218801</v>
      </c>
      <c r="C1613" s="2">
        <v>1</v>
      </c>
      <c r="D1613" s="2">
        <v>2021</v>
      </c>
      <c r="E1613" s="2">
        <v>1</v>
      </c>
      <c r="F1613" s="2">
        <v>238.13</v>
      </c>
      <c r="G1613" s="2">
        <v>503.29</v>
      </c>
      <c r="H1613" s="2" t="str">
        <f>VLOOKUP(qhkz_4dqm[[#This Row],[fuel_type]],lookup!A:B,2,FALSE)</f>
        <v>Gasoline</v>
      </c>
      <c r="I1613" s="2">
        <f ca="1">YEAR(TODAY())-qhkz_4dqm[[#This Row],[year]]</f>
        <v>5</v>
      </c>
      <c r="J1613" s="2" t="str" cm="1">
        <f t="array" aca="1" ref="J1613" ca="1">_xlfn.IFS(qhkz_4dqm[[#This Row],[vehicle_age]]&lt;=3,"Newer",qhkz_4dqm[[#This Row],[vehicle_age]]&lt;=9,"Mid-age",qhkz_4dqm[[#This Row],[vehicle_age]]&lt;=19,"Older",qhkz_4dqm[[#This Row],[vehicle_age]]&gt;=20,"Very Old")</f>
        <v>Mid-age</v>
      </c>
    </row>
    <row r="1614" spans="1:10">
      <c r="A1614" s="2">
        <v>24152199</v>
      </c>
      <c r="B1614" s="2">
        <v>2415219901</v>
      </c>
      <c r="C1614" s="2">
        <v>1</v>
      </c>
      <c r="D1614" s="2">
        <v>2022</v>
      </c>
      <c r="E1614" s="2">
        <v>1</v>
      </c>
      <c r="F1614" s="2">
        <v>125.54</v>
      </c>
      <c r="G1614" s="2">
        <v>220.49</v>
      </c>
      <c r="H1614" s="2" t="str">
        <f>VLOOKUP(qhkz_4dqm[[#This Row],[fuel_type]],lookup!A:B,2,FALSE)</f>
        <v>Gasoline</v>
      </c>
      <c r="I1614" s="2">
        <f ca="1">YEAR(TODAY())-qhkz_4dqm[[#This Row],[year]]</f>
        <v>4</v>
      </c>
      <c r="J1614" s="2" t="str" cm="1">
        <f t="array" aca="1" ref="J1614" ca="1">_xlfn.IFS(qhkz_4dqm[[#This Row],[vehicle_age]]&lt;=3,"Newer",qhkz_4dqm[[#This Row],[vehicle_age]]&lt;=9,"Mid-age",qhkz_4dqm[[#This Row],[vehicle_age]]&lt;=19,"Older",qhkz_4dqm[[#This Row],[vehicle_age]]&gt;=20,"Very Old")</f>
        <v>Mid-age</v>
      </c>
    </row>
    <row r="1615" spans="1:10">
      <c r="A1615" s="2">
        <v>24152204</v>
      </c>
      <c r="B1615" s="2">
        <v>2415220401</v>
      </c>
      <c r="C1615" s="2">
        <v>1</v>
      </c>
      <c r="D1615" s="2">
        <v>2021</v>
      </c>
      <c r="E1615" s="2">
        <v>1</v>
      </c>
      <c r="F1615" s="2">
        <v>505.01</v>
      </c>
      <c r="G1615" s="2">
        <v>839.54</v>
      </c>
      <c r="H1615" s="2" t="str">
        <f>VLOOKUP(qhkz_4dqm[[#This Row],[fuel_type]],lookup!A:B,2,FALSE)</f>
        <v>Gasoline</v>
      </c>
      <c r="I1615" s="2">
        <f ca="1">YEAR(TODAY())-qhkz_4dqm[[#This Row],[year]]</f>
        <v>5</v>
      </c>
      <c r="J1615" s="2" t="str" cm="1">
        <f t="array" aca="1" ref="J1615" ca="1">_xlfn.IFS(qhkz_4dqm[[#This Row],[vehicle_age]]&lt;=3,"Newer",qhkz_4dqm[[#This Row],[vehicle_age]]&lt;=9,"Mid-age",qhkz_4dqm[[#This Row],[vehicle_age]]&lt;=19,"Older",qhkz_4dqm[[#This Row],[vehicle_age]]&gt;=20,"Very Old")</f>
        <v>Mid-age</v>
      </c>
    </row>
    <row r="1616" spans="1:10">
      <c r="A1616" s="2">
        <v>24152210</v>
      </c>
      <c r="B1616" s="2">
        <v>2415221001</v>
      </c>
      <c r="C1616" s="2">
        <v>1</v>
      </c>
      <c r="D1616" s="2">
        <v>2013</v>
      </c>
      <c r="E1616" s="2">
        <v>1</v>
      </c>
      <c r="F1616" s="2">
        <v>4.54</v>
      </c>
      <c r="G1616" s="2">
        <v>138.04</v>
      </c>
      <c r="H1616" s="2" t="str">
        <f>VLOOKUP(qhkz_4dqm[[#This Row],[fuel_type]],lookup!A:B,2,FALSE)</f>
        <v>Gasoline</v>
      </c>
      <c r="I1616" s="2">
        <f ca="1">YEAR(TODAY())-qhkz_4dqm[[#This Row],[year]]</f>
        <v>13</v>
      </c>
      <c r="J1616" s="2" t="str" cm="1">
        <f t="array" aca="1" ref="J1616" ca="1">_xlfn.IFS(qhkz_4dqm[[#This Row],[vehicle_age]]&lt;=3,"Newer",qhkz_4dqm[[#This Row],[vehicle_age]]&lt;=9,"Mid-age",qhkz_4dqm[[#This Row],[vehicle_age]]&lt;=19,"Older",qhkz_4dqm[[#This Row],[vehicle_age]]&gt;=20,"Very Old")</f>
        <v>Older</v>
      </c>
    </row>
    <row r="1617" spans="1:10">
      <c r="A1617" s="2">
        <v>24152229</v>
      </c>
      <c r="B1617" s="2">
        <v>2415222901</v>
      </c>
      <c r="C1617" s="2">
        <v>1</v>
      </c>
      <c r="D1617" s="2">
        <v>2023</v>
      </c>
      <c r="E1617" s="2">
        <v>1</v>
      </c>
      <c r="F1617" s="2">
        <v>1609.46</v>
      </c>
      <c r="G1617" s="2">
        <v>3043.15</v>
      </c>
      <c r="H1617" s="2" t="str">
        <f>VLOOKUP(qhkz_4dqm[[#This Row],[fuel_type]],lookup!A:B,2,FALSE)</f>
        <v>Gasoline</v>
      </c>
      <c r="I1617" s="2">
        <f ca="1">YEAR(TODAY())-qhkz_4dqm[[#This Row],[year]]</f>
        <v>3</v>
      </c>
      <c r="J1617" s="2" t="str" cm="1">
        <f t="array" aca="1" ref="J1617" ca="1">_xlfn.IFS(qhkz_4dqm[[#This Row],[vehicle_age]]&lt;=3,"Newer",qhkz_4dqm[[#This Row],[vehicle_age]]&lt;=9,"Mid-age",qhkz_4dqm[[#This Row],[vehicle_age]]&lt;=19,"Older",qhkz_4dqm[[#This Row],[vehicle_age]]&gt;=20,"Very Old")</f>
        <v>Newer</v>
      </c>
    </row>
    <row r="1618" spans="1:10">
      <c r="A1618" s="2">
        <v>24152234</v>
      </c>
      <c r="B1618" s="2">
        <v>2415223401</v>
      </c>
      <c r="C1618" s="2">
        <v>1</v>
      </c>
      <c r="D1618" s="2">
        <v>2009</v>
      </c>
      <c r="E1618" s="2">
        <v>1</v>
      </c>
      <c r="F1618" s="2">
        <v>576.86</v>
      </c>
      <c r="G1618" s="2">
        <v>1007.52</v>
      </c>
      <c r="H1618" s="2" t="str">
        <f>VLOOKUP(qhkz_4dqm[[#This Row],[fuel_type]],lookup!A:B,2,FALSE)</f>
        <v>Gasoline</v>
      </c>
      <c r="I1618" s="2">
        <f ca="1">YEAR(TODAY())-qhkz_4dqm[[#This Row],[year]]</f>
        <v>17</v>
      </c>
      <c r="J1618" s="2" t="str" cm="1">
        <f t="array" aca="1" ref="J1618" ca="1">_xlfn.IFS(qhkz_4dqm[[#This Row],[vehicle_age]]&lt;=3,"Newer",qhkz_4dqm[[#This Row],[vehicle_age]]&lt;=9,"Mid-age",qhkz_4dqm[[#This Row],[vehicle_age]]&lt;=19,"Older",qhkz_4dqm[[#This Row],[vehicle_age]]&gt;=20,"Very Old")</f>
        <v>Older</v>
      </c>
    </row>
    <row r="1619" spans="1:10">
      <c r="A1619" s="2">
        <v>24152238</v>
      </c>
      <c r="B1619" s="2">
        <v>2415223801</v>
      </c>
      <c r="C1619" s="2">
        <v>1</v>
      </c>
      <c r="D1619" s="2">
        <v>1998</v>
      </c>
      <c r="E1619" s="2">
        <v>1</v>
      </c>
      <c r="F1619" s="2">
        <v>1.84</v>
      </c>
      <c r="G1619" s="2">
        <v>254.03</v>
      </c>
      <c r="H1619" s="2" t="str">
        <f>VLOOKUP(qhkz_4dqm[[#This Row],[fuel_type]],lookup!A:B,2,FALSE)</f>
        <v>Gasoline</v>
      </c>
      <c r="I1619" s="2">
        <f ca="1">YEAR(TODAY())-qhkz_4dqm[[#This Row],[year]]</f>
        <v>28</v>
      </c>
      <c r="J1619" s="2" t="str" cm="1">
        <f t="array" aca="1" ref="J1619" ca="1">_xlfn.IFS(qhkz_4dqm[[#This Row],[vehicle_age]]&lt;=3,"Newer",qhkz_4dqm[[#This Row],[vehicle_age]]&lt;=9,"Mid-age",qhkz_4dqm[[#This Row],[vehicle_age]]&lt;=19,"Older",qhkz_4dqm[[#This Row],[vehicle_age]]&gt;=20,"Very Old")</f>
        <v>Very Old</v>
      </c>
    </row>
    <row r="1620" spans="1:10">
      <c r="A1620" s="2">
        <v>24152258</v>
      </c>
      <c r="B1620" s="2">
        <v>2415225801</v>
      </c>
      <c r="C1620" s="2">
        <v>1</v>
      </c>
      <c r="D1620" s="2">
        <v>2021</v>
      </c>
      <c r="E1620" s="2">
        <v>4</v>
      </c>
      <c r="F1620" s="2">
        <v>222.06</v>
      </c>
      <c r="G1620" s="2">
        <v>785.94</v>
      </c>
      <c r="H1620" s="2" t="str">
        <f>VLOOKUP(qhkz_4dqm[[#This Row],[fuel_type]],lookup!A:B,2,FALSE)</f>
        <v>Electric</v>
      </c>
      <c r="I1620" s="2">
        <f ca="1">YEAR(TODAY())-qhkz_4dqm[[#This Row],[year]]</f>
        <v>5</v>
      </c>
      <c r="J1620" s="2" t="str" cm="1">
        <f t="array" aca="1" ref="J1620" ca="1">_xlfn.IFS(qhkz_4dqm[[#This Row],[vehicle_age]]&lt;=3,"Newer",qhkz_4dqm[[#This Row],[vehicle_age]]&lt;=9,"Mid-age",qhkz_4dqm[[#This Row],[vehicle_age]]&lt;=19,"Older",qhkz_4dqm[[#This Row],[vehicle_age]]&gt;=20,"Very Old")</f>
        <v>Mid-age</v>
      </c>
    </row>
    <row r="1621" spans="1:10">
      <c r="A1621" s="2">
        <v>24152272</v>
      </c>
      <c r="B1621" s="2">
        <v>2415227201</v>
      </c>
      <c r="C1621" s="2">
        <v>1</v>
      </c>
      <c r="D1621" s="2">
        <v>2009</v>
      </c>
      <c r="E1621" s="2">
        <v>1</v>
      </c>
      <c r="F1621" s="2">
        <v>0.92</v>
      </c>
      <c r="G1621" s="2">
        <v>708.01</v>
      </c>
      <c r="H1621" s="2" t="str">
        <f>VLOOKUP(qhkz_4dqm[[#This Row],[fuel_type]],lookup!A:B,2,FALSE)</f>
        <v>Gasoline</v>
      </c>
      <c r="I1621" s="2">
        <f ca="1">YEAR(TODAY())-qhkz_4dqm[[#This Row],[year]]</f>
        <v>17</v>
      </c>
      <c r="J1621" s="2" t="str" cm="1">
        <f t="array" aca="1" ref="J1621" ca="1">_xlfn.IFS(qhkz_4dqm[[#This Row],[vehicle_age]]&lt;=3,"Newer",qhkz_4dqm[[#This Row],[vehicle_age]]&lt;=9,"Mid-age",qhkz_4dqm[[#This Row],[vehicle_age]]&lt;=19,"Older",qhkz_4dqm[[#This Row],[vehicle_age]]&gt;=20,"Very Old")</f>
        <v>Older</v>
      </c>
    </row>
    <row r="1622" spans="1:10">
      <c r="A1622" s="2">
        <v>24152283</v>
      </c>
      <c r="B1622" s="2">
        <v>2415228301</v>
      </c>
      <c r="C1622" s="2">
        <v>1</v>
      </c>
      <c r="D1622" s="2">
        <v>2017</v>
      </c>
      <c r="E1622" s="2">
        <v>1</v>
      </c>
      <c r="F1622" s="2">
        <v>556.16999999999996</v>
      </c>
      <c r="G1622" s="2">
        <v>708.01</v>
      </c>
      <c r="H1622" s="2" t="str">
        <f>VLOOKUP(qhkz_4dqm[[#This Row],[fuel_type]],lookup!A:B,2,FALSE)</f>
        <v>Gasoline</v>
      </c>
      <c r="I1622" s="2">
        <f ca="1">YEAR(TODAY())-qhkz_4dqm[[#This Row],[year]]</f>
        <v>9</v>
      </c>
      <c r="J1622" s="2" t="str" cm="1">
        <f t="array" aca="1" ref="J1622" ca="1">_xlfn.IFS(qhkz_4dqm[[#This Row],[vehicle_age]]&lt;=3,"Newer",qhkz_4dqm[[#This Row],[vehicle_age]]&lt;=9,"Mid-age",qhkz_4dqm[[#This Row],[vehicle_age]]&lt;=19,"Older",qhkz_4dqm[[#This Row],[vehicle_age]]&gt;=20,"Very Old")</f>
        <v>Mid-age</v>
      </c>
    </row>
    <row r="1623" spans="1:10">
      <c r="A1623" s="2">
        <v>24152284</v>
      </c>
      <c r="B1623" s="2">
        <v>2415228401</v>
      </c>
      <c r="C1623" s="2">
        <v>1</v>
      </c>
      <c r="D1623" s="2">
        <v>2018</v>
      </c>
      <c r="E1623" s="2">
        <v>1</v>
      </c>
      <c r="F1623" s="2">
        <v>1756.98</v>
      </c>
      <c r="G1623" s="2">
        <v>3223.21</v>
      </c>
      <c r="H1623" s="2" t="str">
        <f>VLOOKUP(qhkz_4dqm[[#This Row],[fuel_type]],lookup!A:B,2,FALSE)</f>
        <v>Gasoline</v>
      </c>
      <c r="I1623" s="2">
        <f ca="1">YEAR(TODAY())-qhkz_4dqm[[#This Row],[year]]</f>
        <v>8</v>
      </c>
      <c r="J1623" s="2" t="str" cm="1">
        <f t="array" aca="1" ref="J1623" ca="1">_xlfn.IFS(qhkz_4dqm[[#This Row],[vehicle_age]]&lt;=3,"Newer",qhkz_4dqm[[#This Row],[vehicle_age]]&lt;=9,"Mid-age",qhkz_4dqm[[#This Row],[vehicle_age]]&lt;=19,"Older",qhkz_4dqm[[#This Row],[vehicle_age]]&gt;=20,"Very Old")</f>
        <v>Mid-age</v>
      </c>
    </row>
    <row r="1624" spans="1:10">
      <c r="A1624" s="2">
        <v>24152290</v>
      </c>
      <c r="B1624" s="2">
        <v>2415229001</v>
      </c>
      <c r="C1624" s="2">
        <v>1</v>
      </c>
      <c r="D1624" s="2">
        <v>2014</v>
      </c>
      <c r="E1624" s="2">
        <v>1</v>
      </c>
      <c r="F1624" s="2">
        <v>3032.18</v>
      </c>
      <c r="G1624" s="2">
        <v>3008.35</v>
      </c>
      <c r="H1624" s="2" t="str">
        <f>VLOOKUP(qhkz_4dqm[[#This Row],[fuel_type]],lookup!A:B,2,FALSE)</f>
        <v>Gasoline</v>
      </c>
      <c r="I1624" s="2">
        <f ca="1">YEAR(TODAY())-qhkz_4dqm[[#This Row],[year]]</f>
        <v>12</v>
      </c>
      <c r="J1624" s="2" t="str" cm="1">
        <f t="array" aca="1" ref="J1624" ca="1">_xlfn.IFS(qhkz_4dqm[[#This Row],[vehicle_age]]&lt;=3,"Newer",qhkz_4dqm[[#This Row],[vehicle_age]]&lt;=9,"Mid-age",qhkz_4dqm[[#This Row],[vehicle_age]]&lt;=19,"Older",qhkz_4dqm[[#This Row],[vehicle_age]]&gt;=20,"Very Old")</f>
        <v>Older</v>
      </c>
    </row>
    <row r="1625" spans="1:10">
      <c r="A1625" s="2">
        <v>24152294</v>
      </c>
      <c r="B1625" s="2">
        <v>2415229401</v>
      </c>
      <c r="C1625" s="2">
        <v>1</v>
      </c>
      <c r="D1625" s="2">
        <v>2000</v>
      </c>
      <c r="E1625" s="2">
        <v>1</v>
      </c>
      <c r="F1625" s="2">
        <v>113.05</v>
      </c>
      <c r="G1625" s="2">
        <v>257.54000000000002</v>
      </c>
      <c r="H1625" s="2" t="str">
        <f>VLOOKUP(qhkz_4dqm[[#This Row],[fuel_type]],lookup!A:B,2,FALSE)</f>
        <v>Gasoline</v>
      </c>
      <c r="I1625" s="2">
        <f ca="1">YEAR(TODAY())-qhkz_4dqm[[#This Row],[year]]</f>
        <v>26</v>
      </c>
      <c r="J1625" s="2" t="str" cm="1">
        <f t="array" aca="1" ref="J1625" ca="1">_xlfn.IFS(qhkz_4dqm[[#This Row],[vehicle_age]]&lt;=3,"Newer",qhkz_4dqm[[#This Row],[vehicle_age]]&lt;=9,"Mid-age",qhkz_4dqm[[#This Row],[vehicle_age]]&lt;=19,"Older",qhkz_4dqm[[#This Row],[vehicle_age]]&gt;=20,"Very Old")</f>
        <v>Very Old</v>
      </c>
    </row>
    <row r="1626" spans="1:10">
      <c r="A1626" s="2">
        <v>24152302</v>
      </c>
      <c r="B1626" s="2">
        <v>2415230201</v>
      </c>
      <c r="C1626" s="2">
        <v>1</v>
      </c>
      <c r="D1626" s="2">
        <v>2018</v>
      </c>
      <c r="E1626" s="2">
        <v>1</v>
      </c>
      <c r="F1626" s="2">
        <v>749.43</v>
      </c>
      <c r="G1626" s="2">
        <v>665.59</v>
      </c>
      <c r="H1626" s="2" t="str">
        <f>VLOOKUP(qhkz_4dqm[[#This Row],[fuel_type]],lookup!A:B,2,FALSE)</f>
        <v>Gasoline</v>
      </c>
      <c r="I1626" s="2">
        <f ca="1">YEAR(TODAY())-qhkz_4dqm[[#This Row],[year]]</f>
        <v>8</v>
      </c>
      <c r="J1626" s="2" t="str" cm="1">
        <f t="array" aca="1" ref="J1626" ca="1">_xlfn.IFS(qhkz_4dqm[[#This Row],[vehicle_age]]&lt;=3,"Newer",qhkz_4dqm[[#This Row],[vehicle_age]]&lt;=9,"Mid-age",qhkz_4dqm[[#This Row],[vehicle_age]]&lt;=19,"Older",qhkz_4dqm[[#This Row],[vehicle_age]]&gt;=20,"Very Old")</f>
        <v>Mid-age</v>
      </c>
    </row>
    <row r="1627" spans="1:10">
      <c r="A1627" s="2">
        <v>24152325</v>
      </c>
      <c r="B1627" s="2">
        <v>2415232501</v>
      </c>
      <c r="C1627" s="2">
        <v>1</v>
      </c>
      <c r="D1627" s="2">
        <v>2021</v>
      </c>
      <c r="E1627" s="2">
        <v>1</v>
      </c>
      <c r="F1627" s="2">
        <v>261.23</v>
      </c>
      <c r="G1627" s="2">
        <v>356.14</v>
      </c>
      <c r="H1627" s="2" t="str">
        <f>VLOOKUP(qhkz_4dqm[[#This Row],[fuel_type]],lookup!A:B,2,FALSE)</f>
        <v>Gasoline</v>
      </c>
      <c r="I1627" s="2">
        <f ca="1">YEAR(TODAY())-qhkz_4dqm[[#This Row],[year]]</f>
        <v>5</v>
      </c>
      <c r="J1627" s="2" t="str" cm="1">
        <f t="array" aca="1" ref="J1627" ca="1">_xlfn.IFS(qhkz_4dqm[[#This Row],[vehicle_age]]&lt;=3,"Newer",qhkz_4dqm[[#This Row],[vehicle_age]]&lt;=9,"Mid-age",qhkz_4dqm[[#This Row],[vehicle_age]]&lt;=19,"Older",qhkz_4dqm[[#This Row],[vehicle_age]]&gt;=20,"Very Old")</f>
        <v>Mid-age</v>
      </c>
    </row>
    <row r="1628" spans="1:10">
      <c r="A1628" s="2">
        <v>24152347</v>
      </c>
      <c r="B1628" s="2">
        <v>2415234701</v>
      </c>
      <c r="C1628" s="2">
        <v>1</v>
      </c>
      <c r="D1628" s="2">
        <v>2016</v>
      </c>
      <c r="E1628" s="2">
        <v>1</v>
      </c>
      <c r="F1628" s="2">
        <v>246.55</v>
      </c>
      <c r="G1628" s="2">
        <v>594.72</v>
      </c>
      <c r="H1628" s="2" t="str">
        <f>VLOOKUP(qhkz_4dqm[[#This Row],[fuel_type]],lookup!A:B,2,FALSE)</f>
        <v>Gasoline</v>
      </c>
      <c r="I1628" s="2">
        <f ca="1">YEAR(TODAY())-qhkz_4dqm[[#This Row],[year]]</f>
        <v>10</v>
      </c>
      <c r="J1628" s="2" t="str" cm="1">
        <f t="array" aca="1" ref="J1628" ca="1">_xlfn.IFS(qhkz_4dqm[[#This Row],[vehicle_age]]&lt;=3,"Newer",qhkz_4dqm[[#This Row],[vehicle_age]]&lt;=9,"Mid-age",qhkz_4dqm[[#This Row],[vehicle_age]]&lt;=19,"Older",qhkz_4dqm[[#This Row],[vehicle_age]]&gt;=20,"Very Old")</f>
        <v>Older</v>
      </c>
    </row>
    <row r="1629" spans="1:10">
      <c r="A1629" s="2">
        <v>24152349</v>
      </c>
      <c r="B1629" s="2">
        <v>2415234901</v>
      </c>
      <c r="C1629" s="2">
        <v>1</v>
      </c>
      <c r="D1629" s="2">
        <v>2021</v>
      </c>
      <c r="E1629" s="2">
        <v>1</v>
      </c>
      <c r="F1629" s="2">
        <v>562.5</v>
      </c>
      <c r="G1629" s="2">
        <v>595.75</v>
      </c>
      <c r="H1629" s="2" t="str">
        <f>VLOOKUP(qhkz_4dqm[[#This Row],[fuel_type]],lookup!A:B,2,FALSE)</f>
        <v>Gasoline</v>
      </c>
      <c r="I1629" s="2">
        <f ca="1">YEAR(TODAY())-qhkz_4dqm[[#This Row],[year]]</f>
        <v>5</v>
      </c>
      <c r="J1629" s="2" t="str" cm="1">
        <f t="array" aca="1" ref="J1629" ca="1">_xlfn.IFS(qhkz_4dqm[[#This Row],[vehicle_age]]&lt;=3,"Newer",qhkz_4dqm[[#This Row],[vehicle_age]]&lt;=9,"Mid-age",qhkz_4dqm[[#This Row],[vehicle_age]]&lt;=19,"Older",qhkz_4dqm[[#This Row],[vehicle_age]]&gt;=20,"Very Old")</f>
        <v>Mid-age</v>
      </c>
    </row>
    <row r="1630" spans="1:10">
      <c r="A1630" s="2">
        <v>24152353</v>
      </c>
      <c r="B1630" s="2">
        <v>2415235301</v>
      </c>
      <c r="C1630" s="2">
        <v>1</v>
      </c>
      <c r="D1630" s="2">
        <v>2015</v>
      </c>
      <c r="E1630" s="2">
        <v>1</v>
      </c>
      <c r="F1630" s="2">
        <v>3031.44</v>
      </c>
      <c r="G1630" s="2">
        <v>3008.35</v>
      </c>
      <c r="H1630" s="2" t="str">
        <f>VLOOKUP(qhkz_4dqm[[#This Row],[fuel_type]],lookup!A:B,2,FALSE)</f>
        <v>Gasoline</v>
      </c>
      <c r="I1630" s="2">
        <f ca="1">YEAR(TODAY())-qhkz_4dqm[[#This Row],[year]]</f>
        <v>11</v>
      </c>
      <c r="J1630" s="2" t="str" cm="1">
        <f t="array" aca="1" ref="J1630" ca="1">_xlfn.IFS(qhkz_4dqm[[#This Row],[vehicle_age]]&lt;=3,"Newer",qhkz_4dqm[[#This Row],[vehicle_age]]&lt;=9,"Mid-age",qhkz_4dqm[[#This Row],[vehicle_age]]&lt;=19,"Older",qhkz_4dqm[[#This Row],[vehicle_age]]&gt;=20,"Very Old")</f>
        <v>Older</v>
      </c>
    </row>
    <row r="1631" spans="1:10">
      <c r="A1631" s="2">
        <v>24152360</v>
      </c>
      <c r="B1631" s="2">
        <v>2415236001</v>
      </c>
      <c r="C1631" s="2">
        <v>1</v>
      </c>
      <c r="D1631" s="2">
        <v>2003</v>
      </c>
      <c r="E1631" s="2">
        <v>1</v>
      </c>
      <c r="F1631" s="2">
        <v>428.33</v>
      </c>
      <c r="G1631" s="2">
        <v>506.94</v>
      </c>
      <c r="H1631" s="2" t="str">
        <f>VLOOKUP(qhkz_4dqm[[#This Row],[fuel_type]],lookup!A:B,2,FALSE)</f>
        <v>Gasoline</v>
      </c>
      <c r="I1631" s="2">
        <f ca="1">YEAR(TODAY())-qhkz_4dqm[[#This Row],[year]]</f>
        <v>23</v>
      </c>
      <c r="J1631" s="2" t="str" cm="1">
        <f t="array" aca="1" ref="J1631" ca="1">_xlfn.IFS(qhkz_4dqm[[#This Row],[vehicle_age]]&lt;=3,"Newer",qhkz_4dqm[[#This Row],[vehicle_age]]&lt;=9,"Mid-age",qhkz_4dqm[[#This Row],[vehicle_age]]&lt;=19,"Older",qhkz_4dqm[[#This Row],[vehicle_age]]&gt;=20,"Very Old")</f>
        <v>Very Old</v>
      </c>
    </row>
    <row r="1632" spans="1:10">
      <c r="A1632" s="2">
        <v>24152370</v>
      </c>
      <c r="B1632" s="2">
        <v>2415237001</v>
      </c>
      <c r="C1632" s="2">
        <v>1</v>
      </c>
      <c r="D1632" s="2">
        <v>2022</v>
      </c>
      <c r="E1632" s="2">
        <v>1</v>
      </c>
      <c r="F1632" s="2">
        <v>424.36</v>
      </c>
      <c r="G1632" s="2">
        <v>595.41999999999996</v>
      </c>
      <c r="H1632" s="2" t="str">
        <f>VLOOKUP(qhkz_4dqm[[#This Row],[fuel_type]],lookup!A:B,2,FALSE)</f>
        <v>Gasoline</v>
      </c>
      <c r="I1632" s="2">
        <f ca="1">YEAR(TODAY())-qhkz_4dqm[[#This Row],[year]]</f>
        <v>4</v>
      </c>
      <c r="J1632" s="2" t="str" cm="1">
        <f t="array" aca="1" ref="J1632" ca="1">_xlfn.IFS(qhkz_4dqm[[#This Row],[vehicle_age]]&lt;=3,"Newer",qhkz_4dqm[[#This Row],[vehicle_age]]&lt;=9,"Mid-age",qhkz_4dqm[[#This Row],[vehicle_age]]&lt;=19,"Older",qhkz_4dqm[[#This Row],[vehicle_age]]&gt;=20,"Very Old")</f>
        <v>Mid-age</v>
      </c>
    </row>
    <row r="1633" spans="1:10">
      <c r="A1633" s="2">
        <v>24152375</v>
      </c>
      <c r="B1633" s="2">
        <v>2415237501</v>
      </c>
      <c r="C1633" s="2">
        <v>1</v>
      </c>
      <c r="D1633" s="2">
        <v>2021</v>
      </c>
      <c r="E1633" s="2">
        <v>1</v>
      </c>
      <c r="F1633" s="2">
        <v>1031.19</v>
      </c>
      <c r="G1633" s="2">
        <v>1449.89</v>
      </c>
      <c r="H1633" s="2" t="str">
        <f>VLOOKUP(qhkz_4dqm[[#This Row],[fuel_type]],lookup!A:B,2,FALSE)</f>
        <v>Gasoline</v>
      </c>
      <c r="I1633" s="2">
        <f ca="1">YEAR(TODAY())-qhkz_4dqm[[#This Row],[year]]</f>
        <v>5</v>
      </c>
      <c r="J1633" s="2" t="str" cm="1">
        <f t="array" aca="1" ref="J1633" ca="1">_xlfn.IFS(qhkz_4dqm[[#This Row],[vehicle_age]]&lt;=3,"Newer",qhkz_4dqm[[#This Row],[vehicle_age]]&lt;=9,"Mid-age",qhkz_4dqm[[#This Row],[vehicle_age]]&lt;=19,"Older",qhkz_4dqm[[#This Row],[vehicle_age]]&gt;=20,"Very Old")</f>
        <v>Mid-age</v>
      </c>
    </row>
    <row r="1634" spans="1:10">
      <c r="A1634" s="2">
        <v>24152376</v>
      </c>
      <c r="B1634" s="2">
        <v>2415237601</v>
      </c>
      <c r="C1634" s="2">
        <v>1</v>
      </c>
      <c r="D1634" s="2">
        <v>2016</v>
      </c>
      <c r="E1634" s="2">
        <v>1</v>
      </c>
      <c r="F1634" s="2">
        <v>198.96</v>
      </c>
      <c r="G1634" s="2">
        <v>345.82</v>
      </c>
      <c r="H1634" s="2" t="str">
        <f>VLOOKUP(qhkz_4dqm[[#This Row],[fuel_type]],lookup!A:B,2,FALSE)</f>
        <v>Gasoline</v>
      </c>
      <c r="I1634" s="2">
        <f ca="1">YEAR(TODAY())-qhkz_4dqm[[#This Row],[year]]</f>
        <v>10</v>
      </c>
      <c r="J1634" s="2" t="str" cm="1">
        <f t="array" aca="1" ref="J1634" ca="1">_xlfn.IFS(qhkz_4dqm[[#This Row],[vehicle_age]]&lt;=3,"Newer",qhkz_4dqm[[#This Row],[vehicle_age]]&lt;=9,"Mid-age",qhkz_4dqm[[#This Row],[vehicle_age]]&lt;=19,"Older",qhkz_4dqm[[#This Row],[vehicle_age]]&gt;=20,"Very Old")</f>
        <v>Older</v>
      </c>
    </row>
    <row r="1635" spans="1:10">
      <c r="A1635" s="2">
        <v>24152389</v>
      </c>
      <c r="B1635" s="2">
        <v>2415238901</v>
      </c>
      <c r="C1635" s="2">
        <v>1</v>
      </c>
      <c r="D1635" s="2">
        <v>2008</v>
      </c>
      <c r="E1635" s="2">
        <v>1</v>
      </c>
      <c r="F1635" s="2">
        <v>211.12</v>
      </c>
      <c r="G1635" s="2">
        <v>217.63</v>
      </c>
      <c r="H1635" s="2" t="str">
        <f>VLOOKUP(qhkz_4dqm[[#This Row],[fuel_type]],lookup!A:B,2,FALSE)</f>
        <v>Gasoline</v>
      </c>
      <c r="I1635" s="2">
        <f ca="1">YEAR(TODAY())-qhkz_4dqm[[#This Row],[year]]</f>
        <v>18</v>
      </c>
      <c r="J1635" s="2" t="str" cm="1">
        <f t="array" aca="1" ref="J1635" ca="1">_xlfn.IFS(qhkz_4dqm[[#This Row],[vehicle_age]]&lt;=3,"Newer",qhkz_4dqm[[#This Row],[vehicle_age]]&lt;=9,"Mid-age",qhkz_4dqm[[#This Row],[vehicle_age]]&lt;=19,"Older",qhkz_4dqm[[#This Row],[vehicle_age]]&gt;=20,"Very Old")</f>
        <v>Older</v>
      </c>
    </row>
    <row r="1636" spans="1:10">
      <c r="A1636" s="2">
        <v>24152402</v>
      </c>
      <c r="B1636" s="2">
        <v>2415240201</v>
      </c>
      <c r="C1636" s="2">
        <v>1</v>
      </c>
      <c r="D1636" s="2">
        <v>2020</v>
      </c>
      <c r="E1636" s="2">
        <v>1</v>
      </c>
      <c r="F1636" s="2">
        <v>196.32</v>
      </c>
      <c r="G1636" s="2">
        <v>229.24</v>
      </c>
      <c r="H1636" s="2" t="str">
        <f>VLOOKUP(qhkz_4dqm[[#This Row],[fuel_type]],lookup!A:B,2,FALSE)</f>
        <v>Gasoline</v>
      </c>
      <c r="I1636" s="2">
        <f ca="1">YEAR(TODAY())-qhkz_4dqm[[#This Row],[year]]</f>
        <v>6</v>
      </c>
      <c r="J1636" s="2" t="str" cm="1">
        <f t="array" aca="1" ref="J1636" ca="1">_xlfn.IFS(qhkz_4dqm[[#This Row],[vehicle_age]]&lt;=3,"Newer",qhkz_4dqm[[#This Row],[vehicle_age]]&lt;=9,"Mid-age",qhkz_4dqm[[#This Row],[vehicle_age]]&lt;=19,"Older",qhkz_4dqm[[#This Row],[vehicle_age]]&gt;=20,"Very Old")</f>
        <v>Mid-age</v>
      </c>
    </row>
    <row r="1637" spans="1:10">
      <c r="A1637" s="2">
        <v>24152410</v>
      </c>
      <c r="B1637" s="2">
        <v>2415241001</v>
      </c>
      <c r="C1637" s="2">
        <v>1</v>
      </c>
      <c r="D1637" s="2">
        <v>2014</v>
      </c>
      <c r="E1637" s="2">
        <v>1</v>
      </c>
      <c r="F1637" s="2">
        <v>742.27</v>
      </c>
      <c r="G1637" s="2">
        <v>1220</v>
      </c>
      <c r="H1637" s="2" t="str">
        <f>VLOOKUP(qhkz_4dqm[[#This Row],[fuel_type]],lookup!A:B,2,FALSE)</f>
        <v>Gasoline</v>
      </c>
      <c r="I1637" s="2">
        <f ca="1">YEAR(TODAY())-qhkz_4dqm[[#This Row],[year]]</f>
        <v>12</v>
      </c>
      <c r="J1637" s="2" t="str" cm="1">
        <f t="array" aca="1" ref="J1637" ca="1">_xlfn.IFS(qhkz_4dqm[[#This Row],[vehicle_age]]&lt;=3,"Newer",qhkz_4dqm[[#This Row],[vehicle_age]]&lt;=9,"Mid-age",qhkz_4dqm[[#This Row],[vehicle_age]]&lt;=19,"Older",qhkz_4dqm[[#This Row],[vehicle_age]]&gt;=20,"Very Old")</f>
        <v>Older</v>
      </c>
    </row>
    <row r="1638" spans="1:10">
      <c r="A1638" s="2">
        <v>24152414</v>
      </c>
      <c r="B1638" s="2">
        <v>2415241401</v>
      </c>
      <c r="C1638" s="2">
        <v>1</v>
      </c>
      <c r="D1638" s="2">
        <v>2018</v>
      </c>
      <c r="E1638" s="2">
        <v>1</v>
      </c>
      <c r="F1638" s="2">
        <v>0.92</v>
      </c>
      <c r="G1638" s="2">
        <v>169.27</v>
      </c>
      <c r="H1638" s="2" t="str">
        <f>VLOOKUP(qhkz_4dqm[[#This Row],[fuel_type]],lookup!A:B,2,FALSE)</f>
        <v>Gasoline</v>
      </c>
      <c r="I1638" s="2">
        <f ca="1">YEAR(TODAY())-qhkz_4dqm[[#This Row],[year]]</f>
        <v>8</v>
      </c>
      <c r="J1638" s="2" t="str" cm="1">
        <f t="array" aca="1" ref="J1638" ca="1">_xlfn.IFS(qhkz_4dqm[[#This Row],[vehicle_age]]&lt;=3,"Newer",qhkz_4dqm[[#This Row],[vehicle_age]]&lt;=9,"Mid-age",qhkz_4dqm[[#This Row],[vehicle_age]]&lt;=19,"Older",qhkz_4dqm[[#This Row],[vehicle_age]]&gt;=20,"Very Old")</f>
        <v>Mid-age</v>
      </c>
    </row>
    <row r="1639" spans="1:10">
      <c r="A1639" s="2">
        <v>24152417</v>
      </c>
      <c r="B1639" s="2">
        <v>2415241701</v>
      </c>
      <c r="C1639" s="2">
        <v>1</v>
      </c>
      <c r="D1639" s="2">
        <v>2010</v>
      </c>
      <c r="E1639" s="2">
        <v>1</v>
      </c>
      <c r="F1639" s="2">
        <v>1697.52</v>
      </c>
      <c r="G1639" s="2">
        <v>1722.45</v>
      </c>
      <c r="H1639" s="2" t="str">
        <f>VLOOKUP(qhkz_4dqm[[#This Row],[fuel_type]],lookup!A:B,2,FALSE)</f>
        <v>Gasoline</v>
      </c>
      <c r="I1639" s="2">
        <f ca="1">YEAR(TODAY())-qhkz_4dqm[[#This Row],[year]]</f>
        <v>16</v>
      </c>
      <c r="J1639" s="2" t="str" cm="1">
        <f t="array" aca="1" ref="J1639" ca="1">_xlfn.IFS(qhkz_4dqm[[#This Row],[vehicle_age]]&lt;=3,"Newer",qhkz_4dqm[[#This Row],[vehicle_age]]&lt;=9,"Mid-age",qhkz_4dqm[[#This Row],[vehicle_age]]&lt;=19,"Older",qhkz_4dqm[[#This Row],[vehicle_age]]&gt;=20,"Very Old")</f>
        <v>Older</v>
      </c>
    </row>
    <row r="1640" spans="1:10">
      <c r="A1640" s="2">
        <v>24152440</v>
      </c>
      <c r="B1640" s="2">
        <v>2415244001</v>
      </c>
      <c r="C1640" s="2">
        <v>1</v>
      </c>
      <c r="D1640" s="2">
        <v>2010</v>
      </c>
      <c r="E1640" s="2">
        <v>1</v>
      </c>
      <c r="F1640" s="2">
        <v>871.61</v>
      </c>
      <c r="G1640" s="2">
        <v>646.35</v>
      </c>
      <c r="H1640" s="2" t="str">
        <f>VLOOKUP(qhkz_4dqm[[#This Row],[fuel_type]],lookup!A:B,2,FALSE)</f>
        <v>Gasoline</v>
      </c>
      <c r="I1640" s="2">
        <f ca="1">YEAR(TODAY())-qhkz_4dqm[[#This Row],[year]]</f>
        <v>16</v>
      </c>
      <c r="J1640" s="2" t="str" cm="1">
        <f t="array" aca="1" ref="J1640" ca="1">_xlfn.IFS(qhkz_4dqm[[#This Row],[vehicle_age]]&lt;=3,"Newer",qhkz_4dqm[[#This Row],[vehicle_age]]&lt;=9,"Mid-age",qhkz_4dqm[[#This Row],[vehicle_age]]&lt;=19,"Older",qhkz_4dqm[[#This Row],[vehicle_age]]&gt;=20,"Very Old")</f>
        <v>Older</v>
      </c>
    </row>
    <row r="1641" spans="1:10">
      <c r="A1641" s="2">
        <v>24152444</v>
      </c>
      <c r="B1641" s="2">
        <v>2415244401</v>
      </c>
      <c r="C1641" s="2">
        <v>1</v>
      </c>
      <c r="D1641" s="2">
        <v>2022</v>
      </c>
      <c r="E1641" s="2">
        <v>1</v>
      </c>
      <c r="F1641" s="2">
        <v>32.83</v>
      </c>
      <c r="G1641" s="2">
        <v>128.83000000000001</v>
      </c>
      <c r="H1641" s="2" t="str">
        <f>VLOOKUP(qhkz_4dqm[[#This Row],[fuel_type]],lookup!A:B,2,FALSE)</f>
        <v>Gasoline</v>
      </c>
      <c r="I1641" s="2">
        <f ca="1">YEAR(TODAY())-qhkz_4dqm[[#This Row],[year]]</f>
        <v>4</v>
      </c>
      <c r="J1641" s="2" t="str" cm="1">
        <f t="array" aca="1" ref="J1641" ca="1">_xlfn.IFS(qhkz_4dqm[[#This Row],[vehicle_age]]&lt;=3,"Newer",qhkz_4dqm[[#This Row],[vehicle_age]]&lt;=9,"Mid-age",qhkz_4dqm[[#This Row],[vehicle_age]]&lt;=19,"Older",qhkz_4dqm[[#This Row],[vehicle_age]]&gt;=20,"Very Old")</f>
        <v>Mid-age</v>
      </c>
    </row>
    <row r="1642" spans="1:10">
      <c r="A1642" s="2">
        <v>24152446</v>
      </c>
      <c r="B1642" s="2">
        <v>2415244601</v>
      </c>
      <c r="C1642" s="2">
        <v>1</v>
      </c>
      <c r="D1642" s="2">
        <v>2018</v>
      </c>
      <c r="E1642" s="2">
        <v>1</v>
      </c>
      <c r="F1642" s="2">
        <v>1500.21</v>
      </c>
      <c r="G1642" s="2">
        <v>4138.33</v>
      </c>
      <c r="H1642" s="2" t="str">
        <f>VLOOKUP(qhkz_4dqm[[#This Row],[fuel_type]],lookup!A:B,2,FALSE)</f>
        <v>Gasoline</v>
      </c>
      <c r="I1642" s="2">
        <f ca="1">YEAR(TODAY())-qhkz_4dqm[[#This Row],[year]]</f>
        <v>8</v>
      </c>
      <c r="J1642" s="2" t="str" cm="1">
        <f t="array" aca="1" ref="J1642" ca="1">_xlfn.IFS(qhkz_4dqm[[#This Row],[vehicle_age]]&lt;=3,"Newer",qhkz_4dqm[[#This Row],[vehicle_age]]&lt;=9,"Mid-age",qhkz_4dqm[[#This Row],[vehicle_age]]&lt;=19,"Older",qhkz_4dqm[[#This Row],[vehicle_age]]&gt;=20,"Very Old")</f>
        <v>Mid-age</v>
      </c>
    </row>
    <row r="1643" spans="1:10">
      <c r="A1643" s="2">
        <v>24152454</v>
      </c>
      <c r="B1643" s="2">
        <v>2415245401</v>
      </c>
      <c r="C1643" s="2">
        <v>1</v>
      </c>
      <c r="D1643" s="2">
        <v>2022</v>
      </c>
      <c r="E1643" s="2">
        <v>1</v>
      </c>
      <c r="F1643" s="2">
        <v>0.61</v>
      </c>
      <c r="G1643" s="2">
        <v>275.12</v>
      </c>
      <c r="H1643" s="2" t="str">
        <f>VLOOKUP(qhkz_4dqm[[#This Row],[fuel_type]],lookup!A:B,2,FALSE)</f>
        <v>Gasoline</v>
      </c>
      <c r="I1643" s="2">
        <f ca="1">YEAR(TODAY())-qhkz_4dqm[[#This Row],[year]]</f>
        <v>4</v>
      </c>
      <c r="J1643" s="2" t="str" cm="1">
        <f t="array" aca="1" ref="J1643" ca="1">_xlfn.IFS(qhkz_4dqm[[#This Row],[vehicle_age]]&lt;=3,"Newer",qhkz_4dqm[[#This Row],[vehicle_age]]&lt;=9,"Mid-age",qhkz_4dqm[[#This Row],[vehicle_age]]&lt;=19,"Older",qhkz_4dqm[[#This Row],[vehicle_age]]&gt;=20,"Very Old")</f>
        <v>Mid-age</v>
      </c>
    </row>
    <row r="1644" spans="1:10">
      <c r="A1644" s="2">
        <v>24152456</v>
      </c>
      <c r="B1644" s="2">
        <v>2415245601</v>
      </c>
      <c r="C1644" s="2">
        <v>1</v>
      </c>
      <c r="D1644" s="2">
        <v>2021</v>
      </c>
      <c r="E1644" s="2">
        <v>1</v>
      </c>
      <c r="F1644" s="2">
        <v>5476.2</v>
      </c>
      <c r="G1644" s="2">
        <v>1449.89</v>
      </c>
      <c r="H1644" s="2" t="str">
        <f>VLOOKUP(qhkz_4dqm[[#This Row],[fuel_type]],lookup!A:B,2,FALSE)</f>
        <v>Gasoline</v>
      </c>
      <c r="I1644" s="2">
        <f ca="1">YEAR(TODAY())-qhkz_4dqm[[#This Row],[year]]</f>
        <v>5</v>
      </c>
      <c r="J1644" s="2" t="str" cm="1">
        <f t="array" aca="1" ref="J1644" ca="1">_xlfn.IFS(qhkz_4dqm[[#This Row],[vehicle_age]]&lt;=3,"Newer",qhkz_4dqm[[#This Row],[vehicle_age]]&lt;=9,"Mid-age",qhkz_4dqm[[#This Row],[vehicle_age]]&lt;=19,"Older",qhkz_4dqm[[#This Row],[vehicle_age]]&gt;=20,"Very Old")</f>
        <v>Mid-age</v>
      </c>
    </row>
    <row r="1645" spans="1:10">
      <c r="A1645" s="2">
        <v>24152463</v>
      </c>
      <c r="B1645" s="2">
        <v>2415246301</v>
      </c>
      <c r="C1645" s="2">
        <v>1</v>
      </c>
      <c r="D1645" s="2">
        <v>2020</v>
      </c>
      <c r="E1645" s="2">
        <v>1</v>
      </c>
      <c r="F1645" s="2">
        <v>117.7</v>
      </c>
      <c r="G1645" s="2">
        <v>317.44</v>
      </c>
      <c r="H1645" s="2" t="str">
        <f>VLOOKUP(qhkz_4dqm[[#This Row],[fuel_type]],lookup!A:B,2,FALSE)</f>
        <v>Gasoline</v>
      </c>
      <c r="I1645" s="2">
        <f ca="1">YEAR(TODAY())-qhkz_4dqm[[#This Row],[year]]</f>
        <v>6</v>
      </c>
      <c r="J1645" s="2" t="str" cm="1">
        <f t="array" aca="1" ref="J1645" ca="1">_xlfn.IFS(qhkz_4dqm[[#This Row],[vehicle_age]]&lt;=3,"Newer",qhkz_4dqm[[#This Row],[vehicle_age]]&lt;=9,"Mid-age",qhkz_4dqm[[#This Row],[vehicle_age]]&lt;=19,"Older",qhkz_4dqm[[#This Row],[vehicle_age]]&gt;=20,"Very Old")</f>
        <v>Mid-age</v>
      </c>
    </row>
    <row r="1646" spans="1:10">
      <c r="A1646" s="2">
        <v>24152468</v>
      </c>
      <c r="B1646" s="2">
        <v>2415246801</v>
      </c>
      <c r="C1646" s="2">
        <v>1</v>
      </c>
      <c r="D1646" s="2">
        <v>2020</v>
      </c>
      <c r="E1646" s="2">
        <v>1</v>
      </c>
      <c r="F1646" s="2">
        <v>2061.63</v>
      </c>
      <c r="G1646" s="2">
        <v>680.42</v>
      </c>
      <c r="H1646" s="2" t="str">
        <f>VLOOKUP(qhkz_4dqm[[#This Row],[fuel_type]],lookup!A:B,2,FALSE)</f>
        <v>Gasoline</v>
      </c>
      <c r="I1646" s="2">
        <f ca="1">YEAR(TODAY())-qhkz_4dqm[[#This Row],[year]]</f>
        <v>6</v>
      </c>
      <c r="J1646" s="2" t="str" cm="1">
        <f t="array" aca="1" ref="J1646" ca="1">_xlfn.IFS(qhkz_4dqm[[#This Row],[vehicle_age]]&lt;=3,"Newer",qhkz_4dqm[[#This Row],[vehicle_age]]&lt;=9,"Mid-age",qhkz_4dqm[[#This Row],[vehicle_age]]&lt;=19,"Older",qhkz_4dqm[[#This Row],[vehicle_age]]&gt;=20,"Very Old")</f>
        <v>Mid-age</v>
      </c>
    </row>
    <row r="1647" spans="1:10">
      <c r="A1647" s="2">
        <v>24152472</v>
      </c>
      <c r="B1647" s="2">
        <v>2415247201</v>
      </c>
      <c r="C1647" s="2">
        <v>1</v>
      </c>
      <c r="D1647" s="2">
        <v>2019</v>
      </c>
      <c r="E1647" s="2">
        <v>1</v>
      </c>
      <c r="F1647" s="2">
        <v>1087.98</v>
      </c>
      <c r="G1647" s="2">
        <v>952.6</v>
      </c>
      <c r="H1647" s="2" t="str">
        <f>VLOOKUP(qhkz_4dqm[[#This Row],[fuel_type]],lookup!A:B,2,FALSE)</f>
        <v>Gasoline</v>
      </c>
      <c r="I1647" s="2">
        <f ca="1">YEAR(TODAY())-qhkz_4dqm[[#This Row],[year]]</f>
        <v>7</v>
      </c>
      <c r="J1647" s="2" t="str" cm="1">
        <f t="array" aca="1" ref="J1647" ca="1">_xlfn.IFS(qhkz_4dqm[[#This Row],[vehicle_age]]&lt;=3,"Newer",qhkz_4dqm[[#This Row],[vehicle_age]]&lt;=9,"Mid-age",qhkz_4dqm[[#This Row],[vehicle_age]]&lt;=19,"Older",qhkz_4dqm[[#This Row],[vehicle_age]]&gt;=20,"Very Old")</f>
        <v>Mid-age</v>
      </c>
    </row>
    <row r="1648" spans="1:10">
      <c r="A1648" s="2">
        <v>24152477</v>
      </c>
      <c r="B1648" s="2">
        <v>2415247701</v>
      </c>
      <c r="C1648" s="2">
        <v>1</v>
      </c>
      <c r="D1648" s="2">
        <v>2021</v>
      </c>
      <c r="E1648" s="2">
        <v>2</v>
      </c>
      <c r="F1648" s="2">
        <v>754.27</v>
      </c>
      <c r="G1648" s="2">
        <v>595.41999999999996</v>
      </c>
      <c r="H1648" s="2" t="str">
        <f>VLOOKUP(qhkz_4dqm[[#This Row],[fuel_type]],lookup!A:B,2,FALSE)</f>
        <v>Diesel</v>
      </c>
      <c r="I1648" s="2">
        <f ca="1">YEAR(TODAY())-qhkz_4dqm[[#This Row],[year]]</f>
        <v>5</v>
      </c>
      <c r="J1648" s="2" t="str" cm="1">
        <f t="array" aca="1" ref="J1648" ca="1">_xlfn.IFS(qhkz_4dqm[[#This Row],[vehicle_age]]&lt;=3,"Newer",qhkz_4dqm[[#This Row],[vehicle_age]]&lt;=9,"Mid-age",qhkz_4dqm[[#This Row],[vehicle_age]]&lt;=19,"Older",qhkz_4dqm[[#This Row],[vehicle_age]]&gt;=20,"Very Old")</f>
        <v>Mid-age</v>
      </c>
    </row>
    <row r="1649" spans="1:10">
      <c r="A1649" s="2">
        <v>24152485</v>
      </c>
      <c r="B1649" s="2">
        <v>2415248501</v>
      </c>
      <c r="C1649" s="2">
        <v>1</v>
      </c>
      <c r="D1649" s="2">
        <v>2022</v>
      </c>
      <c r="E1649" s="2">
        <v>1</v>
      </c>
      <c r="F1649" s="2">
        <v>31.63</v>
      </c>
      <c r="G1649" s="2">
        <v>452.94</v>
      </c>
      <c r="H1649" s="2" t="str">
        <f>VLOOKUP(qhkz_4dqm[[#This Row],[fuel_type]],lookup!A:B,2,FALSE)</f>
        <v>Gasoline</v>
      </c>
      <c r="I1649" s="2">
        <f ca="1">YEAR(TODAY())-qhkz_4dqm[[#This Row],[year]]</f>
        <v>4</v>
      </c>
      <c r="J1649" s="2" t="str" cm="1">
        <f t="array" aca="1" ref="J1649" ca="1">_xlfn.IFS(qhkz_4dqm[[#This Row],[vehicle_age]]&lt;=3,"Newer",qhkz_4dqm[[#This Row],[vehicle_age]]&lt;=9,"Mid-age",qhkz_4dqm[[#This Row],[vehicle_age]]&lt;=19,"Older",qhkz_4dqm[[#This Row],[vehicle_age]]&gt;=20,"Very Old")</f>
        <v>Mid-age</v>
      </c>
    </row>
    <row r="1650" spans="1:10">
      <c r="A1650" s="2">
        <v>24152489</v>
      </c>
      <c r="B1650" s="2">
        <v>2415248901</v>
      </c>
      <c r="C1650" s="2">
        <v>1</v>
      </c>
      <c r="D1650" s="2">
        <v>2010</v>
      </c>
      <c r="E1650" s="2">
        <v>1</v>
      </c>
      <c r="F1650" s="2">
        <v>29.91</v>
      </c>
      <c r="G1650" s="2">
        <v>290.49</v>
      </c>
      <c r="H1650" s="2" t="str">
        <f>VLOOKUP(qhkz_4dqm[[#This Row],[fuel_type]],lookup!A:B,2,FALSE)</f>
        <v>Gasoline</v>
      </c>
      <c r="I1650" s="2">
        <f ca="1">YEAR(TODAY())-qhkz_4dqm[[#This Row],[year]]</f>
        <v>16</v>
      </c>
      <c r="J1650" s="2" t="str" cm="1">
        <f t="array" aca="1" ref="J1650" ca="1">_xlfn.IFS(qhkz_4dqm[[#This Row],[vehicle_age]]&lt;=3,"Newer",qhkz_4dqm[[#This Row],[vehicle_age]]&lt;=9,"Mid-age",qhkz_4dqm[[#This Row],[vehicle_age]]&lt;=19,"Older",qhkz_4dqm[[#This Row],[vehicle_age]]&gt;=20,"Very Old")</f>
        <v>Older</v>
      </c>
    </row>
    <row r="1651" spans="1:10">
      <c r="A1651" s="2">
        <v>24152493</v>
      </c>
      <c r="B1651" s="2">
        <v>2415249301</v>
      </c>
      <c r="C1651" s="2">
        <v>1</v>
      </c>
      <c r="D1651" s="2">
        <v>2023</v>
      </c>
      <c r="E1651" s="2">
        <v>1</v>
      </c>
      <c r="F1651" s="2">
        <v>2635.73</v>
      </c>
      <c r="G1651" s="2">
        <v>1654.74</v>
      </c>
      <c r="H1651" s="2" t="str">
        <f>VLOOKUP(qhkz_4dqm[[#This Row],[fuel_type]],lookup!A:B,2,FALSE)</f>
        <v>Gasoline</v>
      </c>
      <c r="I1651" s="2">
        <f ca="1">YEAR(TODAY())-qhkz_4dqm[[#This Row],[year]]</f>
        <v>3</v>
      </c>
      <c r="J1651" s="2" t="str" cm="1">
        <f t="array" aca="1" ref="J1651" ca="1">_xlfn.IFS(qhkz_4dqm[[#This Row],[vehicle_age]]&lt;=3,"Newer",qhkz_4dqm[[#This Row],[vehicle_age]]&lt;=9,"Mid-age",qhkz_4dqm[[#This Row],[vehicle_age]]&lt;=19,"Older",qhkz_4dqm[[#This Row],[vehicle_age]]&gt;=20,"Very Old")</f>
        <v>Newer</v>
      </c>
    </row>
    <row r="1652" spans="1:10">
      <c r="A1652" s="2">
        <v>24152523</v>
      </c>
      <c r="B1652" s="2">
        <v>2415252301</v>
      </c>
      <c r="C1652" s="2">
        <v>1</v>
      </c>
      <c r="D1652" s="2">
        <v>2021</v>
      </c>
      <c r="E1652" s="2">
        <v>1</v>
      </c>
      <c r="F1652" s="2">
        <v>0.92</v>
      </c>
      <c r="G1652" s="2">
        <v>446.27</v>
      </c>
      <c r="H1652" s="2" t="str">
        <f>VLOOKUP(qhkz_4dqm[[#This Row],[fuel_type]],lookup!A:B,2,FALSE)</f>
        <v>Gasoline</v>
      </c>
      <c r="I1652" s="2">
        <f ca="1">YEAR(TODAY())-qhkz_4dqm[[#This Row],[year]]</f>
        <v>5</v>
      </c>
      <c r="J1652" s="2" t="str" cm="1">
        <f t="array" aca="1" ref="J1652" ca="1">_xlfn.IFS(qhkz_4dqm[[#This Row],[vehicle_age]]&lt;=3,"Newer",qhkz_4dqm[[#This Row],[vehicle_age]]&lt;=9,"Mid-age",qhkz_4dqm[[#This Row],[vehicle_age]]&lt;=19,"Older",qhkz_4dqm[[#This Row],[vehicle_age]]&gt;=20,"Very Old")</f>
        <v>Mid-age</v>
      </c>
    </row>
    <row r="1653" spans="1:10">
      <c r="A1653" s="2">
        <v>24152526</v>
      </c>
      <c r="B1653" s="2">
        <v>2415252601</v>
      </c>
      <c r="C1653" s="2">
        <v>1</v>
      </c>
      <c r="D1653" s="2">
        <v>2006</v>
      </c>
      <c r="E1653" s="2">
        <v>1</v>
      </c>
      <c r="F1653" s="2">
        <v>0.92</v>
      </c>
      <c r="G1653" s="2">
        <v>245.66</v>
      </c>
      <c r="H1653" s="2" t="str">
        <f>VLOOKUP(qhkz_4dqm[[#This Row],[fuel_type]],lookup!A:B,2,FALSE)</f>
        <v>Gasoline</v>
      </c>
      <c r="I1653" s="2">
        <f ca="1">YEAR(TODAY())-qhkz_4dqm[[#This Row],[year]]</f>
        <v>20</v>
      </c>
      <c r="J1653" s="2" t="str" cm="1">
        <f t="array" aca="1" ref="J1653" ca="1">_xlfn.IFS(qhkz_4dqm[[#This Row],[vehicle_age]]&lt;=3,"Newer",qhkz_4dqm[[#This Row],[vehicle_age]]&lt;=9,"Mid-age",qhkz_4dqm[[#This Row],[vehicle_age]]&lt;=19,"Older",qhkz_4dqm[[#This Row],[vehicle_age]]&gt;=20,"Very Old")</f>
        <v>Very Old</v>
      </c>
    </row>
    <row r="1654" spans="1:10">
      <c r="A1654" s="2">
        <v>24152531</v>
      </c>
      <c r="B1654" s="2">
        <v>2415253101</v>
      </c>
      <c r="C1654" s="2">
        <v>1</v>
      </c>
      <c r="D1654" s="2">
        <v>2005</v>
      </c>
      <c r="E1654" s="2">
        <v>1</v>
      </c>
      <c r="F1654" s="2">
        <v>1041.6099999999999</v>
      </c>
      <c r="G1654" s="2">
        <v>585.38</v>
      </c>
      <c r="H1654" s="2" t="str">
        <f>VLOOKUP(qhkz_4dqm[[#This Row],[fuel_type]],lookup!A:B,2,FALSE)</f>
        <v>Gasoline</v>
      </c>
      <c r="I1654" s="2">
        <f ca="1">YEAR(TODAY())-qhkz_4dqm[[#This Row],[year]]</f>
        <v>21</v>
      </c>
      <c r="J1654" s="2" t="str" cm="1">
        <f t="array" aca="1" ref="J1654" ca="1">_xlfn.IFS(qhkz_4dqm[[#This Row],[vehicle_age]]&lt;=3,"Newer",qhkz_4dqm[[#This Row],[vehicle_age]]&lt;=9,"Mid-age",qhkz_4dqm[[#This Row],[vehicle_age]]&lt;=19,"Older",qhkz_4dqm[[#This Row],[vehicle_age]]&gt;=20,"Very Old")</f>
        <v>Very Old</v>
      </c>
    </row>
    <row r="1655" spans="1:10">
      <c r="A1655" s="2">
        <v>24152544</v>
      </c>
      <c r="B1655" s="2">
        <v>2415254401</v>
      </c>
      <c r="C1655" s="2">
        <v>1</v>
      </c>
      <c r="D1655" s="2">
        <v>2009</v>
      </c>
      <c r="E1655" s="2">
        <v>1</v>
      </c>
      <c r="F1655" s="2">
        <v>928.7</v>
      </c>
      <c r="G1655" s="2">
        <v>635.28</v>
      </c>
      <c r="H1655" s="2" t="str">
        <f>VLOOKUP(qhkz_4dqm[[#This Row],[fuel_type]],lookup!A:B,2,FALSE)</f>
        <v>Gasoline</v>
      </c>
      <c r="I1655" s="2">
        <f ca="1">YEAR(TODAY())-qhkz_4dqm[[#This Row],[year]]</f>
        <v>17</v>
      </c>
      <c r="J1655" s="2" t="str" cm="1">
        <f t="array" aca="1" ref="J1655" ca="1">_xlfn.IFS(qhkz_4dqm[[#This Row],[vehicle_age]]&lt;=3,"Newer",qhkz_4dqm[[#This Row],[vehicle_age]]&lt;=9,"Mid-age",qhkz_4dqm[[#This Row],[vehicle_age]]&lt;=19,"Older",qhkz_4dqm[[#This Row],[vehicle_age]]&gt;=20,"Very Old")</f>
        <v>Older</v>
      </c>
    </row>
    <row r="1656" spans="1:10">
      <c r="A1656" s="2">
        <v>24152549</v>
      </c>
      <c r="B1656" s="2">
        <v>2415254901</v>
      </c>
      <c r="C1656" s="2">
        <v>1</v>
      </c>
      <c r="D1656" s="2">
        <v>2023</v>
      </c>
      <c r="E1656" s="2">
        <v>1</v>
      </c>
      <c r="F1656" s="2">
        <v>614</v>
      </c>
      <c r="G1656" s="2">
        <v>762.49</v>
      </c>
      <c r="H1656" s="2" t="str">
        <f>VLOOKUP(qhkz_4dqm[[#This Row],[fuel_type]],lookup!A:B,2,FALSE)</f>
        <v>Gasoline</v>
      </c>
      <c r="I1656" s="2">
        <f ca="1">YEAR(TODAY())-qhkz_4dqm[[#This Row],[year]]</f>
        <v>3</v>
      </c>
      <c r="J1656" s="2" t="str" cm="1">
        <f t="array" aca="1" ref="J1656" ca="1">_xlfn.IFS(qhkz_4dqm[[#This Row],[vehicle_age]]&lt;=3,"Newer",qhkz_4dqm[[#This Row],[vehicle_age]]&lt;=9,"Mid-age",qhkz_4dqm[[#This Row],[vehicle_age]]&lt;=19,"Older",qhkz_4dqm[[#This Row],[vehicle_age]]&gt;=20,"Very Old")</f>
        <v>Newer</v>
      </c>
    </row>
    <row r="1657" spans="1:10">
      <c r="A1657" s="2">
        <v>24152551</v>
      </c>
      <c r="B1657" s="2">
        <v>2415255101</v>
      </c>
      <c r="C1657" s="2">
        <v>1</v>
      </c>
      <c r="D1657" s="2">
        <v>2012</v>
      </c>
      <c r="E1657" s="2">
        <v>1</v>
      </c>
      <c r="F1657" s="2">
        <v>19.850000000000001</v>
      </c>
      <c r="G1657" s="2">
        <v>613.28</v>
      </c>
      <c r="H1657" s="2" t="str">
        <f>VLOOKUP(qhkz_4dqm[[#This Row],[fuel_type]],lookup!A:B,2,FALSE)</f>
        <v>Gasoline</v>
      </c>
      <c r="I1657" s="2">
        <f ca="1">YEAR(TODAY())-qhkz_4dqm[[#This Row],[year]]</f>
        <v>14</v>
      </c>
      <c r="J1657" s="2" t="str" cm="1">
        <f t="array" aca="1" ref="J1657" ca="1">_xlfn.IFS(qhkz_4dqm[[#This Row],[vehicle_age]]&lt;=3,"Newer",qhkz_4dqm[[#This Row],[vehicle_age]]&lt;=9,"Mid-age",qhkz_4dqm[[#This Row],[vehicle_age]]&lt;=19,"Older",qhkz_4dqm[[#This Row],[vehicle_age]]&gt;=20,"Very Old")</f>
        <v>Older</v>
      </c>
    </row>
    <row r="1658" spans="1:10">
      <c r="A1658" s="2">
        <v>24152561</v>
      </c>
      <c r="B1658" s="2">
        <v>2415256101</v>
      </c>
      <c r="C1658" s="2">
        <v>1</v>
      </c>
      <c r="D1658" s="2">
        <v>2016</v>
      </c>
      <c r="E1658" s="2">
        <v>1</v>
      </c>
      <c r="F1658" s="2">
        <v>648.29999999999995</v>
      </c>
      <c r="G1658" s="2">
        <v>673.32</v>
      </c>
      <c r="H1658" s="2" t="str">
        <f>VLOOKUP(qhkz_4dqm[[#This Row],[fuel_type]],lookup!A:B,2,FALSE)</f>
        <v>Gasoline</v>
      </c>
      <c r="I1658" s="2">
        <f ca="1">YEAR(TODAY())-qhkz_4dqm[[#This Row],[year]]</f>
        <v>10</v>
      </c>
      <c r="J1658" s="2" t="str" cm="1">
        <f t="array" aca="1" ref="J1658" ca="1">_xlfn.IFS(qhkz_4dqm[[#This Row],[vehicle_age]]&lt;=3,"Newer",qhkz_4dqm[[#This Row],[vehicle_age]]&lt;=9,"Mid-age",qhkz_4dqm[[#This Row],[vehicle_age]]&lt;=19,"Older",qhkz_4dqm[[#This Row],[vehicle_age]]&gt;=20,"Very Old")</f>
        <v>Older</v>
      </c>
    </row>
    <row r="1659" spans="1:10">
      <c r="A1659" s="2">
        <v>24152563</v>
      </c>
      <c r="B1659" s="2">
        <v>2415256301</v>
      </c>
      <c r="C1659" s="2">
        <v>1</v>
      </c>
      <c r="D1659" s="2">
        <v>2022</v>
      </c>
      <c r="E1659" s="2">
        <v>1</v>
      </c>
      <c r="F1659" s="2">
        <v>45.83</v>
      </c>
      <c r="G1659" s="2">
        <v>252.03</v>
      </c>
      <c r="H1659" s="2" t="str">
        <f>VLOOKUP(qhkz_4dqm[[#This Row],[fuel_type]],lookup!A:B,2,FALSE)</f>
        <v>Gasoline</v>
      </c>
      <c r="I1659" s="2">
        <f ca="1">YEAR(TODAY())-qhkz_4dqm[[#This Row],[year]]</f>
        <v>4</v>
      </c>
      <c r="J1659" s="2" t="str" cm="1">
        <f t="array" aca="1" ref="J1659" ca="1">_xlfn.IFS(qhkz_4dqm[[#This Row],[vehicle_age]]&lt;=3,"Newer",qhkz_4dqm[[#This Row],[vehicle_age]]&lt;=9,"Mid-age",qhkz_4dqm[[#This Row],[vehicle_age]]&lt;=19,"Older",qhkz_4dqm[[#This Row],[vehicle_age]]&gt;=20,"Very Old")</f>
        <v>Mid-age</v>
      </c>
    </row>
    <row r="1660" spans="1:10">
      <c r="A1660" s="2">
        <v>24152569</v>
      </c>
      <c r="B1660" s="2">
        <v>2415256901</v>
      </c>
      <c r="C1660" s="2">
        <v>1</v>
      </c>
      <c r="D1660" s="2">
        <v>2009</v>
      </c>
      <c r="E1660" s="2">
        <v>1</v>
      </c>
      <c r="F1660" s="2">
        <v>1611.96</v>
      </c>
      <c r="G1660" s="2">
        <v>506.94</v>
      </c>
      <c r="H1660" s="2" t="str">
        <f>VLOOKUP(qhkz_4dqm[[#This Row],[fuel_type]],lookup!A:B,2,FALSE)</f>
        <v>Gasoline</v>
      </c>
      <c r="I1660" s="2">
        <f ca="1">YEAR(TODAY())-qhkz_4dqm[[#This Row],[year]]</f>
        <v>17</v>
      </c>
      <c r="J1660" s="2" t="str" cm="1">
        <f t="array" aca="1" ref="J1660" ca="1">_xlfn.IFS(qhkz_4dqm[[#This Row],[vehicle_age]]&lt;=3,"Newer",qhkz_4dqm[[#This Row],[vehicle_age]]&lt;=9,"Mid-age",qhkz_4dqm[[#This Row],[vehicle_age]]&lt;=19,"Older",qhkz_4dqm[[#This Row],[vehicle_age]]&gt;=20,"Very Old")</f>
        <v>Older</v>
      </c>
    </row>
    <row r="1661" spans="1:10">
      <c r="A1661" s="2">
        <v>24152592</v>
      </c>
      <c r="B1661" s="2">
        <v>2415259201</v>
      </c>
      <c r="C1661" s="2">
        <v>1</v>
      </c>
      <c r="D1661" s="2">
        <v>2022</v>
      </c>
      <c r="E1661" s="2">
        <v>1</v>
      </c>
      <c r="F1661" s="2">
        <v>260.83999999999997</v>
      </c>
      <c r="G1661" s="2">
        <v>706.79</v>
      </c>
      <c r="H1661" s="2" t="str">
        <f>VLOOKUP(qhkz_4dqm[[#This Row],[fuel_type]],lookup!A:B,2,FALSE)</f>
        <v>Gasoline</v>
      </c>
      <c r="I1661" s="2">
        <f ca="1">YEAR(TODAY())-qhkz_4dqm[[#This Row],[year]]</f>
        <v>4</v>
      </c>
      <c r="J1661" s="2" t="str" cm="1">
        <f t="array" aca="1" ref="J1661" ca="1">_xlfn.IFS(qhkz_4dqm[[#This Row],[vehicle_age]]&lt;=3,"Newer",qhkz_4dqm[[#This Row],[vehicle_age]]&lt;=9,"Mid-age",qhkz_4dqm[[#This Row],[vehicle_age]]&lt;=19,"Older",qhkz_4dqm[[#This Row],[vehicle_age]]&gt;=20,"Very Old")</f>
        <v>Mid-age</v>
      </c>
    </row>
    <row r="1662" spans="1:10">
      <c r="A1662" s="2">
        <v>24152601</v>
      </c>
      <c r="B1662" s="2">
        <v>2415260101</v>
      </c>
      <c r="C1662" s="2">
        <v>1</v>
      </c>
      <c r="D1662" s="2">
        <v>2019</v>
      </c>
      <c r="E1662" s="2">
        <v>1</v>
      </c>
      <c r="F1662" s="2">
        <v>772.25</v>
      </c>
      <c r="G1662" s="2">
        <v>430.86</v>
      </c>
      <c r="H1662" s="2" t="str">
        <f>VLOOKUP(qhkz_4dqm[[#This Row],[fuel_type]],lookup!A:B,2,FALSE)</f>
        <v>Gasoline</v>
      </c>
      <c r="I1662" s="2">
        <f ca="1">YEAR(TODAY())-qhkz_4dqm[[#This Row],[year]]</f>
        <v>7</v>
      </c>
      <c r="J1662" s="2" t="str" cm="1">
        <f t="array" aca="1" ref="J1662" ca="1">_xlfn.IFS(qhkz_4dqm[[#This Row],[vehicle_age]]&lt;=3,"Newer",qhkz_4dqm[[#This Row],[vehicle_age]]&lt;=9,"Mid-age",qhkz_4dqm[[#This Row],[vehicle_age]]&lt;=19,"Older",qhkz_4dqm[[#This Row],[vehicle_age]]&gt;=20,"Very Old")</f>
        <v>Mid-age</v>
      </c>
    </row>
    <row r="1663" spans="1:10">
      <c r="A1663" s="2">
        <v>24152605</v>
      </c>
      <c r="B1663" s="2">
        <v>2415260501</v>
      </c>
      <c r="C1663" s="2">
        <v>1</v>
      </c>
      <c r="D1663" s="2">
        <v>2021</v>
      </c>
      <c r="E1663" s="2">
        <v>1</v>
      </c>
      <c r="F1663" s="2">
        <v>840.24</v>
      </c>
      <c r="G1663" s="2">
        <v>1377.16</v>
      </c>
      <c r="H1663" s="2" t="str">
        <f>VLOOKUP(qhkz_4dqm[[#This Row],[fuel_type]],lookup!A:B,2,FALSE)</f>
        <v>Gasoline</v>
      </c>
      <c r="I1663" s="2">
        <f ca="1">YEAR(TODAY())-qhkz_4dqm[[#This Row],[year]]</f>
        <v>5</v>
      </c>
      <c r="J1663" s="2" t="str" cm="1">
        <f t="array" aca="1" ref="J1663" ca="1">_xlfn.IFS(qhkz_4dqm[[#This Row],[vehicle_age]]&lt;=3,"Newer",qhkz_4dqm[[#This Row],[vehicle_age]]&lt;=9,"Mid-age",qhkz_4dqm[[#This Row],[vehicle_age]]&lt;=19,"Older",qhkz_4dqm[[#This Row],[vehicle_age]]&gt;=20,"Very Old")</f>
        <v>Mid-age</v>
      </c>
    </row>
    <row r="1664" spans="1:10">
      <c r="A1664" s="2">
        <v>24152606</v>
      </c>
      <c r="B1664" s="2">
        <v>2415260601</v>
      </c>
      <c r="C1664" s="2">
        <v>1</v>
      </c>
      <c r="D1664" s="2">
        <v>2001</v>
      </c>
      <c r="E1664" s="2">
        <v>1</v>
      </c>
      <c r="F1664" s="2">
        <v>25.91</v>
      </c>
      <c r="G1664" s="2">
        <v>190.54</v>
      </c>
      <c r="H1664" s="2" t="str">
        <f>VLOOKUP(qhkz_4dqm[[#This Row],[fuel_type]],lookup!A:B,2,FALSE)</f>
        <v>Gasoline</v>
      </c>
      <c r="I1664" s="2">
        <f ca="1">YEAR(TODAY())-qhkz_4dqm[[#This Row],[year]]</f>
        <v>25</v>
      </c>
      <c r="J1664" s="2" t="str" cm="1">
        <f t="array" aca="1" ref="J1664" ca="1">_xlfn.IFS(qhkz_4dqm[[#This Row],[vehicle_age]]&lt;=3,"Newer",qhkz_4dqm[[#This Row],[vehicle_age]]&lt;=9,"Mid-age",qhkz_4dqm[[#This Row],[vehicle_age]]&lt;=19,"Older",qhkz_4dqm[[#This Row],[vehicle_age]]&gt;=20,"Very Old")</f>
        <v>Very Old</v>
      </c>
    </row>
    <row r="1665" spans="1:10">
      <c r="A1665" s="2">
        <v>24152612</v>
      </c>
      <c r="B1665" s="2">
        <v>2415261201</v>
      </c>
      <c r="C1665" s="2">
        <v>1</v>
      </c>
      <c r="D1665" s="2">
        <v>2005</v>
      </c>
      <c r="E1665" s="2">
        <v>1</v>
      </c>
      <c r="F1665" s="2">
        <v>425.22</v>
      </c>
      <c r="G1665" s="2">
        <v>445.56</v>
      </c>
      <c r="H1665" s="2" t="str">
        <f>VLOOKUP(qhkz_4dqm[[#This Row],[fuel_type]],lookup!A:B,2,FALSE)</f>
        <v>Gasoline</v>
      </c>
      <c r="I1665" s="2">
        <f ca="1">YEAR(TODAY())-qhkz_4dqm[[#This Row],[year]]</f>
        <v>21</v>
      </c>
      <c r="J1665" s="2" t="str" cm="1">
        <f t="array" aca="1" ref="J1665" ca="1">_xlfn.IFS(qhkz_4dqm[[#This Row],[vehicle_age]]&lt;=3,"Newer",qhkz_4dqm[[#This Row],[vehicle_age]]&lt;=9,"Mid-age",qhkz_4dqm[[#This Row],[vehicle_age]]&lt;=19,"Older",qhkz_4dqm[[#This Row],[vehicle_age]]&gt;=20,"Very Old")</f>
        <v>Very Old</v>
      </c>
    </row>
    <row r="1666" spans="1:10">
      <c r="A1666" s="2">
        <v>24152613</v>
      </c>
      <c r="B1666" s="2">
        <v>2415261301</v>
      </c>
      <c r="C1666" s="2">
        <v>1</v>
      </c>
      <c r="D1666" s="2">
        <v>2021</v>
      </c>
      <c r="E1666" s="2">
        <v>1</v>
      </c>
      <c r="F1666" s="2">
        <v>707.44</v>
      </c>
      <c r="G1666" s="2">
        <v>445.31</v>
      </c>
      <c r="H1666" s="2" t="str">
        <f>VLOOKUP(qhkz_4dqm[[#This Row],[fuel_type]],lookup!A:B,2,FALSE)</f>
        <v>Gasoline</v>
      </c>
      <c r="I1666" s="2">
        <f ca="1">YEAR(TODAY())-qhkz_4dqm[[#This Row],[year]]</f>
        <v>5</v>
      </c>
      <c r="J1666" s="2" t="str" cm="1">
        <f t="array" aca="1" ref="J1666" ca="1">_xlfn.IFS(qhkz_4dqm[[#This Row],[vehicle_age]]&lt;=3,"Newer",qhkz_4dqm[[#This Row],[vehicle_age]]&lt;=9,"Mid-age",qhkz_4dqm[[#This Row],[vehicle_age]]&lt;=19,"Older",qhkz_4dqm[[#This Row],[vehicle_age]]&gt;=20,"Very Old")</f>
        <v>Mid-age</v>
      </c>
    </row>
    <row r="1667" spans="1:10">
      <c r="A1667" s="2">
        <v>24152617</v>
      </c>
      <c r="B1667" s="2">
        <v>2415261701</v>
      </c>
      <c r="C1667" s="2">
        <v>1</v>
      </c>
      <c r="D1667" s="2">
        <v>2021</v>
      </c>
      <c r="E1667" s="2">
        <v>1</v>
      </c>
      <c r="F1667" s="2">
        <v>385.12</v>
      </c>
      <c r="G1667" s="2">
        <v>523.44000000000005</v>
      </c>
      <c r="H1667" s="2" t="str">
        <f>VLOOKUP(qhkz_4dqm[[#This Row],[fuel_type]],lookup!A:B,2,FALSE)</f>
        <v>Gasoline</v>
      </c>
      <c r="I1667" s="2">
        <f ca="1">YEAR(TODAY())-qhkz_4dqm[[#This Row],[year]]</f>
        <v>5</v>
      </c>
      <c r="J1667" s="2" t="str" cm="1">
        <f t="array" aca="1" ref="J1667" ca="1">_xlfn.IFS(qhkz_4dqm[[#This Row],[vehicle_age]]&lt;=3,"Newer",qhkz_4dqm[[#This Row],[vehicle_age]]&lt;=9,"Mid-age",qhkz_4dqm[[#This Row],[vehicle_age]]&lt;=19,"Older",qhkz_4dqm[[#This Row],[vehicle_age]]&gt;=20,"Very Old")</f>
        <v>Mid-age</v>
      </c>
    </row>
    <row r="1668" spans="1:10">
      <c r="A1668" s="2">
        <v>24152619</v>
      </c>
      <c r="B1668" s="2">
        <v>2415261901</v>
      </c>
      <c r="C1668" s="2">
        <v>1</v>
      </c>
      <c r="D1668" s="2">
        <v>2016</v>
      </c>
      <c r="E1668" s="2">
        <v>2</v>
      </c>
      <c r="F1668" s="2">
        <v>1.67</v>
      </c>
      <c r="G1668" s="2">
        <v>566.55999999999995</v>
      </c>
      <c r="H1668" s="2" t="str">
        <f>VLOOKUP(qhkz_4dqm[[#This Row],[fuel_type]],lookup!A:B,2,FALSE)</f>
        <v>Diesel</v>
      </c>
      <c r="I1668" s="2">
        <f ca="1">YEAR(TODAY())-qhkz_4dqm[[#This Row],[year]]</f>
        <v>10</v>
      </c>
      <c r="J1668" s="2" t="str" cm="1">
        <f t="array" aca="1" ref="J1668" ca="1">_xlfn.IFS(qhkz_4dqm[[#This Row],[vehicle_age]]&lt;=3,"Newer",qhkz_4dqm[[#This Row],[vehicle_age]]&lt;=9,"Mid-age",qhkz_4dqm[[#This Row],[vehicle_age]]&lt;=19,"Older",qhkz_4dqm[[#This Row],[vehicle_age]]&gt;=20,"Very Old")</f>
        <v>Older</v>
      </c>
    </row>
    <row r="1669" spans="1:10">
      <c r="A1669" s="2">
        <v>24152626</v>
      </c>
      <c r="B1669" s="2">
        <v>2415262601</v>
      </c>
      <c r="C1669" s="2">
        <v>1</v>
      </c>
      <c r="D1669" s="2">
        <v>2021</v>
      </c>
      <c r="E1669" s="2">
        <v>4</v>
      </c>
      <c r="F1669" s="2">
        <v>1011.03</v>
      </c>
      <c r="G1669" s="2">
        <v>1139.99</v>
      </c>
      <c r="H1669" s="2" t="str">
        <f>VLOOKUP(qhkz_4dqm[[#This Row],[fuel_type]],lookup!A:B,2,FALSE)</f>
        <v>Electric</v>
      </c>
      <c r="I1669" s="2">
        <f ca="1">YEAR(TODAY())-qhkz_4dqm[[#This Row],[year]]</f>
        <v>5</v>
      </c>
      <c r="J1669" s="2" t="str" cm="1">
        <f t="array" aca="1" ref="J1669" ca="1">_xlfn.IFS(qhkz_4dqm[[#This Row],[vehicle_age]]&lt;=3,"Newer",qhkz_4dqm[[#This Row],[vehicle_age]]&lt;=9,"Mid-age",qhkz_4dqm[[#This Row],[vehicle_age]]&lt;=19,"Older",qhkz_4dqm[[#This Row],[vehicle_age]]&gt;=20,"Very Old")</f>
        <v>Mid-age</v>
      </c>
    </row>
    <row r="1670" spans="1:10">
      <c r="A1670" s="2">
        <v>24152630</v>
      </c>
      <c r="B1670" s="2">
        <v>2415263001</v>
      </c>
      <c r="C1670" s="2">
        <v>1</v>
      </c>
      <c r="D1670" s="2">
        <v>2015</v>
      </c>
      <c r="E1670" s="2">
        <v>1</v>
      </c>
      <c r="F1670" s="2">
        <v>1115.98</v>
      </c>
      <c r="G1670" s="2">
        <v>3813.35</v>
      </c>
      <c r="H1670" s="2" t="str">
        <f>VLOOKUP(qhkz_4dqm[[#This Row],[fuel_type]],lookup!A:B,2,FALSE)</f>
        <v>Gasoline</v>
      </c>
      <c r="I1670" s="2">
        <f ca="1">YEAR(TODAY())-qhkz_4dqm[[#This Row],[year]]</f>
        <v>11</v>
      </c>
      <c r="J1670" s="2" t="str" cm="1">
        <f t="array" aca="1" ref="J1670" ca="1">_xlfn.IFS(qhkz_4dqm[[#This Row],[vehicle_age]]&lt;=3,"Newer",qhkz_4dqm[[#This Row],[vehicle_age]]&lt;=9,"Mid-age",qhkz_4dqm[[#This Row],[vehicle_age]]&lt;=19,"Older",qhkz_4dqm[[#This Row],[vehicle_age]]&gt;=20,"Very Old")</f>
        <v>Older</v>
      </c>
    </row>
    <row r="1671" spans="1:10">
      <c r="A1671" s="2">
        <v>24152632</v>
      </c>
      <c r="B1671" s="2">
        <v>2415263201</v>
      </c>
      <c r="C1671" s="2">
        <v>1</v>
      </c>
      <c r="D1671" s="2">
        <v>2023</v>
      </c>
      <c r="E1671" s="2">
        <v>1</v>
      </c>
      <c r="F1671" s="2">
        <v>42.68</v>
      </c>
      <c r="G1671" s="2">
        <v>290.83</v>
      </c>
      <c r="H1671" s="2" t="str">
        <f>VLOOKUP(qhkz_4dqm[[#This Row],[fuel_type]],lookup!A:B,2,FALSE)</f>
        <v>Gasoline</v>
      </c>
      <c r="I1671" s="2">
        <f ca="1">YEAR(TODAY())-qhkz_4dqm[[#This Row],[year]]</f>
        <v>3</v>
      </c>
      <c r="J1671" s="2" t="str" cm="1">
        <f t="array" aca="1" ref="J1671" ca="1">_xlfn.IFS(qhkz_4dqm[[#This Row],[vehicle_age]]&lt;=3,"Newer",qhkz_4dqm[[#This Row],[vehicle_age]]&lt;=9,"Mid-age",qhkz_4dqm[[#This Row],[vehicle_age]]&lt;=19,"Older",qhkz_4dqm[[#This Row],[vehicle_age]]&gt;=20,"Very Old")</f>
        <v>Newer</v>
      </c>
    </row>
    <row r="1672" spans="1:10">
      <c r="A1672" s="2">
        <v>24152645</v>
      </c>
      <c r="B1672" s="2">
        <v>2415264501</v>
      </c>
      <c r="C1672" s="2">
        <v>1</v>
      </c>
      <c r="D1672" s="2">
        <v>2024</v>
      </c>
      <c r="E1672" s="2">
        <v>1</v>
      </c>
      <c r="F1672" s="2">
        <v>55.81</v>
      </c>
      <c r="G1672" s="2">
        <v>217.4</v>
      </c>
      <c r="H1672" s="2" t="str">
        <f>VLOOKUP(qhkz_4dqm[[#This Row],[fuel_type]],lookup!A:B,2,FALSE)</f>
        <v>Gasoline</v>
      </c>
      <c r="I1672" s="2">
        <f ca="1">YEAR(TODAY())-qhkz_4dqm[[#This Row],[year]]</f>
        <v>2</v>
      </c>
      <c r="J1672" s="2" t="str" cm="1">
        <f t="array" aca="1" ref="J1672" ca="1">_xlfn.IFS(qhkz_4dqm[[#This Row],[vehicle_age]]&lt;=3,"Newer",qhkz_4dqm[[#This Row],[vehicle_age]]&lt;=9,"Mid-age",qhkz_4dqm[[#This Row],[vehicle_age]]&lt;=19,"Older",qhkz_4dqm[[#This Row],[vehicle_age]]&gt;=20,"Very Old")</f>
        <v>Newer</v>
      </c>
    </row>
    <row r="1673" spans="1:10">
      <c r="A1673" s="2">
        <v>24152653</v>
      </c>
      <c r="B1673" s="2">
        <v>2415265301</v>
      </c>
      <c r="C1673" s="2">
        <v>1</v>
      </c>
      <c r="D1673" s="2">
        <v>2018</v>
      </c>
      <c r="E1673" s="2">
        <v>1</v>
      </c>
      <c r="F1673" s="2">
        <v>86.34</v>
      </c>
      <c r="G1673" s="2">
        <v>355.8</v>
      </c>
      <c r="H1673" s="2" t="str">
        <f>VLOOKUP(qhkz_4dqm[[#This Row],[fuel_type]],lookup!A:B,2,FALSE)</f>
        <v>Gasoline</v>
      </c>
      <c r="I1673" s="2">
        <f ca="1">YEAR(TODAY())-qhkz_4dqm[[#This Row],[year]]</f>
        <v>8</v>
      </c>
      <c r="J1673" s="2" t="str" cm="1">
        <f t="array" aca="1" ref="J1673" ca="1">_xlfn.IFS(qhkz_4dqm[[#This Row],[vehicle_age]]&lt;=3,"Newer",qhkz_4dqm[[#This Row],[vehicle_age]]&lt;=9,"Mid-age",qhkz_4dqm[[#This Row],[vehicle_age]]&lt;=19,"Older",qhkz_4dqm[[#This Row],[vehicle_age]]&gt;=20,"Very Old")</f>
        <v>Mid-age</v>
      </c>
    </row>
    <row r="1674" spans="1:10">
      <c r="A1674" s="2">
        <v>24152654</v>
      </c>
      <c r="B1674" s="2">
        <v>2415265401</v>
      </c>
      <c r="C1674" s="2">
        <v>1</v>
      </c>
      <c r="D1674" s="2">
        <v>2019</v>
      </c>
      <c r="E1674" s="2">
        <v>1</v>
      </c>
      <c r="F1674" s="2">
        <v>425.22</v>
      </c>
      <c r="G1674" s="2">
        <v>445.56</v>
      </c>
      <c r="H1674" s="2" t="str">
        <f>VLOOKUP(qhkz_4dqm[[#This Row],[fuel_type]],lookup!A:B,2,FALSE)</f>
        <v>Gasoline</v>
      </c>
      <c r="I1674" s="2">
        <f ca="1">YEAR(TODAY())-qhkz_4dqm[[#This Row],[year]]</f>
        <v>7</v>
      </c>
      <c r="J1674" s="2" t="str" cm="1">
        <f t="array" aca="1" ref="J1674" ca="1">_xlfn.IFS(qhkz_4dqm[[#This Row],[vehicle_age]]&lt;=3,"Newer",qhkz_4dqm[[#This Row],[vehicle_age]]&lt;=9,"Mid-age",qhkz_4dqm[[#This Row],[vehicle_age]]&lt;=19,"Older",qhkz_4dqm[[#This Row],[vehicle_age]]&gt;=20,"Very Old")</f>
        <v>Mid-age</v>
      </c>
    </row>
    <row r="1675" spans="1:10">
      <c r="A1675" s="2">
        <v>24152658</v>
      </c>
      <c r="B1675" s="2">
        <v>2415265801</v>
      </c>
      <c r="C1675" s="2">
        <v>1</v>
      </c>
      <c r="D1675" s="2">
        <v>2013</v>
      </c>
      <c r="E1675" s="2">
        <v>1</v>
      </c>
      <c r="F1675" s="2">
        <v>2782.46</v>
      </c>
      <c r="G1675" s="2">
        <v>2889.37</v>
      </c>
      <c r="H1675" s="2" t="str">
        <f>VLOOKUP(qhkz_4dqm[[#This Row],[fuel_type]],lookup!A:B,2,FALSE)</f>
        <v>Gasoline</v>
      </c>
      <c r="I1675" s="2">
        <f ca="1">YEAR(TODAY())-qhkz_4dqm[[#This Row],[year]]</f>
        <v>13</v>
      </c>
      <c r="J1675" s="2" t="str" cm="1">
        <f t="array" aca="1" ref="J1675" ca="1">_xlfn.IFS(qhkz_4dqm[[#This Row],[vehicle_age]]&lt;=3,"Newer",qhkz_4dqm[[#This Row],[vehicle_age]]&lt;=9,"Mid-age",qhkz_4dqm[[#This Row],[vehicle_age]]&lt;=19,"Older",qhkz_4dqm[[#This Row],[vehicle_age]]&gt;=20,"Very Old")</f>
        <v>Older</v>
      </c>
    </row>
    <row r="1676" spans="1:10">
      <c r="A1676" s="2">
        <v>24152663</v>
      </c>
      <c r="B1676" s="2">
        <v>2415266301</v>
      </c>
      <c r="C1676" s="2">
        <v>1</v>
      </c>
      <c r="D1676" s="2">
        <v>2015</v>
      </c>
      <c r="E1676" s="2">
        <v>1</v>
      </c>
      <c r="F1676" s="2">
        <v>563.74</v>
      </c>
      <c r="G1676" s="2">
        <v>744.67</v>
      </c>
      <c r="H1676" s="2" t="str">
        <f>VLOOKUP(qhkz_4dqm[[#This Row],[fuel_type]],lookup!A:B,2,FALSE)</f>
        <v>Gasoline</v>
      </c>
      <c r="I1676" s="2">
        <f ca="1">YEAR(TODAY())-qhkz_4dqm[[#This Row],[year]]</f>
        <v>11</v>
      </c>
      <c r="J1676" s="2" t="str" cm="1">
        <f t="array" aca="1" ref="J1676" ca="1">_xlfn.IFS(qhkz_4dqm[[#This Row],[vehicle_age]]&lt;=3,"Newer",qhkz_4dqm[[#This Row],[vehicle_age]]&lt;=9,"Mid-age",qhkz_4dqm[[#This Row],[vehicle_age]]&lt;=19,"Older",qhkz_4dqm[[#This Row],[vehicle_age]]&gt;=20,"Very Old")</f>
        <v>Older</v>
      </c>
    </row>
    <row r="1677" spans="1:10">
      <c r="A1677" s="2">
        <v>24152665</v>
      </c>
      <c r="B1677" s="2">
        <v>2415266501</v>
      </c>
      <c r="C1677" s="2">
        <v>1</v>
      </c>
      <c r="D1677" s="2">
        <v>2017</v>
      </c>
      <c r="E1677" s="2">
        <v>1</v>
      </c>
      <c r="F1677" s="2">
        <v>394.12</v>
      </c>
      <c r="G1677" s="2">
        <v>436.52</v>
      </c>
      <c r="H1677" s="2" t="str">
        <f>VLOOKUP(qhkz_4dqm[[#This Row],[fuel_type]],lookup!A:B,2,FALSE)</f>
        <v>Gasoline</v>
      </c>
      <c r="I1677" s="2">
        <f ca="1">YEAR(TODAY())-qhkz_4dqm[[#This Row],[year]]</f>
        <v>9</v>
      </c>
      <c r="J1677" s="2" t="str" cm="1">
        <f t="array" aca="1" ref="J1677" ca="1">_xlfn.IFS(qhkz_4dqm[[#This Row],[vehicle_age]]&lt;=3,"Newer",qhkz_4dqm[[#This Row],[vehicle_age]]&lt;=9,"Mid-age",qhkz_4dqm[[#This Row],[vehicle_age]]&lt;=19,"Older",qhkz_4dqm[[#This Row],[vehicle_age]]&gt;=20,"Very Old")</f>
        <v>Mid-age</v>
      </c>
    </row>
    <row r="1678" spans="1:10">
      <c r="A1678" s="2">
        <v>24152673</v>
      </c>
      <c r="B1678" s="2">
        <v>2415267301</v>
      </c>
      <c r="C1678" s="2">
        <v>1</v>
      </c>
      <c r="D1678" s="2">
        <v>2021</v>
      </c>
      <c r="E1678" s="2">
        <v>4</v>
      </c>
      <c r="F1678" s="2">
        <v>201.3</v>
      </c>
      <c r="G1678" s="2">
        <v>290.99</v>
      </c>
      <c r="H1678" s="2" t="str">
        <f>VLOOKUP(qhkz_4dqm[[#This Row],[fuel_type]],lookup!A:B,2,FALSE)</f>
        <v>Electric</v>
      </c>
      <c r="I1678" s="2">
        <f ca="1">YEAR(TODAY())-qhkz_4dqm[[#This Row],[year]]</f>
        <v>5</v>
      </c>
      <c r="J1678" s="2" t="str" cm="1">
        <f t="array" aca="1" ref="J1678" ca="1">_xlfn.IFS(qhkz_4dqm[[#This Row],[vehicle_age]]&lt;=3,"Newer",qhkz_4dqm[[#This Row],[vehicle_age]]&lt;=9,"Mid-age",qhkz_4dqm[[#This Row],[vehicle_age]]&lt;=19,"Older",qhkz_4dqm[[#This Row],[vehicle_age]]&gt;=20,"Very Old")</f>
        <v>Mid-age</v>
      </c>
    </row>
    <row r="1679" spans="1:10">
      <c r="A1679" s="2">
        <v>24152674</v>
      </c>
      <c r="B1679" s="2">
        <v>2415267401</v>
      </c>
      <c r="C1679" s="2">
        <v>1</v>
      </c>
      <c r="D1679" s="2">
        <v>2019</v>
      </c>
      <c r="E1679" s="2">
        <v>1</v>
      </c>
      <c r="F1679" s="2">
        <v>199.04</v>
      </c>
      <c r="G1679" s="2">
        <v>345.82</v>
      </c>
      <c r="H1679" s="2" t="str">
        <f>VLOOKUP(qhkz_4dqm[[#This Row],[fuel_type]],lookup!A:B,2,FALSE)</f>
        <v>Gasoline</v>
      </c>
      <c r="I1679" s="2">
        <f ca="1">YEAR(TODAY())-qhkz_4dqm[[#This Row],[year]]</f>
        <v>7</v>
      </c>
      <c r="J1679" s="2" t="str" cm="1">
        <f t="array" aca="1" ref="J1679" ca="1">_xlfn.IFS(qhkz_4dqm[[#This Row],[vehicle_age]]&lt;=3,"Newer",qhkz_4dqm[[#This Row],[vehicle_age]]&lt;=9,"Mid-age",qhkz_4dqm[[#This Row],[vehicle_age]]&lt;=19,"Older",qhkz_4dqm[[#This Row],[vehicle_age]]&gt;=20,"Very Old")</f>
        <v>Mid-age</v>
      </c>
    </row>
    <row r="1680" spans="1:10">
      <c r="A1680" s="2">
        <v>24152685</v>
      </c>
      <c r="B1680" s="2">
        <v>2415268501</v>
      </c>
      <c r="C1680" s="2">
        <v>1</v>
      </c>
      <c r="D1680" s="2">
        <v>2008</v>
      </c>
      <c r="E1680" s="2">
        <v>1</v>
      </c>
      <c r="F1680" s="2">
        <v>229.39</v>
      </c>
      <c r="G1680" s="2">
        <v>304.58</v>
      </c>
      <c r="H1680" s="2" t="str">
        <f>VLOOKUP(qhkz_4dqm[[#This Row],[fuel_type]],lookup!A:B,2,FALSE)</f>
        <v>Gasoline</v>
      </c>
      <c r="I1680" s="2">
        <f ca="1">YEAR(TODAY())-qhkz_4dqm[[#This Row],[year]]</f>
        <v>18</v>
      </c>
      <c r="J1680" s="2" t="str" cm="1">
        <f t="array" aca="1" ref="J1680" ca="1">_xlfn.IFS(qhkz_4dqm[[#This Row],[vehicle_age]]&lt;=3,"Newer",qhkz_4dqm[[#This Row],[vehicle_age]]&lt;=9,"Mid-age",qhkz_4dqm[[#This Row],[vehicle_age]]&lt;=19,"Older",qhkz_4dqm[[#This Row],[vehicle_age]]&gt;=20,"Very Old")</f>
        <v>Older</v>
      </c>
    </row>
    <row r="1681" spans="1:10">
      <c r="A1681" s="2">
        <v>24152686</v>
      </c>
      <c r="B1681" s="2">
        <v>2415268601</v>
      </c>
      <c r="C1681" s="2">
        <v>1</v>
      </c>
      <c r="D1681" s="2">
        <v>2018</v>
      </c>
      <c r="E1681" s="2">
        <v>1</v>
      </c>
      <c r="F1681" s="2">
        <v>836.23</v>
      </c>
      <c r="G1681" s="2">
        <v>635.13</v>
      </c>
      <c r="H1681" s="2" t="str">
        <f>VLOOKUP(qhkz_4dqm[[#This Row],[fuel_type]],lookup!A:B,2,FALSE)</f>
        <v>Gasoline</v>
      </c>
      <c r="I1681" s="2">
        <f ca="1">YEAR(TODAY())-qhkz_4dqm[[#This Row],[year]]</f>
        <v>8</v>
      </c>
      <c r="J1681" s="2" t="str" cm="1">
        <f t="array" aca="1" ref="J1681" ca="1">_xlfn.IFS(qhkz_4dqm[[#This Row],[vehicle_age]]&lt;=3,"Newer",qhkz_4dqm[[#This Row],[vehicle_age]]&lt;=9,"Mid-age",qhkz_4dqm[[#This Row],[vehicle_age]]&lt;=19,"Older",qhkz_4dqm[[#This Row],[vehicle_age]]&gt;=20,"Very Old")</f>
        <v>Mid-age</v>
      </c>
    </row>
    <row r="1682" spans="1:10">
      <c r="A1682" s="2">
        <v>24152687</v>
      </c>
      <c r="B1682" s="2">
        <v>2415268701</v>
      </c>
      <c r="C1682" s="2">
        <v>1</v>
      </c>
      <c r="D1682" s="2">
        <v>2020</v>
      </c>
      <c r="E1682" s="2">
        <v>4</v>
      </c>
      <c r="F1682" s="2">
        <v>5254.02</v>
      </c>
      <c r="G1682" s="2">
        <v>3332.86</v>
      </c>
      <c r="H1682" s="2" t="str">
        <f>VLOOKUP(qhkz_4dqm[[#This Row],[fuel_type]],lookup!A:B,2,FALSE)</f>
        <v>Electric</v>
      </c>
      <c r="I1682" s="2">
        <f ca="1">YEAR(TODAY())-qhkz_4dqm[[#This Row],[year]]</f>
        <v>6</v>
      </c>
      <c r="J1682" s="2" t="str" cm="1">
        <f t="array" aca="1" ref="J1682" ca="1">_xlfn.IFS(qhkz_4dqm[[#This Row],[vehicle_age]]&lt;=3,"Newer",qhkz_4dqm[[#This Row],[vehicle_age]]&lt;=9,"Mid-age",qhkz_4dqm[[#This Row],[vehicle_age]]&lt;=19,"Older",qhkz_4dqm[[#This Row],[vehicle_age]]&gt;=20,"Very Old")</f>
        <v>Mid-age</v>
      </c>
    </row>
    <row r="1683" spans="1:10">
      <c r="A1683" s="2">
        <v>24152689</v>
      </c>
      <c r="B1683" s="2">
        <v>2415268901</v>
      </c>
      <c r="C1683" s="2">
        <v>1</v>
      </c>
      <c r="D1683" s="2">
        <v>2013</v>
      </c>
      <c r="E1683" s="2">
        <v>1</v>
      </c>
      <c r="F1683" s="2">
        <v>3378.94</v>
      </c>
      <c r="G1683" s="2">
        <v>4561.45</v>
      </c>
      <c r="H1683" s="2" t="str">
        <f>VLOOKUP(qhkz_4dqm[[#This Row],[fuel_type]],lookup!A:B,2,FALSE)</f>
        <v>Gasoline</v>
      </c>
      <c r="I1683" s="2">
        <f ca="1">YEAR(TODAY())-qhkz_4dqm[[#This Row],[year]]</f>
        <v>13</v>
      </c>
      <c r="J1683" s="2" t="str" cm="1">
        <f t="array" aca="1" ref="J1683" ca="1">_xlfn.IFS(qhkz_4dqm[[#This Row],[vehicle_age]]&lt;=3,"Newer",qhkz_4dqm[[#This Row],[vehicle_age]]&lt;=9,"Mid-age",qhkz_4dqm[[#This Row],[vehicle_age]]&lt;=19,"Older",qhkz_4dqm[[#This Row],[vehicle_age]]&gt;=20,"Very Old")</f>
        <v>Older</v>
      </c>
    </row>
    <row r="1684" spans="1:10">
      <c r="A1684" s="2">
        <v>24152698</v>
      </c>
      <c r="B1684" s="2">
        <v>2415269801</v>
      </c>
      <c r="C1684" s="2">
        <v>1</v>
      </c>
      <c r="D1684" s="2">
        <v>2020</v>
      </c>
      <c r="E1684" s="2">
        <v>1</v>
      </c>
      <c r="F1684" s="2">
        <v>251.51</v>
      </c>
      <c r="G1684" s="2">
        <v>270.97000000000003</v>
      </c>
      <c r="H1684" s="2" t="str">
        <f>VLOOKUP(qhkz_4dqm[[#This Row],[fuel_type]],lookup!A:B,2,FALSE)</f>
        <v>Gasoline</v>
      </c>
      <c r="I1684" s="2">
        <f ca="1">YEAR(TODAY())-qhkz_4dqm[[#This Row],[year]]</f>
        <v>6</v>
      </c>
      <c r="J1684" s="2" t="str" cm="1">
        <f t="array" aca="1" ref="J1684" ca="1">_xlfn.IFS(qhkz_4dqm[[#This Row],[vehicle_age]]&lt;=3,"Newer",qhkz_4dqm[[#This Row],[vehicle_age]]&lt;=9,"Mid-age",qhkz_4dqm[[#This Row],[vehicle_age]]&lt;=19,"Older",qhkz_4dqm[[#This Row],[vehicle_age]]&gt;=20,"Very Old")</f>
        <v>Mid-age</v>
      </c>
    </row>
    <row r="1685" spans="1:10">
      <c r="A1685" s="2">
        <v>24152702</v>
      </c>
      <c r="B1685" s="2">
        <v>2415270201</v>
      </c>
      <c r="C1685" s="2">
        <v>1</v>
      </c>
      <c r="D1685" s="2">
        <v>2009</v>
      </c>
      <c r="E1685" s="2">
        <v>1</v>
      </c>
      <c r="F1685" s="2">
        <v>460.5</v>
      </c>
      <c r="G1685" s="2">
        <v>1220</v>
      </c>
      <c r="H1685" s="2" t="str">
        <f>VLOOKUP(qhkz_4dqm[[#This Row],[fuel_type]],lookup!A:B,2,FALSE)</f>
        <v>Gasoline</v>
      </c>
      <c r="I1685" s="2">
        <f ca="1">YEAR(TODAY())-qhkz_4dqm[[#This Row],[year]]</f>
        <v>17</v>
      </c>
      <c r="J1685" s="2" t="str" cm="1">
        <f t="array" aca="1" ref="J1685" ca="1">_xlfn.IFS(qhkz_4dqm[[#This Row],[vehicle_age]]&lt;=3,"Newer",qhkz_4dqm[[#This Row],[vehicle_age]]&lt;=9,"Mid-age",qhkz_4dqm[[#This Row],[vehicle_age]]&lt;=19,"Older",qhkz_4dqm[[#This Row],[vehicle_age]]&gt;=20,"Very Old")</f>
        <v>Older</v>
      </c>
    </row>
    <row r="1686" spans="1:10">
      <c r="A1686" s="2">
        <v>24152718</v>
      </c>
      <c r="B1686" s="2">
        <v>2415271801</v>
      </c>
      <c r="C1686" s="2">
        <v>1</v>
      </c>
      <c r="D1686" s="2">
        <v>2023</v>
      </c>
      <c r="E1686" s="2">
        <v>1</v>
      </c>
      <c r="F1686" s="2">
        <v>0.92</v>
      </c>
      <c r="G1686" s="2">
        <v>475.27</v>
      </c>
      <c r="H1686" s="2" t="str">
        <f>VLOOKUP(qhkz_4dqm[[#This Row],[fuel_type]],lookup!A:B,2,FALSE)</f>
        <v>Gasoline</v>
      </c>
      <c r="I1686" s="2">
        <f ca="1">YEAR(TODAY())-qhkz_4dqm[[#This Row],[year]]</f>
        <v>3</v>
      </c>
      <c r="J1686" s="2" t="str" cm="1">
        <f t="array" aca="1" ref="J1686" ca="1">_xlfn.IFS(qhkz_4dqm[[#This Row],[vehicle_age]]&lt;=3,"Newer",qhkz_4dqm[[#This Row],[vehicle_age]]&lt;=9,"Mid-age",qhkz_4dqm[[#This Row],[vehicle_age]]&lt;=19,"Older",qhkz_4dqm[[#This Row],[vehicle_age]]&gt;=20,"Very Old")</f>
        <v>Newer</v>
      </c>
    </row>
    <row r="1687" spans="1:10">
      <c r="A1687" s="2">
        <v>24152723</v>
      </c>
      <c r="B1687" s="2">
        <v>2415272301</v>
      </c>
      <c r="C1687" s="2">
        <v>1</v>
      </c>
      <c r="D1687" s="2">
        <v>2020</v>
      </c>
      <c r="E1687" s="2">
        <v>1</v>
      </c>
      <c r="F1687" s="2">
        <v>387.18</v>
      </c>
      <c r="G1687" s="2">
        <v>677.44</v>
      </c>
      <c r="H1687" s="2" t="str">
        <f>VLOOKUP(qhkz_4dqm[[#This Row],[fuel_type]],lookup!A:B,2,FALSE)</f>
        <v>Gasoline</v>
      </c>
      <c r="I1687" s="2">
        <f ca="1">YEAR(TODAY())-qhkz_4dqm[[#This Row],[year]]</f>
        <v>6</v>
      </c>
      <c r="J1687" s="2" t="str" cm="1">
        <f t="array" aca="1" ref="J1687" ca="1">_xlfn.IFS(qhkz_4dqm[[#This Row],[vehicle_age]]&lt;=3,"Newer",qhkz_4dqm[[#This Row],[vehicle_age]]&lt;=9,"Mid-age",qhkz_4dqm[[#This Row],[vehicle_age]]&lt;=19,"Older",qhkz_4dqm[[#This Row],[vehicle_age]]&gt;=20,"Very Old")</f>
        <v>Mid-age</v>
      </c>
    </row>
    <row r="1688" spans="1:10">
      <c r="A1688" s="2">
        <v>24152724</v>
      </c>
      <c r="B1688" s="2">
        <v>2415272401</v>
      </c>
      <c r="C1688" s="2">
        <v>1</v>
      </c>
      <c r="D1688" s="2">
        <v>2018</v>
      </c>
      <c r="E1688" s="2">
        <v>1</v>
      </c>
      <c r="F1688" s="2">
        <v>70.55</v>
      </c>
      <c r="G1688" s="2">
        <v>445.42</v>
      </c>
      <c r="H1688" s="2" t="str">
        <f>VLOOKUP(qhkz_4dqm[[#This Row],[fuel_type]],lookup!A:B,2,FALSE)</f>
        <v>Gasoline</v>
      </c>
      <c r="I1688" s="2">
        <f ca="1">YEAR(TODAY())-qhkz_4dqm[[#This Row],[year]]</f>
        <v>8</v>
      </c>
      <c r="J1688" s="2" t="str" cm="1">
        <f t="array" aca="1" ref="J1688" ca="1">_xlfn.IFS(qhkz_4dqm[[#This Row],[vehicle_age]]&lt;=3,"Newer",qhkz_4dqm[[#This Row],[vehicle_age]]&lt;=9,"Mid-age",qhkz_4dqm[[#This Row],[vehicle_age]]&lt;=19,"Older",qhkz_4dqm[[#This Row],[vehicle_age]]&gt;=20,"Very Old")</f>
        <v>Mid-age</v>
      </c>
    </row>
    <row r="1689" spans="1:10">
      <c r="A1689" s="2">
        <v>24152727</v>
      </c>
      <c r="B1689" s="2">
        <v>2415272701</v>
      </c>
      <c r="C1689" s="2">
        <v>1</v>
      </c>
      <c r="D1689" s="2">
        <v>2014</v>
      </c>
      <c r="E1689" s="2">
        <v>1</v>
      </c>
      <c r="F1689" s="2">
        <v>503.16</v>
      </c>
      <c r="G1689" s="2">
        <v>1310</v>
      </c>
      <c r="H1689" s="2" t="str">
        <f>VLOOKUP(qhkz_4dqm[[#This Row],[fuel_type]],lookup!A:B,2,FALSE)</f>
        <v>Gasoline</v>
      </c>
      <c r="I1689" s="2">
        <f ca="1">YEAR(TODAY())-qhkz_4dqm[[#This Row],[year]]</f>
        <v>12</v>
      </c>
      <c r="J1689" s="2" t="str" cm="1">
        <f t="array" aca="1" ref="J1689" ca="1">_xlfn.IFS(qhkz_4dqm[[#This Row],[vehicle_age]]&lt;=3,"Newer",qhkz_4dqm[[#This Row],[vehicle_age]]&lt;=9,"Mid-age",qhkz_4dqm[[#This Row],[vehicle_age]]&lt;=19,"Older",qhkz_4dqm[[#This Row],[vehicle_age]]&gt;=20,"Very Old")</f>
        <v>Older</v>
      </c>
    </row>
    <row r="1690" spans="1:10">
      <c r="A1690" s="2">
        <v>24152739</v>
      </c>
      <c r="B1690" s="2">
        <v>2415273901</v>
      </c>
      <c r="C1690" s="2">
        <v>1</v>
      </c>
      <c r="D1690" s="2">
        <v>2004</v>
      </c>
      <c r="E1690" s="2">
        <v>1</v>
      </c>
      <c r="F1690" s="2">
        <v>1052.6099999999999</v>
      </c>
      <c r="G1690" s="2">
        <v>765.87</v>
      </c>
      <c r="H1690" s="2" t="str">
        <f>VLOOKUP(qhkz_4dqm[[#This Row],[fuel_type]],lookup!A:B,2,FALSE)</f>
        <v>Gasoline</v>
      </c>
      <c r="I1690" s="2">
        <f ca="1">YEAR(TODAY())-qhkz_4dqm[[#This Row],[year]]</f>
        <v>22</v>
      </c>
      <c r="J1690" s="2" t="str" cm="1">
        <f t="array" aca="1" ref="J1690" ca="1">_xlfn.IFS(qhkz_4dqm[[#This Row],[vehicle_age]]&lt;=3,"Newer",qhkz_4dqm[[#This Row],[vehicle_age]]&lt;=9,"Mid-age",qhkz_4dqm[[#This Row],[vehicle_age]]&lt;=19,"Older",qhkz_4dqm[[#This Row],[vehicle_age]]&gt;=20,"Very Old")</f>
        <v>Very Old</v>
      </c>
    </row>
    <row r="1691" spans="1:10">
      <c r="A1691" s="2">
        <v>24152741</v>
      </c>
      <c r="B1691" s="2">
        <v>2415274101</v>
      </c>
      <c r="C1691" s="2">
        <v>1</v>
      </c>
      <c r="D1691" s="2">
        <v>2012</v>
      </c>
      <c r="E1691" s="2">
        <v>1</v>
      </c>
      <c r="F1691" s="2">
        <v>370.33</v>
      </c>
      <c r="G1691" s="2">
        <v>839.16</v>
      </c>
      <c r="H1691" s="2" t="str">
        <f>VLOOKUP(qhkz_4dqm[[#This Row],[fuel_type]],lookup!A:B,2,FALSE)</f>
        <v>Gasoline</v>
      </c>
      <c r="I1691" s="2">
        <f ca="1">YEAR(TODAY())-qhkz_4dqm[[#This Row],[year]]</f>
        <v>14</v>
      </c>
      <c r="J1691" s="2" t="str" cm="1">
        <f t="array" aca="1" ref="J1691" ca="1">_xlfn.IFS(qhkz_4dqm[[#This Row],[vehicle_age]]&lt;=3,"Newer",qhkz_4dqm[[#This Row],[vehicle_age]]&lt;=9,"Mid-age",qhkz_4dqm[[#This Row],[vehicle_age]]&lt;=19,"Older",qhkz_4dqm[[#This Row],[vehicle_age]]&gt;=20,"Very Old")</f>
        <v>Older</v>
      </c>
    </row>
    <row r="1692" spans="1:10">
      <c r="A1692" s="2">
        <v>24152745</v>
      </c>
      <c r="B1692" s="2">
        <v>2415274501</v>
      </c>
      <c r="C1692" s="2">
        <v>1</v>
      </c>
      <c r="D1692" s="2">
        <v>2021</v>
      </c>
      <c r="E1692" s="2">
        <v>1</v>
      </c>
      <c r="F1692" s="2">
        <v>121.54</v>
      </c>
      <c r="G1692" s="2">
        <v>175.9</v>
      </c>
      <c r="H1692" s="2" t="str">
        <f>VLOOKUP(qhkz_4dqm[[#This Row],[fuel_type]],lookup!A:B,2,FALSE)</f>
        <v>Gasoline</v>
      </c>
      <c r="I1692" s="2">
        <f ca="1">YEAR(TODAY())-qhkz_4dqm[[#This Row],[year]]</f>
        <v>5</v>
      </c>
      <c r="J1692" s="2" t="str" cm="1">
        <f t="array" aca="1" ref="J1692" ca="1">_xlfn.IFS(qhkz_4dqm[[#This Row],[vehicle_age]]&lt;=3,"Newer",qhkz_4dqm[[#This Row],[vehicle_age]]&lt;=9,"Mid-age",qhkz_4dqm[[#This Row],[vehicle_age]]&lt;=19,"Older",qhkz_4dqm[[#This Row],[vehicle_age]]&gt;=20,"Very Old")</f>
        <v>Mid-age</v>
      </c>
    </row>
    <row r="1693" spans="1:10">
      <c r="A1693" s="2">
        <v>24152751</v>
      </c>
      <c r="B1693" s="2">
        <v>2415275101</v>
      </c>
      <c r="C1693" s="2">
        <v>1</v>
      </c>
      <c r="D1693" s="2">
        <v>2018</v>
      </c>
      <c r="E1693" s="2">
        <v>1</v>
      </c>
      <c r="F1693" s="2">
        <v>648.72</v>
      </c>
      <c r="G1693" s="2">
        <v>633.83000000000004</v>
      </c>
      <c r="H1693" s="2" t="str">
        <f>VLOOKUP(qhkz_4dqm[[#This Row],[fuel_type]],lookup!A:B,2,FALSE)</f>
        <v>Gasoline</v>
      </c>
      <c r="I1693" s="2">
        <f ca="1">YEAR(TODAY())-qhkz_4dqm[[#This Row],[year]]</f>
        <v>8</v>
      </c>
      <c r="J1693" s="2" t="str" cm="1">
        <f t="array" aca="1" ref="J1693" ca="1">_xlfn.IFS(qhkz_4dqm[[#This Row],[vehicle_age]]&lt;=3,"Newer",qhkz_4dqm[[#This Row],[vehicle_age]]&lt;=9,"Mid-age",qhkz_4dqm[[#This Row],[vehicle_age]]&lt;=19,"Older",qhkz_4dqm[[#This Row],[vehicle_age]]&gt;=20,"Very Old")</f>
        <v>Mid-age</v>
      </c>
    </row>
    <row r="1694" spans="1:10">
      <c r="A1694" s="2">
        <v>24152754</v>
      </c>
      <c r="B1694" s="2">
        <v>2415275401</v>
      </c>
      <c r="C1694" s="2">
        <v>1</v>
      </c>
      <c r="D1694" s="2">
        <v>2008</v>
      </c>
      <c r="E1694" s="2">
        <v>1</v>
      </c>
      <c r="F1694" s="2">
        <v>518.54</v>
      </c>
      <c r="G1694" s="2">
        <v>672.12</v>
      </c>
      <c r="H1694" s="2" t="str">
        <f>VLOOKUP(qhkz_4dqm[[#This Row],[fuel_type]],lookup!A:B,2,FALSE)</f>
        <v>Gasoline</v>
      </c>
      <c r="I1694" s="2">
        <f ca="1">YEAR(TODAY())-qhkz_4dqm[[#This Row],[year]]</f>
        <v>18</v>
      </c>
      <c r="J1694" s="2" t="str" cm="1">
        <f t="array" aca="1" ref="J1694" ca="1">_xlfn.IFS(qhkz_4dqm[[#This Row],[vehicle_age]]&lt;=3,"Newer",qhkz_4dqm[[#This Row],[vehicle_age]]&lt;=9,"Mid-age",qhkz_4dqm[[#This Row],[vehicle_age]]&lt;=19,"Older",qhkz_4dqm[[#This Row],[vehicle_age]]&gt;=20,"Very Old")</f>
        <v>Older</v>
      </c>
    </row>
    <row r="1695" spans="1:10">
      <c r="A1695" s="2">
        <v>24152761</v>
      </c>
      <c r="B1695" s="2">
        <v>2415276101</v>
      </c>
      <c r="C1695" s="2">
        <v>1</v>
      </c>
      <c r="D1695" s="2">
        <v>2024</v>
      </c>
      <c r="E1695" s="2">
        <v>4</v>
      </c>
      <c r="F1695" s="2">
        <v>888.21</v>
      </c>
      <c r="G1695" s="2">
        <v>834.53</v>
      </c>
      <c r="H1695" s="2" t="str">
        <f>VLOOKUP(qhkz_4dqm[[#This Row],[fuel_type]],lookup!A:B,2,FALSE)</f>
        <v>Electric</v>
      </c>
      <c r="I1695" s="2">
        <f ca="1">YEAR(TODAY())-qhkz_4dqm[[#This Row],[year]]</f>
        <v>2</v>
      </c>
      <c r="J1695" s="2" t="str" cm="1">
        <f t="array" aca="1" ref="J1695" ca="1">_xlfn.IFS(qhkz_4dqm[[#This Row],[vehicle_age]]&lt;=3,"Newer",qhkz_4dqm[[#This Row],[vehicle_age]]&lt;=9,"Mid-age",qhkz_4dqm[[#This Row],[vehicle_age]]&lt;=19,"Older",qhkz_4dqm[[#This Row],[vehicle_age]]&gt;=20,"Very Old")</f>
        <v>Newer</v>
      </c>
    </row>
    <row r="1696" spans="1:10">
      <c r="A1696" s="2">
        <v>24152779</v>
      </c>
      <c r="B1696" s="2">
        <v>2415277901</v>
      </c>
      <c r="C1696" s="2">
        <v>1</v>
      </c>
      <c r="D1696" s="2">
        <v>2014</v>
      </c>
      <c r="E1696" s="2">
        <v>2</v>
      </c>
      <c r="F1696" s="2">
        <v>241.24</v>
      </c>
      <c r="G1696" s="2">
        <v>673.32</v>
      </c>
      <c r="H1696" s="2" t="str">
        <f>VLOOKUP(qhkz_4dqm[[#This Row],[fuel_type]],lookup!A:B,2,FALSE)</f>
        <v>Diesel</v>
      </c>
      <c r="I1696" s="2">
        <f ca="1">YEAR(TODAY())-qhkz_4dqm[[#This Row],[year]]</f>
        <v>12</v>
      </c>
      <c r="J1696" s="2" t="str" cm="1">
        <f t="array" aca="1" ref="J1696" ca="1">_xlfn.IFS(qhkz_4dqm[[#This Row],[vehicle_age]]&lt;=3,"Newer",qhkz_4dqm[[#This Row],[vehicle_age]]&lt;=9,"Mid-age",qhkz_4dqm[[#This Row],[vehicle_age]]&lt;=19,"Older",qhkz_4dqm[[#This Row],[vehicle_age]]&gt;=20,"Very Old")</f>
        <v>Older</v>
      </c>
    </row>
    <row r="1697" spans="1:10">
      <c r="A1697" s="2">
        <v>24152788</v>
      </c>
      <c r="B1697" s="2">
        <v>2415278801</v>
      </c>
      <c r="C1697" s="2">
        <v>1</v>
      </c>
      <c r="D1697" s="2">
        <v>2021</v>
      </c>
      <c r="E1697" s="2">
        <v>1</v>
      </c>
      <c r="F1697" s="2">
        <v>0.92</v>
      </c>
      <c r="G1697" s="2">
        <v>475.27</v>
      </c>
      <c r="H1697" s="2" t="str">
        <f>VLOOKUP(qhkz_4dqm[[#This Row],[fuel_type]],lookup!A:B,2,FALSE)</f>
        <v>Gasoline</v>
      </c>
      <c r="I1697" s="2">
        <f ca="1">YEAR(TODAY())-qhkz_4dqm[[#This Row],[year]]</f>
        <v>5</v>
      </c>
      <c r="J1697" s="2" t="str" cm="1">
        <f t="array" aca="1" ref="J1697" ca="1">_xlfn.IFS(qhkz_4dqm[[#This Row],[vehicle_age]]&lt;=3,"Newer",qhkz_4dqm[[#This Row],[vehicle_age]]&lt;=9,"Mid-age",qhkz_4dqm[[#This Row],[vehicle_age]]&lt;=19,"Older",qhkz_4dqm[[#This Row],[vehicle_age]]&gt;=20,"Very Old")</f>
        <v>Mid-age</v>
      </c>
    </row>
    <row r="1698" spans="1:10">
      <c r="A1698" s="2">
        <v>24152793</v>
      </c>
      <c r="B1698" s="2">
        <v>2415279301</v>
      </c>
      <c r="C1698" s="2">
        <v>1</v>
      </c>
      <c r="D1698" s="2">
        <v>2008</v>
      </c>
      <c r="E1698" s="2">
        <v>1</v>
      </c>
      <c r="F1698" s="2">
        <v>2.8</v>
      </c>
      <c r="G1698" s="2">
        <v>470.89</v>
      </c>
      <c r="H1698" s="2" t="str">
        <f>VLOOKUP(qhkz_4dqm[[#This Row],[fuel_type]],lookup!A:B,2,FALSE)</f>
        <v>Gasoline</v>
      </c>
      <c r="I1698" s="2">
        <f ca="1">YEAR(TODAY())-qhkz_4dqm[[#This Row],[year]]</f>
        <v>18</v>
      </c>
      <c r="J1698" s="2" t="str" cm="1">
        <f t="array" aca="1" ref="J1698" ca="1">_xlfn.IFS(qhkz_4dqm[[#This Row],[vehicle_age]]&lt;=3,"Newer",qhkz_4dqm[[#This Row],[vehicle_age]]&lt;=9,"Mid-age",qhkz_4dqm[[#This Row],[vehicle_age]]&lt;=19,"Older",qhkz_4dqm[[#This Row],[vehicle_age]]&gt;=20,"Very Old")</f>
        <v>Older</v>
      </c>
    </row>
    <row r="1699" spans="1:10">
      <c r="A1699" s="2">
        <v>24152802</v>
      </c>
      <c r="B1699" s="2">
        <v>2415280201</v>
      </c>
      <c r="C1699" s="2">
        <v>1</v>
      </c>
      <c r="D1699" s="2">
        <v>2023</v>
      </c>
      <c r="E1699" s="2">
        <v>1</v>
      </c>
      <c r="F1699" s="2">
        <v>1120.32</v>
      </c>
      <c r="G1699" s="2">
        <v>721.9</v>
      </c>
      <c r="H1699" s="2" t="str">
        <f>VLOOKUP(qhkz_4dqm[[#This Row],[fuel_type]],lookup!A:B,2,FALSE)</f>
        <v>Gasoline</v>
      </c>
      <c r="I1699" s="2">
        <f ca="1">YEAR(TODAY())-qhkz_4dqm[[#This Row],[year]]</f>
        <v>3</v>
      </c>
      <c r="J1699" s="2" t="str" cm="1">
        <f t="array" aca="1" ref="J1699" ca="1">_xlfn.IFS(qhkz_4dqm[[#This Row],[vehicle_age]]&lt;=3,"Newer",qhkz_4dqm[[#This Row],[vehicle_age]]&lt;=9,"Mid-age",qhkz_4dqm[[#This Row],[vehicle_age]]&lt;=19,"Older",qhkz_4dqm[[#This Row],[vehicle_age]]&gt;=20,"Very Old")</f>
        <v>Newer</v>
      </c>
    </row>
    <row r="1700" spans="1:10">
      <c r="A1700" s="2">
        <v>24152805</v>
      </c>
      <c r="B1700" s="2">
        <v>2415280501</v>
      </c>
      <c r="C1700" s="2">
        <v>1</v>
      </c>
      <c r="D1700" s="2">
        <v>2020</v>
      </c>
      <c r="E1700" s="2">
        <v>1</v>
      </c>
      <c r="F1700" s="2">
        <v>937.28</v>
      </c>
      <c r="G1700" s="2">
        <v>890.69</v>
      </c>
      <c r="H1700" s="2" t="str">
        <f>VLOOKUP(qhkz_4dqm[[#This Row],[fuel_type]],lookup!A:B,2,FALSE)</f>
        <v>Gasoline</v>
      </c>
      <c r="I1700" s="2">
        <f ca="1">YEAR(TODAY())-qhkz_4dqm[[#This Row],[year]]</f>
        <v>6</v>
      </c>
      <c r="J1700" s="2" t="str" cm="1">
        <f t="array" aca="1" ref="J1700" ca="1">_xlfn.IFS(qhkz_4dqm[[#This Row],[vehicle_age]]&lt;=3,"Newer",qhkz_4dqm[[#This Row],[vehicle_age]]&lt;=9,"Mid-age",qhkz_4dqm[[#This Row],[vehicle_age]]&lt;=19,"Older",qhkz_4dqm[[#This Row],[vehicle_age]]&gt;=20,"Very Old")</f>
        <v>Mid-age</v>
      </c>
    </row>
    <row r="1701" spans="1:10">
      <c r="A1701" s="2">
        <v>24152814</v>
      </c>
      <c r="B1701" s="2">
        <v>2415281401</v>
      </c>
      <c r="C1701" s="2">
        <v>1</v>
      </c>
      <c r="D1701" s="2">
        <v>2010</v>
      </c>
      <c r="E1701" s="2">
        <v>1</v>
      </c>
      <c r="F1701" s="2">
        <v>2334.65</v>
      </c>
      <c r="G1701" s="2">
        <v>2134.58</v>
      </c>
      <c r="H1701" s="2" t="str">
        <f>VLOOKUP(qhkz_4dqm[[#This Row],[fuel_type]],lookup!A:B,2,FALSE)</f>
        <v>Gasoline</v>
      </c>
      <c r="I1701" s="2">
        <f ca="1">YEAR(TODAY())-qhkz_4dqm[[#This Row],[year]]</f>
        <v>16</v>
      </c>
      <c r="J1701" s="2" t="str" cm="1">
        <f t="array" aca="1" ref="J1701" ca="1">_xlfn.IFS(qhkz_4dqm[[#This Row],[vehicle_age]]&lt;=3,"Newer",qhkz_4dqm[[#This Row],[vehicle_age]]&lt;=9,"Mid-age",qhkz_4dqm[[#This Row],[vehicle_age]]&lt;=19,"Older",qhkz_4dqm[[#This Row],[vehicle_age]]&gt;=20,"Very Old")</f>
        <v>Older</v>
      </c>
    </row>
    <row r="1702" spans="1:10">
      <c r="A1702" s="2">
        <v>24152815</v>
      </c>
      <c r="B1702" s="2">
        <v>2415281501</v>
      </c>
      <c r="C1702" s="2">
        <v>1</v>
      </c>
      <c r="D1702" s="2">
        <v>2012</v>
      </c>
      <c r="E1702" s="2">
        <v>1</v>
      </c>
      <c r="F1702" s="2">
        <v>1015.22</v>
      </c>
      <c r="G1702" s="2">
        <v>304.58</v>
      </c>
      <c r="H1702" s="2" t="str">
        <f>VLOOKUP(qhkz_4dqm[[#This Row],[fuel_type]],lookup!A:B,2,FALSE)</f>
        <v>Gasoline</v>
      </c>
      <c r="I1702" s="2">
        <f ca="1">YEAR(TODAY())-qhkz_4dqm[[#This Row],[year]]</f>
        <v>14</v>
      </c>
      <c r="J1702" s="2" t="str" cm="1">
        <f t="array" aca="1" ref="J1702" ca="1">_xlfn.IFS(qhkz_4dqm[[#This Row],[vehicle_age]]&lt;=3,"Newer",qhkz_4dqm[[#This Row],[vehicle_age]]&lt;=9,"Mid-age",qhkz_4dqm[[#This Row],[vehicle_age]]&lt;=19,"Older",qhkz_4dqm[[#This Row],[vehicle_age]]&gt;=20,"Very Old")</f>
        <v>Older</v>
      </c>
    </row>
    <row r="1703" spans="1:10">
      <c r="A1703" s="2">
        <v>24152817</v>
      </c>
      <c r="B1703" s="2">
        <v>2415281701</v>
      </c>
      <c r="C1703" s="2">
        <v>1</v>
      </c>
      <c r="D1703" s="2">
        <v>2006</v>
      </c>
      <c r="E1703" s="2">
        <v>1</v>
      </c>
      <c r="F1703" s="2">
        <v>211.12</v>
      </c>
      <c r="G1703" s="2">
        <v>217.63</v>
      </c>
      <c r="H1703" s="2" t="str">
        <f>VLOOKUP(qhkz_4dqm[[#This Row],[fuel_type]],lookup!A:B,2,FALSE)</f>
        <v>Gasoline</v>
      </c>
      <c r="I1703" s="2">
        <f ca="1">YEAR(TODAY())-qhkz_4dqm[[#This Row],[year]]</f>
        <v>20</v>
      </c>
      <c r="J1703" s="2" t="str" cm="1">
        <f t="array" aca="1" ref="J1703" ca="1">_xlfn.IFS(qhkz_4dqm[[#This Row],[vehicle_age]]&lt;=3,"Newer",qhkz_4dqm[[#This Row],[vehicle_age]]&lt;=9,"Mid-age",qhkz_4dqm[[#This Row],[vehicle_age]]&lt;=19,"Older",qhkz_4dqm[[#This Row],[vehicle_age]]&gt;=20,"Very Old")</f>
        <v>Very Old</v>
      </c>
    </row>
    <row r="1704" spans="1:10">
      <c r="A1704" s="2">
        <v>24152822</v>
      </c>
      <c r="B1704" s="2">
        <v>2415282201</v>
      </c>
      <c r="C1704" s="2">
        <v>1</v>
      </c>
      <c r="D1704" s="2">
        <v>2013</v>
      </c>
      <c r="E1704" s="2">
        <v>1</v>
      </c>
      <c r="F1704" s="2">
        <v>496.88</v>
      </c>
      <c r="G1704" s="2">
        <v>433.41</v>
      </c>
      <c r="H1704" s="2" t="str">
        <f>VLOOKUP(qhkz_4dqm[[#This Row],[fuel_type]],lookup!A:B,2,FALSE)</f>
        <v>Gasoline</v>
      </c>
      <c r="I1704" s="2">
        <f ca="1">YEAR(TODAY())-qhkz_4dqm[[#This Row],[year]]</f>
        <v>13</v>
      </c>
      <c r="J1704" s="2" t="str" cm="1">
        <f t="array" aca="1" ref="J1704" ca="1">_xlfn.IFS(qhkz_4dqm[[#This Row],[vehicle_age]]&lt;=3,"Newer",qhkz_4dqm[[#This Row],[vehicle_age]]&lt;=9,"Mid-age",qhkz_4dqm[[#This Row],[vehicle_age]]&lt;=19,"Older",qhkz_4dqm[[#This Row],[vehicle_age]]&gt;=20,"Very Old")</f>
        <v>Older</v>
      </c>
    </row>
    <row r="1705" spans="1:10">
      <c r="A1705" s="2">
        <v>24152825</v>
      </c>
      <c r="B1705" s="2">
        <v>2415282501</v>
      </c>
      <c r="C1705" s="2">
        <v>1</v>
      </c>
      <c r="D1705" s="2">
        <v>2022</v>
      </c>
      <c r="E1705" s="2">
        <v>2</v>
      </c>
      <c r="F1705" s="2">
        <v>34.33</v>
      </c>
      <c r="G1705" s="2">
        <v>216.78</v>
      </c>
      <c r="H1705" s="2" t="str">
        <f>VLOOKUP(qhkz_4dqm[[#This Row],[fuel_type]],lookup!A:B,2,FALSE)</f>
        <v>Diesel</v>
      </c>
      <c r="I1705" s="2">
        <f ca="1">YEAR(TODAY())-qhkz_4dqm[[#This Row],[year]]</f>
        <v>4</v>
      </c>
      <c r="J1705" s="2" t="str" cm="1">
        <f t="array" aca="1" ref="J1705" ca="1">_xlfn.IFS(qhkz_4dqm[[#This Row],[vehicle_age]]&lt;=3,"Newer",qhkz_4dqm[[#This Row],[vehicle_age]]&lt;=9,"Mid-age",qhkz_4dqm[[#This Row],[vehicle_age]]&lt;=19,"Older",qhkz_4dqm[[#This Row],[vehicle_age]]&gt;=20,"Very Old")</f>
        <v>Mid-age</v>
      </c>
    </row>
    <row r="1706" spans="1:10">
      <c r="A1706" s="2">
        <v>24152841</v>
      </c>
      <c r="B1706" s="2">
        <v>2415284101</v>
      </c>
      <c r="C1706" s="2">
        <v>1</v>
      </c>
      <c r="D1706" s="2">
        <v>2023</v>
      </c>
      <c r="E1706" s="2">
        <v>1</v>
      </c>
      <c r="F1706" s="2">
        <v>127.79</v>
      </c>
      <c r="G1706" s="2">
        <v>1002.9</v>
      </c>
      <c r="H1706" s="2" t="str">
        <f>VLOOKUP(qhkz_4dqm[[#This Row],[fuel_type]],lookup!A:B,2,FALSE)</f>
        <v>Gasoline</v>
      </c>
      <c r="I1706" s="2">
        <f ca="1">YEAR(TODAY())-qhkz_4dqm[[#This Row],[year]]</f>
        <v>3</v>
      </c>
      <c r="J1706" s="2" t="str" cm="1">
        <f t="array" aca="1" ref="J1706" ca="1">_xlfn.IFS(qhkz_4dqm[[#This Row],[vehicle_age]]&lt;=3,"Newer",qhkz_4dqm[[#This Row],[vehicle_age]]&lt;=9,"Mid-age",qhkz_4dqm[[#This Row],[vehicle_age]]&lt;=19,"Older",qhkz_4dqm[[#This Row],[vehicle_age]]&gt;=20,"Very Old")</f>
        <v>Newer</v>
      </c>
    </row>
    <row r="1707" spans="1:10">
      <c r="A1707" s="2">
        <v>24152852</v>
      </c>
      <c r="B1707" s="2">
        <v>2415285201</v>
      </c>
      <c r="C1707" s="2">
        <v>1</v>
      </c>
      <c r="D1707" s="2">
        <v>2019</v>
      </c>
      <c r="E1707" s="2">
        <v>1</v>
      </c>
      <c r="F1707" s="2">
        <v>629.67999999999995</v>
      </c>
      <c r="G1707" s="2">
        <v>620.92999999999995</v>
      </c>
      <c r="H1707" s="2" t="str">
        <f>VLOOKUP(qhkz_4dqm[[#This Row],[fuel_type]],lookup!A:B,2,FALSE)</f>
        <v>Gasoline</v>
      </c>
      <c r="I1707" s="2">
        <f ca="1">YEAR(TODAY())-qhkz_4dqm[[#This Row],[year]]</f>
        <v>7</v>
      </c>
      <c r="J1707" s="2" t="str" cm="1">
        <f t="array" aca="1" ref="J1707" ca="1">_xlfn.IFS(qhkz_4dqm[[#This Row],[vehicle_age]]&lt;=3,"Newer",qhkz_4dqm[[#This Row],[vehicle_age]]&lt;=9,"Mid-age",qhkz_4dqm[[#This Row],[vehicle_age]]&lt;=19,"Older",qhkz_4dqm[[#This Row],[vehicle_age]]&gt;=20,"Very Old")</f>
        <v>Mid-age</v>
      </c>
    </row>
    <row r="1708" spans="1:10">
      <c r="A1708" s="2">
        <v>24152859</v>
      </c>
      <c r="B1708" s="2">
        <v>2415285901</v>
      </c>
      <c r="C1708" s="2">
        <v>1</v>
      </c>
      <c r="D1708" s="2">
        <v>2018</v>
      </c>
      <c r="E1708" s="2">
        <v>1</v>
      </c>
      <c r="F1708" s="2">
        <v>627.70000000000005</v>
      </c>
      <c r="G1708" s="2">
        <v>376.2</v>
      </c>
      <c r="H1708" s="2" t="str">
        <f>VLOOKUP(qhkz_4dqm[[#This Row],[fuel_type]],lookup!A:B,2,FALSE)</f>
        <v>Gasoline</v>
      </c>
      <c r="I1708" s="2">
        <f ca="1">YEAR(TODAY())-qhkz_4dqm[[#This Row],[year]]</f>
        <v>8</v>
      </c>
      <c r="J1708" s="2" t="str" cm="1">
        <f t="array" aca="1" ref="J1708" ca="1">_xlfn.IFS(qhkz_4dqm[[#This Row],[vehicle_age]]&lt;=3,"Newer",qhkz_4dqm[[#This Row],[vehicle_age]]&lt;=9,"Mid-age",qhkz_4dqm[[#This Row],[vehicle_age]]&lt;=19,"Older",qhkz_4dqm[[#This Row],[vehicle_age]]&gt;=20,"Very Old")</f>
        <v>Mid-age</v>
      </c>
    </row>
    <row r="1709" spans="1:10">
      <c r="A1709" s="2">
        <v>24152862</v>
      </c>
      <c r="B1709" s="2">
        <v>2415286201</v>
      </c>
      <c r="C1709" s="2">
        <v>1</v>
      </c>
      <c r="D1709" s="2">
        <v>2017</v>
      </c>
      <c r="E1709" s="2">
        <v>1</v>
      </c>
      <c r="F1709" s="2">
        <v>4.2699999999999996</v>
      </c>
      <c r="G1709" s="2">
        <v>1217.0999999999999</v>
      </c>
      <c r="H1709" s="2" t="str">
        <f>VLOOKUP(qhkz_4dqm[[#This Row],[fuel_type]],lookup!A:B,2,FALSE)</f>
        <v>Gasoline</v>
      </c>
      <c r="I1709" s="2">
        <f ca="1">YEAR(TODAY())-qhkz_4dqm[[#This Row],[year]]</f>
        <v>9</v>
      </c>
      <c r="J1709" s="2" t="str" cm="1">
        <f t="array" aca="1" ref="J1709" ca="1">_xlfn.IFS(qhkz_4dqm[[#This Row],[vehicle_age]]&lt;=3,"Newer",qhkz_4dqm[[#This Row],[vehicle_age]]&lt;=9,"Mid-age",qhkz_4dqm[[#This Row],[vehicle_age]]&lt;=19,"Older",qhkz_4dqm[[#This Row],[vehicle_age]]&gt;=20,"Very Old")</f>
        <v>Mid-age</v>
      </c>
    </row>
    <row r="1710" spans="1:10">
      <c r="A1710" s="2">
        <v>24152863</v>
      </c>
      <c r="B1710" s="2">
        <v>2415286301</v>
      </c>
      <c r="C1710" s="2">
        <v>1</v>
      </c>
      <c r="D1710" s="2">
        <v>2014</v>
      </c>
      <c r="E1710" s="2">
        <v>1</v>
      </c>
      <c r="F1710" s="2">
        <v>2550.46</v>
      </c>
      <c r="G1710" s="2">
        <v>4257.84</v>
      </c>
      <c r="H1710" s="2" t="str">
        <f>VLOOKUP(qhkz_4dqm[[#This Row],[fuel_type]],lookup!A:B,2,FALSE)</f>
        <v>Gasoline</v>
      </c>
      <c r="I1710" s="2">
        <f ca="1">YEAR(TODAY())-qhkz_4dqm[[#This Row],[year]]</f>
        <v>12</v>
      </c>
      <c r="J1710" s="2" t="str" cm="1">
        <f t="array" aca="1" ref="J1710" ca="1">_xlfn.IFS(qhkz_4dqm[[#This Row],[vehicle_age]]&lt;=3,"Newer",qhkz_4dqm[[#This Row],[vehicle_age]]&lt;=9,"Mid-age",qhkz_4dqm[[#This Row],[vehicle_age]]&lt;=19,"Older",qhkz_4dqm[[#This Row],[vehicle_age]]&gt;=20,"Very Old")</f>
        <v>Older</v>
      </c>
    </row>
    <row r="1711" spans="1:10">
      <c r="A1711" s="2">
        <v>24152864</v>
      </c>
      <c r="B1711" s="2">
        <v>2415286401</v>
      </c>
      <c r="C1711" s="2">
        <v>1</v>
      </c>
      <c r="D1711" s="2">
        <v>2022</v>
      </c>
      <c r="E1711" s="2">
        <v>4</v>
      </c>
      <c r="F1711" s="2">
        <v>0.92</v>
      </c>
      <c r="G1711" s="2">
        <v>475.27</v>
      </c>
      <c r="H1711" s="2" t="str">
        <f>VLOOKUP(qhkz_4dqm[[#This Row],[fuel_type]],lookup!A:B,2,FALSE)</f>
        <v>Electric</v>
      </c>
      <c r="I1711" s="2">
        <f ca="1">YEAR(TODAY())-qhkz_4dqm[[#This Row],[year]]</f>
        <v>4</v>
      </c>
      <c r="J1711" s="2" t="str" cm="1">
        <f t="array" aca="1" ref="J1711" ca="1">_xlfn.IFS(qhkz_4dqm[[#This Row],[vehicle_age]]&lt;=3,"Newer",qhkz_4dqm[[#This Row],[vehicle_age]]&lt;=9,"Mid-age",qhkz_4dqm[[#This Row],[vehicle_age]]&lt;=19,"Older",qhkz_4dqm[[#This Row],[vehicle_age]]&gt;=20,"Very Old")</f>
        <v>Mid-age</v>
      </c>
    </row>
    <row r="1712" spans="1:10">
      <c r="A1712" s="2">
        <v>24152872</v>
      </c>
      <c r="B1712" s="2">
        <v>2415287201</v>
      </c>
      <c r="C1712" s="2">
        <v>1</v>
      </c>
      <c r="D1712" s="2">
        <v>2013</v>
      </c>
      <c r="E1712" s="2">
        <v>1</v>
      </c>
      <c r="F1712" s="2">
        <v>605.04999999999995</v>
      </c>
      <c r="G1712" s="2">
        <v>1700.81</v>
      </c>
      <c r="H1712" s="2" t="str">
        <f>VLOOKUP(qhkz_4dqm[[#This Row],[fuel_type]],lookup!A:B,2,FALSE)</f>
        <v>Gasoline</v>
      </c>
      <c r="I1712" s="2">
        <f ca="1">YEAR(TODAY())-qhkz_4dqm[[#This Row],[year]]</f>
        <v>13</v>
      </c>
      <c r="J1712" s="2" t="str" cm="1">
        <f t="array" aca="1" ref="J1712" ca="1">_xlfn.IFS(qhkz_4dqm[[#This Row],[vehicle_age]]&lt;=3,"Newer",qhkz_4dqm[[#This Row],[vehicle_age]]&lt;=9,"Mid-age",qhkz_4dqm[[#This Row],[vehicle_age]]&lt;=19,"Older",qhkz_4dqm[[#This Row],[vehicle_age]]&gt;=20,"Very Old")</f>
        <v>Older</v>
      </c>
    </row>
    <row r="1713" spans="1:10">
      <c r="A1713" s="2">
        <v>24152895</v>
      </c>
      <c r="B1713" s="2">
        <v>2415289501</v>
      </c>
      <c r="C1713" s="2">
        <v>1</v>
      </c>
      <c r="D1713" s="2">
        <v>2015</v>
      </c>
      <c r="E1713" s="2">
        <v>1</v>
      </c>
      <c r="F1713" s="2">
        <v>193.02</v>
      </c>
      <c r="G1713" s="2">
        <v>290.49</v>
      </c>
      <c r="H1713" s="2" t="str">
        <f>VLOOKUP(qhkz_4dqm[[#This Row],[fuel_type]],lookup!A:B,2,FALSE)</f>
        <v>Gasoline</v>
      </c>
      <c r="I1713" s="2">
        <f ca="1">YEAR(TODAY())-qhkz_4dqm[[#This Row],[year]]</f>
        <v>11</v>
      </c>
      <c r="J1713" s="2" t="str" cm="1">
        <f t="array" aca="1" ref="J1713" ca="1">_xlfn.IFS(qhkz_4dqm[[#This Row],[vehicle_age]]&lt;=3,"Newer",qhkz_4dqm[[#This Row],[vehicle_age]]&lt;=9,"Mid-age",qhkz_4dqm[[#This Row],[vehicle_age]]&lt;=19,"Older",qhkz_4dqm[[#This Row],[vehicle_age]]&gt;=20,"Very Old")</f>
        <v>Older</v>
      </c>
    </row>
    <row r="1714" spans="1:10">
      <c r="A1714" s="2">
        <v>24152907</v>
      </c>
      <c r="B1714" s="2">
        <v>2415290701</v>
      </c>
      <c r="C1714" s="2">
        <v>1</v>
      </c>
      <c r="D1714" s="2">
        <v>2020</v>
      </c>
      <c r="E1714" s="2">
        <v>1</v>
      </c>
      <c r="F1714" s="2">
        <v>301.66000000000003</v>
      </c>
      <c r="G1714" s="2">
        <v>232.14</v>
      </c>
      <c r="H1714" s="2" t="str">
        <f>VLOOKUP(qhkz_4dqm[[#This Row],[fuel_type]],lookup!A:B,2,FALSE)</f>
        <v>Gasoline</v>
      </c>
      <c r="I1714" s="2">
        <f ca="1">YEAR(TODAY())-qhkz_4dqm[[#This Row],[year]]</f>
        <v>6</v>
      </c>
      <c r="J1714" s="2" t="str" cm="1">
        <f t="array" aca="1" ref="J1714" ca="1">_xlfn.IFS(qhkz_4dqm[[#This Row],[vehicle_age]]&lt;=3,"Newer",qhkz_4dqm[[#This Row],[vehicle_age]]&lt;=9,"Mid-age",qhkz_4dqm[[#This Row],[vehicle_age]]&lt;=19,"Older",qhkz_4dqm[[#This Row],[vehicle_age]]&gt;=20,"Very Old")</f>
        <v>Mid-age</v>
      </c>
    </row>
    <row r="1715" spans="1:10">
      <c r="A1715" s="2">
        <v>24152910</v>
      </c>
      <c r="B1715" s="2">
        <v>2415291001</v>
      </c>
      <c r="C1715" s="2">
        <v>1</v>
      </c>
      <c r="D1715" s="2">
        <v>2019</v>
      </c>
      <c r="E1715" s="2">
        <v>1</v>
      </c>
      <c r="F1715" s="2">
        <v>1584.09</v>
      </c>
      <c r="G1715" s="2">
        <v>455.99</v>
      </c>
      <c r="H1715" s="2" t="str">
        <f>VLOOKUP(qhkz_4dqm[[#This Row],[fuel_type]],lookup!A:B,2,FALSE)</f>
        <v>Gasoline</v>
      </c>
      <c r="I1715" s="2">
        <f ca="1">YEAR(TODAY())-qhkz_4dqm[[#This Row],[year]]</f>
        <v>7</v>
      </c>
      <c r="J1715" s="2" t="str" cm="1">
        <f t="array" aca="1" ref="J1715" ca="1">_xlfn.IFS(qhkz_4dqm[[#This Row],[vehicle_age]]&lt;=3,"Newer",qhkz_4dqm[[#This Row],[vehicle_age]]&lt;=9,"Mid-age",qhkz_4dqm[[#This Row],[vehicle_age]]&lt;=19,"Older",qhkz_4dqm[[#This Row],[vehicle_age]]&gt;=20,"Very Old")</f>
        <v>Mid-age</v>
      </c>
    </row>
    <row r="1716" spans="1:10">
      <c r="A1716" s="2">
        <v>24152914</v>
      </c>
      <c r="B1716" s="2">
        <v>2415291401</v>
      </c>
      <c r="C1716" s="2">
        <v>1</v>
      </c>
      <c r="D1716" s="2">
        <v>2010</v>
      </c>
      <c r="E1716" s="2">
        <v>1</v>
      </c>
      <c r="F1716" s="2">
        <v>437.07</v>
      </c>
      <c r="G1716" s="2">
        <v>626.6</v>
      </c>
      <c r="H1716" s="2" t="str">
        <f>VLOOKUP(qhkz_4dqm[[#This Row],[fuel_type]],lookup!A:B,2,FALSE)</f>
        <v>Gasoline</v>
      </c>
      <c r="I1716" s="2">
        <f ca="1">YEAR(TODAY())-qhkz_4dqm[[#This Row],[year]]</f>
        <v>16</v>
      </c>
      <c r="J1716" s="2" t="str" cm="1">
        <f t="array" aca="1" ref="J1716" ca="1">_xlfn.IFS(qhkz_4dqm[[#This Row],[vehicle_age]]&lt;=3,"Newer",qhkz_4dqm[[#This Row],[vehicle_age]]&lt;=9,"Mid-age",qhkz_4dqm[[#This Row],[vehicle_age]]&lt;=19,"Older",qhkz_4dqm[[#This Row],[vehicle_age]]&gt;=20,"Very Old")</f>
        <v>Older</v>
      </c>
    </row>
    <row r="1717" spans="1:10">
      <c r="A1717" s="2">
        <v>24152917</v>
      </c>
      <c r="B1717" s="2">
        <v>2415291701</v>
      </c>
      <c r="C1717" s="2">
        <v>1</v>
      </c>
      <c r="D1717" s="2">
        <v>2013</v>
      </c>
      <c r="E1717" s="2">
        <v>1</v>
      </c>
      <c r="F1717" s="2">
        <v>109.48</v>
      </c>
      <c r="G1717" s="2">
        <v>403.66</v>
      </c>
      <c r="H1717" s="2" t="str">
        <f>VLOOKUP(qhkz_4dqm[[#This Row],[fuel_type]],lookup!A:B,2,FALSE)</f>
        <v>Gasoline</v>
      </c>
      <c r="I1717" s="2">
        <f ca="1">YEAR(TODAY())-qhkz_4dqm[[#This Row],[year]]</f>
        <v>13</v>
      </c>
      <c r="J1717" s="2" t="str" cm="1">
        <f t="array" aca="1" ref="J1717" ca="1">_xlfn.IFS(qhkz_4dqm[[#This Row],[vehicle_age]]&lt;=3,"Newer",qhkz_4dqm[[#This Row],[vehicle_age]]&lt;=9,"Mid-age",qhkz_4dqm[[#This Row],[vehicle_age]]&lt;=19,"Older",qhkz_4dqm[[#This Row],[vehicle_age]]&gt;=20,"Very Old")</f>
        <v>Older</v>
      </c>
    </row>
    <row r="1718" spans="1:10">
      <c r="A1718" s="2">
        <v>24152923</v>
      </c>
      <c r="B1718" s="2">
        <v>2415292301</v>
      </c>
      <c r="C1718" s="2">
        <v>1</v>
      </c>
      <c r="D1718" s="2">
        <v>2014</v>
      </c>
      <c r="E1718" s="2">
        <v>2</v>
      </c>
      <c r="F1718" s="2">
        <v>4.63</v>
      </c>
      <c r="G1718" s="2">
        <v>644.09</v>
      </c>
      <c r="H1718" s="2" t="str">
        <f>VLOOKUP(qhkz_4dqm[[#This Row],[fuel_type]],lookup!A:B,2,FALSE)</f>
        <v>Diesel</v>
      </c>
      <c r="I1718" s="2">
        <f ca="1">YEAR(TODAY())-qhkz_4dqm[[#This Row],[year]]</f>
        <v>12</v>
      </c>
      <c r="J1718" s="2" t="str" cm="1">
        <f t="array" aca="1" ref="J1718" ca="1">_xlfn.IFS(qhkz_4dqm[[#This Row],[vehicle_age]]&lt;=3,"Newer",qhkz_4dqm[[#This Row],[vehicle_age]]&lt;=9,"Mid-age",qhkz_4dqm[[#This Row],[vehicle_age]]&lt;=19,"Older",qhkz_4dqm[[#This Row],[vehicle_age]]&gt;=20,"Very Old")</f>
        <v>Older</v>
      </c>
    </row>
    <row r="1719" spans="1:10">
      <c r="A1719" s="2">
        <v>24152924</v>
      </c>
      <c r="B1719" s="2">
        <v>2415292401</v>
      </c>
      <c r="C1719" s="2">
        <v>1</v>
      </c>
      <c r="D1719" s="2">
        <v>2020</v>
      </c>
      <c r="E1719" s="2">
        <v>1</v>
      </c>
      <c r="F1719" s="2">
        <v>26.97</v>
      </c>
      <c r="G1719" s="2">
        <v>81.5</v>
      </c>
      <c r="H1719" s="2" t="str">
        <f>VLOOKUP(qhkz_4dqm[[#This Row],[fuel_type]],lookup!A:B,2,FALSE)</f>
        <v>Gasoline</v>
      </c>
      <c r="I1719" s="2">
        <f ca="1">YEAR(TODAY())-qhkz_4dqm[[#This Row],[year]]</f>
        <v>6</v>
      </c>
      <c r="J1719" s="2" t="str" cm="1">
        <f t="array" aca="1" ref="J1719" ca="1">_xlfn.IFS(qhkz_4dqm[[#This Row],[vehicle_age]]&lt;=3,"Newer",qhkz_4dqm[[#This Row],[vehicle_age]]&lt;=9,"Mid-age",qhkz_4dqm[[#This Row],[vehicle_age]]&lt;=19,"Older",qhkz_4dqm[[#This Row],[vehicle_age]]&gt;=20,"Very Old")</f>
        <v>Mid-age</v>
      </c>
    </row>
    <row r="1720" spans="1:10">
      <c r="A1720" s="2">
        <v>24152925</v>
      </c>
      <c r="B1720" s="2">
        <v>2415292501</v>
      </c>
      <c r="C1720" s="2">
        <v>1</v>
      </c>
      <c r="D1720" s="2">
        <v>2007</v>
      </c>
      <c r="E1720" s="2">
        <v>1</v>
      </c>
      <c r="F1720" s="2">
        <v>318.27</v>
      </c>
      <c r="G1720" s="2">
        <v>177.96</v>
      </c>
      <c r="H1720" s="2" t="str">
        <f>VLOOKUP(qhkz_4dqm[[#This Row],[fuel_type]],lookup!A:B,2,FALSE)</f>
        <v>Gasoline</v>
      </c>
      <c r="I1720" s="2">
        <f ca="1">YEAR(TODAY())-qhkz_4dqm[[#This Row],[year]]</f>
        <v>19</v>
      </c>
      <c r="J1720" s="2" t="str" cm="1">
        <f t="array" aca="1" ref="J1720" ca="1">_xlfn.IFS(qhkz_4dqm[[#This Row],[vehicle_age]]&lt;=3,"Newer",qhkz_4dqm[[#This Row],[vehicle_age]]&lt;=9,"Mid-age",qhkz_4dqm[[#This Row],[vehicle_age]]&lt;=19,"Older",qhkz_4dqm[[#This Row],[vehicle_age]]&gt;=20,"Very Old")</f>
        <v>Older</v>
      </c>
    </row>
    <row r="1721" spans="1:10">
      <c r="A1721" s="2">
        <v>24152929</v>
      </c>
      <c r="B1721" s="2">
        <v>2415292901</v>
      </c>
      <c r="C1721" s="2">
        <v>1</v>
      </c>
      <c r="D1721" s="2">
        <v>2021</v>
      </c>
      <c r="E1721" s="2">
        <v>2</v>
      </c>
      <c r="F1721" s="2">
        <v>562.5</v>
      </c>
      <c r="G1721" s="2">
        <v>595.75</v>
      </c>
      <c r="H1721" s="2" t="str">
        <f>VLOOKUP(qhkz_4dqm[[#This Row],[fuel_type]],lookup!A:B,2,FALSE)</f>
        <v>Diesel</v>
      </c>
      <c r="I1721" s="2">
        <f ca="1">YEAR(TODAY())-qhkz_4dqm[[#This Row],[year]]</f>
        <v>5</v>
      </c>
      <c r="J1721" s="2" t="str" cm="1">
        <f t="array" aca="1" ref="J1721" ca="1">_xlfn.IFS(qhkz_4dqm[[#This Row],[vehicle_age]]&lt;=3,"Newer",qhkz_4dqm[[#This Row],[vehicle_age]]&lt;=9,"Mid-age",qhkz_4dqm[[#This Row],[vehicle_age]]&lt;=19,"Older",qhkz_4dqm[[#This Row],[vehicle_age]]&gt;=20,"Very Old")</f>
        <v>Mid-age</v>
      </c>
    </row>
    <row r="1722" spans="1:10">
      <c r="A1722" s="2">
        <v>24152936</v>
      </c>
      <c r="B1722" s="2">
        <v>2415293601</v>
      </c>
      <c r="C1722" s="2">
        <v>1</v>
      </c>
      <c r="D1722" s="2">
        <v>2005</v>
      </c>
      <c r="E1722" s="2">
        <v>1</v>
      </c>
      <c r="F1722" s="2">
        <v>196.47</v>
      </c>
      <c r="G1722" s="2">
        <v>258.49</v>
      </c>
      <c r="H1722" s="2" t="str">
        <f>VLOOKUP(qhkz_4dqm[[#This Row],[fuel_type]],lookup!A:B,2,FALSE)</f>
        <v>Gasoline</v>
      </c>
      <c r="I1722" s="2">
        <f ca="1">YEAR(TODAY())-qhkz_4dqm[[#This Row],[year]]</f>
        <v>21</v>
      </c>
      <c r="J1722" s="2" t="str" cm="1">
        <f t="array" aca="1" ref="J1722" ca="1">_xlfn.IFS(qhkz_4dqm[[#This Row],[vehicle_age]]&lt;=3,"Newer",qhkz_4dqm[[#This Row],[vehicle_age]]&lt;=9,"Mid-age",qhkz_4dqm[[#This Row],[vehicle_age]]&lt;=19,"Older",qhkz_4dqm[[#This Row],[vehicle_age]]&gt;=20,"Very Old")</f>
        <v>Very Old</v>
      </c>
    </row>
    <row r="1723" spans="1:10">
      <c r="A1723" s="2">
        <v>24152943</v>
      </c>
      <c r="B1723" s="2">
        <v>2415294301</v>
      </c>
      <c r="C1723" s="2">
        <v>1</v>
      </c>
      <c r="D1723" s="2">
        <v>2003</v>
      </c>
      <c r="E1723" s="2">
        <v>1</v>
      </c>
      <c r="F1723" s="2">
        <v>1.84</v>
      </c>
      <c r="G1723" s="2">
        <v>247.68</v>
      </c>
      <c r="H1723" s="2" t="str">
        <f>VLOOKUP(qhkz_4dqm[[#This Row],[fuel_type]],lookup!A:B,2,FALSE)</f>
        <v>Gasoline</v>
      </c>
      <c r="I1723" s="2">
        <f ca="1">YEAR(TODAY())-qhkz_4dqm[[#This Row],[year]]</f>
        <v>23</v>
      </c>
      <c r="J1723" s="2" t="str" cm="1">
        <f t="array" aca="1" ref="J1723" ca="1">_xlfn.IFS(qhkz_4dqm[[#This Row],[vehicle_age]]&lt;=3,"Newer",qhkz_4dqm[[#This Row],[vehicle_age]]&lt;=9,"Mid-age",qhkz_4dqm[[#This Row],[vehicle_age]]&lt;=19,"Older",qhkz_4dqm[[#This Row],[vehicle_age]]&gt;=20,"Very Old")</f>
        <v>Very Old</v>
      </c>
    </row>
    <row r="1724" spans="1:10">
      <c r="A1724" s="2">
        <v>24152944</v>
      </c>
      <c r="B1724" s="2">
        <v>2415294401</v>
      </c>
      <c r="C1724" s="2">
        <v>1</v>
      </c>
      <c r="D1724" s="2">
        <v>2023</v>
      </c>
      <c r="E1724" s="2">
        <v>1</v>
      </c>
      <c r="F1724" s="2">
        <v>0.92</v>
      </c>
      <c r="G1724" s="2">
        <v>192.94</v>
      </c>
      <c r="H1724" s="2" t="str">
        <f>VLOOKUP(qhkz_4dqm[[#This Row],[fuel_type]],lookup!A:B,2,FALSE)</f>
        <v>Gasoline</v>
      </c>
      <c r="I1724" s="2">
        <f ca="1">YEAR(TODAY())-qhkz_4dqm[[#This Row],[year]]</f>
        <v>3</v>
      </c>
      <c r="J1724" s="2" t="str" cm="1">
        <f t="array" aca="1" ref="J1724" ca="1">_xlfn.IFS(qhkz_4dqm[[#This Row],[vehicle_age]]&lt;=3,"Newer",qhkz_4dqm[[#This Row],[vehicle_age]]&lt;=9,"Mid-age",qhkz_4dqm[[#This Row],[vehicle_age]]&lt;=19,"Older",qhkz_4dqm[[#This Row],[vehicle_age]]&gt;=20,"Very Old")</f>
        <v>Newer</v>
      </c>
    </row>
    <row r="1725" spans="1:10">
      <c r="A1725" s="2">
        <v>24152996</v>
      </c>
      <c r="B1725" s="2">
        <v>2415299601</v>
      </c>
      <c r="C1725" s="2">
        <v>1</v>
      </c>
      <c r="D1725" s="2">
        <v>2019</v>
      </c>
      <c r="E1725" s="2">
        <v>1</v>
      </c>
      <c r="F1725" s="2">
        <v>982.19</v>
      </c>
      <c r="G1725" s="2">
        <v>2165.17</v>
      </c>
      <c r="H1725" s="2" t="str">
        <f>VLOOKUP(qhkz_4dqm[[#This Row],[fuel_type]],lookup!A:B,2,FALSE)</f>
        <v>Gasoline</v>
      </c>
      <c r="I1725" s="2">
        <f ca="1">YEAR(TODAY())-qhkz_4dqm[[#This Row],[year]]</f>
        <v>7</v>
      </c>
      <c r="J1725" s="2" t="str" cm="1">
        <f t="array" aca="1" ref="J1725" ca="1">_xlfn.IFS(qhkz_4dqm[[#This Row],[vehicle_age]]&lt;=3,"Newer",qhkz_4dqm[[#This Row],[vehicle_age]]&lt;=9,"Mid-age",qhkz_4dqm[[#This Row],[vehicle_age]]&lt;=19,"Older",qhkz_4dqm[[#This Row],[vehicle_age]]&gt;=20,"Very Old")</f>
        <v>Mid-age</v>
      </c>
    </row>
    <row r="1726" spans="1:10">
      <c r="A1726" s="2">
        <v>24153009</v>
      </c>
      <c r="B1726" s="2">
        <v>2415300901</v>
      </c>
      <c r="C1726" s="2">
        <v>1</v>
      </c>
      <c r="D1726" s="2">
        <v>2023</v>
      </c>
      <c r="E1726" s="2">
        <v>1</v>
      </c>
      <c r="F1726" s="2">
        <v>644.24</v>
      </c>
      <c r="G1726" s="2">
        <v>560.42999999999995</v>
      </c>
      <c r="H1726" s="2" t="str">
        <f>VLOOKUP(qhkz_4dqm[[#This Row],[fuel_type]],lookup!A:B,2,FALSE)</f>
        <v>Gasoline</v>
      </c>
      <c r="I1726" s="2">
        <f ca="1">YEAR(TODAY())-qhkz_4dqm[[#This Row],[year]]</f>
        <v>3</v>
      </c>
      <c r="J1726" s="2" t="str" cm="1">
        <f t="array" aca="1" ref="J1726" ca="1">_xlfn.IFS(qhkz_4dqm[[#This Row],[vehicle_age]]&lt;=3,"Newer",qhkz_4dqm[[#This Row],[vehicle_age]]&lt;=9,"Mid-age",qhkz_4dqm[[#This Row],[vehicle_age]]&lt;=19,"Older",qhkz_4dqm[[#This Row],[vehicle_age]]&gt;=20,"Very Old")</f>
        <v>Newer</v>
      </c>
    </row>
    <row r="1727" spans="1:10">
      <c r="A1727" s="2">
        <v>24153018</v>
      </c>
      <c r="B1727" s="2">
        <v>2415301801</v>
      </c>
      <c r="C1727" s="2">
        <v>1</v>
      </c>
      <c r="D1727" s="2">
        <v>2020</v>
      </c>
      <c r="E1727" s="2">
        <v>1</v>
      </c>
      <c r="F1727" s="2">
        <v>882.6</v>
      </c>
      <c r="G1727" s="2">
        <v>1775.82</v>
      </c>
      <c r="H1727" s="2" t="str">
        <f>VLOOKUP(qhkz_4dqm[[#This Row],[fuel_type]],lookup!A:B,2,FALSE)</f>
        <v>Gasoline</v>
      </c>
      <c r="I1727" s="2">
        <f ca="1">YEAR(TODAY())-qhkz_4dqm[[#This Row],[year]]</f>
        <v>6</v>
      </c>
      <c r="J1727" s="2" t="str" cm="1">
        <f t="array" aca="1" ref="J1727" ca="1">_xlfn.IFS(qhkz_4dqm[[#This Row],[vehicle_age]]&lt;=3,"Newer",qhkz_4dqm[[#This Row],[vehicle_age]]&lt;=9,"Mid-age",qhkz_4dqm[[#This Row],[vehicle_age]]&lt;=19,"Older",qhkz_4dqm[[#This Row],[vehicle_age]]&gt;=20,"Very Old")</f>
        <v>Mid-age</v>
      </c>
    </row>
    <row r="1728" spans="1:10">
      <c r="A1728" s="2">
        <v>24153020</v>
      </c>
      <c r="B1728" s="2">
        <v>2415302001</v>
      </c>
      <c r="C1728" s="2">
        <v>1</v>
      </c>
      <c r="D1728" s="2">
        <v>2015</v>
      </c>
      <c r="E1728" s="2">
        <v>1</v>
      </c>
      <c r="F1728" s="2">
        <v>183.94</v>
      </c>
      <c r="G1728" s="2">
        <v>296.13</v>
      </c>
      <c r="H1728" s="2" t="str">
        <f>VLOOKUP(qhkz_4dqm[[#This Row],[fuel_type]],lookup!A:B,2,FALSE)</f>
        <v>Gasoline</v>
      </c>
      <c r="I1728" s="2">
        <f ca="1">YEAR(TODAY())-qhkz_4dqm[[#This Row],[year]]</f>
        <v>11</v>
      </c>
      <c r="J1728" s="2" t="str" cm="1">
        <f t="array" aca="1" ref="J1728" ca="1">_xlfn.IFS(qhkz_4dqm[[#This Row],[vehicle_age]]&lt;=3,"Newer",qhkz_4dqm[[#This Row],[vehicle_age]]&lt;=9,"Mid-age",qhkz_4dqm[[#This Row],[vehicle_age]]&lt;=19,"Older",qhkz_4dqm[[#This Row],[vehicle_age]]&gt;=20,"Very Old")</f>
        <v>Older</v>
      </c>
    </row>
    <row r="1729" spans="1:10">
      <c r="A1729" s="2">
        <v>24153022</v>
      </c>
      <c r="B1729" s="2">
        <v>2415302201</v>
      </c>
      <c r="C1729" s="2">
        <v>1</v>
      </c>
      <c r="D1729" s="2">
        <v>2018</v>
      </c>
      <c r="E1729" s="2">
        <v>1</v>
      </c>
      <c r="F1729" s="2">
        <v>3901.69</v>
      </c>
      <c r="G1729" s="2">
        <v>3113.16</v>
      </c>
      <c r="H1729" s="2" t="str">
        <f>VLOOKUP(qhkz_4dqm[[#This Row],[fuel_type]],lookup!A:B,2,FALSE)</f>
        <v>Gasoline</v>
      </c>
      <c r="I1729" s="2">
        <f ca="1">YEAR(TODAY())-qhkz_4dqm[[#This Row],[year]]</f>
        <v>8</v>
      </c>
      <c r="J1729" s="2" t="str" cm="1">
        <f t="array" aca="1" ref="J1729" ca="1">_xlfn.IFS(qhkz_4dqm[[#This Row],[vehicle_age]]&lt;=3,"Newer",qhkz_4dqm[[#This Row],[vehicle_age]]&lt;=9,"Mid-age",qhkz_4dqm[[#This Row],[vehicle_age]]&lt;=19,"Older",qhkz_4dqm[[#This Row],[vehicle_age]]&gt;=20,"Very Old")</f>
        <v>Mid-age</v>
      </c>
    </row>
    <row r="1730" spans="1:10">
      <c r="A1730" s="2">
        <v>24153024</v>
      </c>
      <c r="B1730" s="2">
        <v>2415302401</v>
      </c>
      <c r="C1730" s="2">
        <v>1</v>
      </c>
      <c r="D1730" s="2">
        <v>2014</v>
      </c>
      <c r="E1730" s="2">
        <v>1</v>
      </c>
      <c r="F1730" s="2">
        <v>13.26</v>
      </c>
      <c r="G1730" s="2">
        <v>769.22</v>
      </c>
      <c r="H1730" s="2" t="str">
        <f>VLOOKUP(qhkz_4dqm[[#This Row],[fuel_type]],lookup!A:B,2,FALSE)</f>
        <v>Gasoline</v>
      </c>
      <c r="I1730" s="2">
        <f ca="1">YEAR(TODAY())-qhkz_4dqm[[#This Row],[year]]</f>
        <v>12</v>
      </c>
      <c r="J1730" s="2" t="str" cm="1">
        <f t="array" aca="1" ref="J1730" ca="1">_xlfn.IFS(qhkz_4dqm[[#This Row],[vehicle_age]]&lt;=3,"Newer",qhkz_4dqm[[#This Row],[vehicle_age]]&lt;=9,"Mid-age",qhkz_4dqm[[#This Row],[vehicle_age]]&lt;=19,"Older",qhkz_4dqm[[#This Row],[vehicle_age]]&gt;=20,"Very Old")</f>
        <v>Older</v>
      </c>
    </row>
    <row r="1731" spans="1:10">
      <c r="A1731" s="2">
        <v>24153025</v>
      </c>
      <c r="B1731" s="2">
        <v>2415302501</v>
      </c>
      <c r="C1731" s="2">
        <v>1</v>
      </c>
      <c r="D1731" s="2">
        <v>2008</v>
      </c>
      <c r="E1731" s="2">
        <v>1</v>
      </c>
      <c r="F1731" s="2">
        <v>305.48</v>
      </c>
      <c r="G1731" s="2">
        <v>896.69</v>
      </c>
      <c r="H1731" s="2" t="str">
        <f>VLOOKUP(qhkz_4dqm[[#This Row],[fuel_type]],lookup!A:B,2,FALSE)</f>
        <v>Gasoline</v>
      </c>
      <c r="I1731" s="2">
        <f ca="1">YEAR(TODAY())-qhkz_4dqm[[#This Row],[year]]</f>
        <v>18</v>
      </c>
      <c r="J1731" s="2" t="str" cm="1">
        <f t="array" aca="1" ref="J1731" ca="1">_xlfn.IFS(qhkz_4dqm[[#This Row],[vehicle_age]]&lt;=3,"Newer",qhkz_4dqm[[#This Row],[vehicle_age]]&lt;=9,"Mid-age",qhkz_4dqm[[#This Row],[vehicle_age]]&lt;=19,"Older",qhkz_4dqm[[#This Row],[vehicle_age]]&gt;=20,"Very Old")</f>
        <v>Older</v>
      </c>
    </row>
    <row r="1732" spans="1:10">
      <c r="A1732" s="2">
        <v>24153033</v>
      </c>
      <c r="B1732" s="2">
        <v>2415303301</v>
      </c>
      <c r="C1732" s="2">
        <v>1</v>
      </c>
      <c r="D1732" s="2">
        <v>2024</v>
      </c>
      <c r="E1732" s="2">
        <v>1</v>
      </c>
      <c r="F1732" s="2">
        <v>0.92</v>
      </c>
      <c r="G1732" s="2">
        <v>476.56</v>
      </c>
      <c r="H1732" s="2" t="str">
        <f>VLOOKUP(qhkz_4dqm[[#This Row],[fuel_type]],lookup!A:B,2,FALSE)</f>
        <v>Gasoline</v>
      </c>
      <c r="I1732" s="2">
        <f ca="1">YEAR(TODAY())-qhkz_4dqm[[#This Row],[year]]</f>
        <v>2</v>
      </c>
      <c r="J1732" s="2" t="str" cm="1">
        <f t="array" aca="1" ref="J1732" ca="1">_xlfn.IFS(qhkz_4dqm[[#This Row],[vehicle_age]]&lt;=3,"Newer",qhkz_4dqm[[#This Row],[vehicle_age]]&lt;=9,"Mid-age",qhkz_4dqm[[#This Row],[vehicle_age]]&lt;=19,"Older",qhkz_4dqm[[#This Row],[vehicle_age]]&gt;=20,"Very Old")</f>
        <v>Newer</v>
      </c>
    </row>
    <row r="1733" spans="1:10">
      <c r="A1733" s="2">
        <v>24153048</v>
      </c>
      <c r="B1733" s="2">
        <v>2415304801</v>
      </c>
      <c r="C1733" s="2">
        <v>1</v>
      </c>
      <c r="D1733" s="2">
        <v>2017</v>
      </c>
      <c r="E1733" s="2">
        <v>1</v>
      </c>
      <c r="F1733" s="2">
        <v>1160.0899999999999</v>
      </c>
      <c r="G1733" s="2">
        <v>1000.25</v>
      </c>
      <c r="H1733" s="2" t="str">
        <f>VLOOKUP(qhkz_4dqm[[#This Row],[fuel_type]],lookup!A:B,2,FALSE)</f>
        <v>Gasoline</v>
      </c>
      <c r="I1733" s="2">
        <f ca="1">YEAR(TODAY())-qhkz_4dqm[[#This Row],[year]]</f>
        <v>9</v>
      </c>
      <c r="J1733" s="2" t="str" cm="1">
        <f t="array" aca="1" ref="J1733" ca="1">_xlfn.IFS(qhkz_4dqm[[#This Row],[vehicle_age]]&lt;=3,"Newer",qhkz_4dqm[[#This Row],[vehicle_age]]&lt;=9,"Mid-age",qhkz_4dqm[[#This Row],[vehicle_age]]&lt;=19,"Older",qhkz_4dqm[[#This Row],[vehicle_age]]&gt;=20,"Very Old")</f>
        <v>Mid-age</v>
      </c>
    </row>
    <row r="1734" spans="1:10">
      <c r="A1734" s="2">
        <v>24153052</v>
      </c>
      <c r="B1734" s="2">
        <v>2415305201</v>
      </c>
      <c r="C1734" s="2">
        <v>1</v>
      </c>
      <c r="D1734" s="2">
        <v>2018</v>
      </c>
      <c r="E1734" s="2">
        <v>1</v>
      </c>
      <c r="F1734" s="2">
        <v>979.54</v>
      </c>
      <c r="G1734" s="2">
        <v>595.75</v>
      </c>
      <c r="H1734" s="2" t="str">
        <f>VLOOKUP(qhkz_4dqm[[#This Row],[fuel_type]],lookup!A:B,2,FALSE)</f>
        <v>Gasoline</v>
      </c>
      <c r="I1734" s="2">
        <f ca="1">YEAR(TODAY())-qhkz_4dqm[[#This Row],[year]]</f>
        <v>8</v>
      </c>
      <c r="J1734" s="2" t="str" cm="1">
        <f t="array" aca="1" ref="J1734" ca="1">_xlfn.IFS(qhkz_4dqm[[#This Row],[vehicle_age]]&lt;=3,"Newer",qhkz_4dqm[[#This Row],[vehicle_age]]&lt;=9,"Mid-age",qhkz_4dqm[[#This Row],[vehicle_age]]&lt;=19,"Older",qhkz_4dqm[[#This Row],[vehicle_age]]&gt;=20,"Very Old")</f>
        <v>Mid-age</v>
      </c>
    </row>
    <row r="1735" spans="1:10">
      <c r="A1735" s="2">
        <v>24153063</v>
      </c>
      <c r="B1735" s="2">
        <v>2415306301</v>
      </c>
      <c r="C1735" s="2">
        <v>1</v>
      </c>
      <c r="D1735" s="2">
        <v>2016</v>
      </c>
      <c r="E1735" s="2">
        <v>1</v>
      </c>
      <c r="F1735" s="2">
        <v>30.13</v>
      </c>
      <c r="G1735" s="2">
        <v>231.74</v>
      </c>
      <c r="H1735" s="2" t="str">
        <f>VLOOKUP(qhkz_4dqm[[#This Row],[fuel_type]],lookup!A:B,2,FALSE)</f>
        <v>Gasoline</v>
      </c>
      <c r="I1735" s="2">
        <f ca="1">YEAR(TODAY())-qhkz_4dqm[[#This Row],[year]]</f>
        <v>10</v>
      </c>
      <c r="J1735" s="2" t="str" cm="1">
        <f t="array" aca="1" ref="J1735" ca="1">_xlfn.IFS(qhkz_4dqm[[#This Row],[vehicle_age]]&lt;=3,"Newer",qhkz_4dqm[[#This Row],[vehicle_age]]&lt;=9,"Mid-age",qhkz_4dqm[[#This Row],[vehicle_age]]&lt;=19,"Older",qhkz_4dqm[[#This Row],[vehicle_age]]&gt;=20,"Very Old")</f>
        <v>Older</v>
      </c>
    </row>
    <row r="1736" spans="1:10">
      <c r="A1736" s="2">
        <v>24153067</v>
      </c>
      <c r="B1736" s="2">
        <v>2415306701</v>
      </c>
      <c r="C1736" s="2">
        <v>1</v>
      </c>
      <c r="D1736" s="2">
        <v>2006</v>
      </c>
      <c r="E1736" s="2">
        <v>1</v>
      </c>
      <c r="F1736" s="2">
        <v>92.69</v>
      </c>
      <c r="G1736" s="2">
        <v>176.99</v>
      </c>
      <c r="H1736" s="2" t="str">
        <f>VLOOKUP(qhkz_4dqm[[#This Row],[fuel_type]],lookup!A:B,2,FALSE)</f>
        <v>Gasoline</v>
      </c>
      <c r="I1736" s="2">
        <f ca="1">YEAR(TODAY())-qhkz_4dqm[[#This Row],[year]]</f>
        <v>20</v>
      </c>
      <c r="J1736" s="2" t="str" cm="1">
        <f t="array" aca="1" ref="J1736" ca="1">_xlfn.IFS(qhkz_4dqm[[#This Row],[vehicle_age]]&lt;=3,"Newer",qhkz_4dqm[[#This Row],[vehicle_age]]&lt;=9,"Mid-age",qhkz_4dqm[[#This Row],[vehicle_age]]&lt;=19,"Older",qhkz_4dqm[[#This Row],[vehicle_age]]&gt;=20,"Very Old")</f>
        <v>Very Old</v>
      </c>
    </row>
    <row r="1737" spans="1:10">
      <c r="A1737" s="2">
        <v>24153075</v>
      </c>
      <c r="B1737" s="2">
        <v>2415307501</v>
      </c>
      <c r="C1737" s="2">
        <v>1</v>
      </c>
      <c r="D1737" s="2">
        <v>2015</v>
      </c>
      <c r="E1737" s="2">
        <v>1</v>
      </c>
      <c r="F1737" s="2">
        <v>595.98</v>
      </c>
      <c r="G1737" s="2">
        <v>729.3</v>
      </c>
      <c r="H1737" s="2" t="str">
        <f>VLOOKUP(qhkz_4dqm[[#This Row],[fuel_type]],lookup!A:B,2,FALSE)</f>
        <v>Gasoline</v>
      </c>
      <c r="I1737" s="2">
        <f ca="1">YEAR(TODAY())-qhkz_4dqm[[#This Row],[year]]</f>
        <v>11</v>
      </c>
      <c r="J1737" s="2" t="str" cm="1">
        <f t="array" aca="1" ref="J1737" ca="1">_xlfn.IFS(qhkz_4dqm[[#This Row],[vehicle_age]]&lt;=3,"Newer",qhkz_4dqm[[#This Row],[vehicle_age]]&lt;=9,"Mid-age",qhkz_4dqm[[#This Row],[vehicle_age]]&lt;=19,"Older",qhkz_4dqm[[#This Row],[vehicle_age]]&gt;=20,"Very Old")</f>
        <v>Older</v>
      </c>
    </row>
    <row r="1738" spans="1:10">
      <c r="A1738" s="2">
        <v>24153078</v>
      </c>
      <c r="B1738" s="2">
        <v>2415307801</v>
      </c>
      <c r="C1738" s="2">
        <v>1</v>
      </c>
      <c r="D1738" s="2">
        <v>2016</v>
      </c>
      <c r="E1738" s="2">
        <v>1</v>
      </c>
      <c r="F1738" s="2">
        <v>239.2</v>
      </c>
      <c r="G1738" s="2">
        <v>367.87</v>
      </c>
      <c r="H1738" s="2" t="str">
        <f>VLOOKUP(qhkz_4dqm[[#This Row],[fuel_type]],lookup!A:B,2,FALSE)</f>
        <v>Gasoline</v>
      </c>
      <c r="I1738" s="2">
        <f ca="1">YEAR(TODAY())-qhkz_4dqm[[#This Row],[year]]</f>
        <v>10</v>
      </c>
      <c r="J1738" s="2" t="str" cm="1">
        <f t="array" aca="1" ref="J1738" ca="1">_xlfn.IFS(qhkz_4dqm[[#This Row],[vehicle_age]]&lt;=3,"Newer",qhkz_4dqm[[#This Row],[vehicle_age]]&lt;=9,"Mid-age",qhkz_4dqm[[#This Row],[vehicle_age]]&lt;=19,"Older",qhkz_4dqm[[#This Row],[vehicle_age]]&gt;=20,"Very Old")</f>
        <v>Older</v>
      </c>
    </row>
    <row r="1739" spans="1:10">
      <c r="A1739" s="2">
        <v>24153082</v>
      </c>
      <c r="B1739" s="2">
        <v>2415308201</v>
      </c>
      <c r="C1739" s="2">
        <v>1</v>
      </c>
      <c r="D1739" s="2">
        <v>2021</v>
      </c>
      <c r="E1739" s="2">
        <v>1</v>
      </c>
      <c r="F1739" s="2">
        <v>90.62</v>
      </c>
      <c r="G1739" s="2">
        <v>742.43</v>
      </c>
      <c r="H1739" s="2" t="str">
        <f>VLOOKUP(qhkz_4dqm[[#This Row],[fuel_type]],lookup!A:B,2,FALSE)</f>
        <v>Gasoline</v>
      </c>
      <c r="I1739" s="2">
        <f ca="1">YEAR(TODAY())-qhkz_4dqm[[#This Row],[year]]</f>
        <v>5</v>
      </c>
      <c r="J1739" s="2" t="str" cm="1">
        <f t="array" aca="1" ref="J1739" ca="1">_xlfn.IFS(qhkz_4dqm[[#This Row],[vehicle_age]]&lt;=3,"Newer",qhkz_4dqm[[#This Row],[vehicle_age]]&lt;=9,"Mid-age",qhkz_4dqm[[#This Row],[vehicle_age]]&lt;=19,"Older",qhkz_4dqm[[#This Row],[vehicle_age]]&gt;=20,"Very Old")</f>
        <v>Mid-age</v>
      </c>
    </row>
    <row r="1740" spans="1:10">
      <c r="A1740" s="2">
        <v>24153083</v>
      </c>
      <c r="B1740" s="2">
        <v>2415308301</v>
      </c>
      <c r="C1740" s="2">
        <v>1</v>
      </c>
      <c r="D1740" s="2">
        <v>2013</v>
      </c>
      <c r="E1740" s="2">
        <v>1</v>
      </c>
      <c r="F1740" s="2">
        <v>91.97</v>
      </c>
      <c r="G1740" s="2">
        <v>403.66</v>
      </c>
      <c r="H1740" s="2" t="str">
        <f>VLOOKUP(qhkz_4dqm[[#This Row],[fuel_type]],lookup!A:B,2,FALSE)</f>
        <v>Gasoline</v>
      </c>
      <c r="I1740" s="2">
        <f ca="1">YEAR(TODAY())-qhkz_4dqm[[#This Row],[year]]</f>
        <v>13</v>
      </c>
      <c r="J1740" s="2" t="str" cm="1">
        <f t="array" aca="1" ref="J1740" ca="1">_xlfn.IFS(qhkz_4dqm[[#This Row],[vehicle_age]]&lt;=3,"Newer",qhkz_4dqm[[#This Row],[vehicle_age]]&lt;=9,"Mid-age",qhkz_4dqm[[#This Row],[vehicle_age]]&lt;=19,"Older",qhkz_4dqm[[#This Row],[vehicle_age]]&gt;=20,"Very Old")</f>
        <v>Older</v>
      </c>
    </row>
    <row r="1741" spans="1:10">
      <c r="A1741" s="2">
        <v>24153093</v>
      </c>
      <c r="B1741" s="2">
        <v>2415309301</v>
      </c>
      <c r="C1741" s="2">
        <v>1</v>
      </c>
      <c r="D1741" s="2">
        <v>2006</v>
      </c>
      <c r="E1741" s="2">
        <v>1</v>
      </c>
      <c r="F1741" s="2">
        <v>397.9</v>
      </c>
      <c r="G1741" s="2">
        <v>331.02</v>
      </c>
      <c r="H1741" s="2" t="str">
        <f>VLOOKUP(qhkz_4dqm[[#This Row],[fuel_type]],lookup!A:B,2,FALSE)</f>
        <v>Gasoline</v>
      </c>
      <c r="I1741" s="2">
        <f ca="1">YEAR(TODAY())-qhkz_4dqm[[#This Row],[year]]</f>
        <v>20</v>
      </c>
      <c r="J1741" s="2" t="str" cm="1">
        <f t="array" aca="1" ref="J1741" ca="1">_xlfn.IFS(qhkz_4dqm[[#This Row],[vehicle_age]]&lt;=3,"Newer",qhkz_4dqm[[#This Row],[vehicle_age]]&lt;=9,"Mid-age",qhkz_4dqm[[#This Row],[vehicle_age]]&lt;=19,"Older",qhkz_4dqm[[#This Row],[vehicle_age]]&gt;=20,"Very Old")</f>
        <v>Very Old</v>
      </c>
    </row>
    <row r="1742" spans="1:10">
      <c r="A1742" s="2">
        <v>24153098</v>
      </c>
      <c r="B1742" s="2">
        <v>2415309801</v>
      </c>
      <c r="C1742" s="2">
        <v>1</v>
      </c>
      <c r="D1742" s="2">
        <v>2014</v>
      </c>
      <c r="E1742" s="2">
        <v>1</v>
      </c>
      <c r="F1742" s="2">
        <v>75.17</v>
      </c>
      <c r="G1742" s="2">
        <v>188.9</v>
      </c>
      <c r="H1742" s="2" t="str">
        <f>VLOOKUP(qhkz_4dqm[[#This Row],[fuel_type]],lookup!A:B,2,FALSE)</f>
        <v>Gasoline</v>
      </c>
      <c r="I1742" s="2">
        <f ca="1">YEAR(TODAY())-qhkz_4dqm[[#This Row],[year]]</f>
        <v>12</v>
      </c>
      <c r="J1742" s="2" t="str" cm="1">
        <f t="array" aca="1" ref="J1742" ca="1">_xlfn.IFS(qhkz_4dqm[[#This Row],[vehicle_age]]&lt;=3,"Newer",qhkz_4dqm[[#This Row],[vehicle_age]]&lt;=9,"Mid-age",qhkz_4dqm[[#This Row],[vehicle_age]]&lt;=19,"Older",qhkz_4dqm[[#This Row],[vehicle_age]]&gt;=20,"Very Old")</f>
        <v>Older</v>
      </c>
    </row>
    <row r="1743" spans="1:10">
      <c r="A1743" s="2">
        <v>24153106</v>
      </c>
      <c r="B1743" s="2">
        <v>2415310601</v>
      </c>
      <c r="C1743" s="2">
        <v>1</v>
      </c>
      <c r="D1743" s="2">
        <v>2021</v>
      </c>
      <c r="E1743" s="2">
        <v>1</v>
      </c>
      <c r="F1743" s="2">
        <v>123.86</v>
      </c>
      <c r="G1743" s="2">
        <v>445.31</v>
      </c>
      <c r="H1743" s="2" t="str">
        <f>VLOOKUP(qhkz_4dqm[[#This Row],[fuel_type]],lookup!A:B,2,FALSE)</f>
        <v>Gasoline</v>
      </c>
      <c r="I1743" s="2">
        <f ca="1">YEAR(TODAY())-qhkz_4dqm[[#This Row],[year]]</f>
        <v>5</v>
      </c>
      <c r="J1743" s="2" t="str" cm="1">
        <f t="array" aca="1" ref="J1743" ca="1">_xlfn.IFS(qhkz_4dqm[[#This Row],[vehicle_age]]&lt;=3,"Newer",qhkz_4dqm[[#This Row],[vehicle_age]]&lt;=9,"Mid-age",qhkz_4dqm[[#This Row],[vehicle_age]]&lt;=19,"Older",qhkz_4dqm[[#This Row],[vehicle_age]]&gt;=20,"Very Old")</f>
        <v>Mid-age</v>
      </c>
    </row>
    <row r="1744" spans="1:10">
      <c r="A1744" s="2">
        <v>24153112</v>
      </c>
      <c r="B1744" s="2">
        <v>2415311201</v>
      </c>
      <c r="C1744" s="2">
        <v>1</v>
      </c>
      <c r="D1744" s="2">
        <v>2016</v>
      </c>
      <c r="E1744" s="2">
        <v>1</v>
      </c>
      <c r="F1744" s="2">
        <v>12.82</v>
      </c>
      <c r="G1744" s="2">
        <v>192.84</v>
      </c>
      <c r="H1744" s="2" t="str">
        <f>VLOOKUP(qhkz_4dqm[[#This Row],[fuel_type]],lookup!A:B,2,FALSE)</f>
        <v>Gasoline</v>
      </c>
      <c r="I1744" s="2">
        <f ca="1">YEAR(TODAY())-qhkz_4dqm[[#This Row],[year]]</f>
        <v>10</v>
      </c>
      <c r="J1744" s="2" t="str" cm="1">
        <f t="array" aca="1" ref="J1744" ca="1">_xlfn.IFS(qhkz_4dqm[[#This Row],[vehicle_age]]&lt;=3,"Newer",qhkz_4dqm[[#This Row],[vehicle_age]]&lt;=9,"Mid-age",qhkz_4dqm[[#This Row],[vehicle_age]]&lt;=19,"Older",qhkz_4dqm[[#This Row],[vehicle_age]]&gt;=20,"Very Old")</f>
        <v>Older</v>
      </c>
    </row>
    <row r="1745" spans="1:10">
      <c r="A1745" s="2">
        <v>24153125</v>
      </c>
      <c r="B1745" s="2">
        <v>2415312501</v>
      </c>
      <c r="C1745" s="2">
        <v>1</v>
      </c>
      <c r="D1745" s="2">
        <v>2012</v>
      </c>
      <c r="E1745" s="2">
        <v>1</v>
      </c>
      <c r="F1745" s="2">
        <v>27.34</v>
      </c>
      <c r="G1745" s="2">
        <v>711</v>
      </c>
      <c r="H1745" s="2" t="str">
        <f>VLOOKUP(qhkz_4dqm[[#This Row],[fuel_type]],lookup!A:B,2,FALSE)</f>
        <v>Gasoline</v>
      </c>
      <c r="I1745" s="2">
        <f ca="1">YEAR(TODAY())-qhkz_4dqm[[#This Row],[year]]</f>
        <v>14</v>
      </c>
      <c r="J1745" s="2" t="str" cm="1">
        <f t="array" aca="1" ref="J1745" ca="1">_xlfn.IFS(qhkz_4dqm[[#This Row],[vehicle_age]]&lt;=3,"Newer",qhkz_4dqm[[#This Row],[vehicle_age]]&lt;=9,"Mid-age",qhkz_4dqm[[#This Row],[vehicle_age]]&lt;=19,"Older",qhkz_4dqm[[#This Row],[vehicle_age]]&gt;=20,"Very Old")</f>
        <v>Older</v>
      </c>
    </row>
    <row r="1746" spans="1:10">
      <c r="A1746" s="2">
        <v>24153126</v>
      </c>
      <c r="B1746" s="2">
        <v>2415312601</v>
      </c>
      <c r="C1746" s="2">
        <v>1</v>
      </c>
      <c r="D1746" s="2">
        <v>2021</v>
      </c>
      <c r="E1746" s="2">
        <v>1</v>
      </c>
      <c r="F1746" s="2">
        <v>783.17</v>
      </c>
      <c r="G1746" s="2">
        <v>744.67</v>
      </c>
      <c r="H1746" s="2" t="str">
        <f>VLOOKUP(qhkz_4dqm[[#This Row],[fuel_type]],lookup!A:B,2,FALSE)</f>
        <v>Gasoline</v>
      </c>
      <c r="I1746" s="2">
        <f ca="1">YEAR(TODAY())-qhkz_4dqm[[#This Row],[year]]</f>
        <v>5</v>
      </c>
      <c r="J1746" s="2" t="str" cm="1">
        <f t="array" aca="1" ref="J1746" ca="1">_xlfn.IFS(qhkz_4dqm[[#This Row],[vehicle_age]]&lt;=3,"Newer",qhkz_4dqm[[#This Row],[vehicle_age]]&lt;=9,"Mid-age",qhkz_4dqm[[#This Row],[vehicle_age]]&lt;=19,"Older",qhkz_4dqm[[#This Row],[vehicle_age]]&gt;=20,"Very Old")</f>
        <v>Mid-age</v>
      </c>
    </row>
    <row r="1747" spans="1:10">
      <c r="A1747" s="2">
        <v>24153132</v>
      </c>
      <c r="B1747" s="2">
        <v>2415313201</v>
      </c>
      <c r="C1747" s="2">
        <v>1</v>
      </c>
      <c r="D1747" s="2">
        <v>2021</v>
      </c>
      <c r="E1747" s="2">
        <v>1</v>
      </c>
      <c r="F1747" s="2">
        <v>106.92</v>
      </c>
      <c r="G1747" s="2">
        <v>245.52</v>
      </c>
      <c r="H1747" s="2" t="str">
        <f>VLOOKUP(qhkz_4dqm[[#This Row],[fuel_type]],lookup!A:B,2,FALSE)</f>
        <v>Gasoline</v>
      </c>
      <c r="I1747" s="2">
        <f ca="1">YEAR(TODAY())-qhkz_4dqm[[#This Row],[year]]</f>
        <v>5</v>
      </c>
      <c r="J1747" s="2" t="str" cm="1">
        <f t="array" aca="1" ref="J1747" ca="1">_xlfn.IFS(qhkz_4dqm[[#This Row],[vehicle_age]]&lt;=3,"Newer",qhkz_4dqm[[#This Row],[vehicle_age]]&lt;=9,"Mid-age",qhkz_4dqm[[#This Row],[vehicle_age]]&lt;=19,"Older",qhkz_4dqm[[#This Row],[vehicle_age]]&gt;=20,"Very Old")</f>
        <v>Mid-age</v>
      </c>
    </row>
    <row r="1748" spans="1:10">
      <c r="A1748" s="2">
        <v>24153146</v>
      </c>
      <c r="B1748" s="2">
        <v>2415314601</v>
      </c>
      <c r="C1748" s="2">
        <v>1</v>
      </c>
      <c r="D1748" s="2">
        <v>2023</v>
      </c>
      <c r="E1748" s="2">
        <v>1</v>
      </c>
      <c r="F1748" s="2">
        <v>845.93</v>
      </c>
      <c r="G1748" s="2">
        <v>4235.3500000000004</v>
      </c>
      <c r="H1748" s="2" t="str">
        <f>VLOOKUP(qhkz_4dqm[[#This Row],[fuel_type]],lookup!A:B,2,FALSE)</f>
        <v>Gasoline</v>
      </c>
      <c r="I1748" s="2">
        <f ca="1">YEAR(TODAY())-qhkz_4dqm[[#This Row],[year]]</f>
        <v>3</v>
      </c>
      <c r="J1748" s="2" t="str" cm="1">
        <f t="array" aca="1" ref="J1748" ca="1">_xlfn.IFS(qhkz_4dqm[[#This Row],[vehicle_age]]&lt;=3,"Newer",qhkz_4dqm[[#This Row],[vehicle_age]]&lt;=9,"Mid-age",qhkz_4dqm[[#This Row],[vehicle_age]]&lt;=19,"Older",qhkz_4dqm[[#This Row],[vehicle_age]]&gt;=20,"Very Old")</f>
        <v>Newer</v>
      </c>
    </row>
    <row r="1749" spans="1:10">
      <c r="A1749" s="2">
        <v>24153155</v>
      </c>
      <c r="B1749" s="2">
        <v>2415315501</v>
      </c>
      <c r="C1749" s="2">
        <v>1</v>
      </c>
      <c r="D1749" s="2">
        <v>2007</v>
      </c>
      <c r="E1749" s="2">
        <v>1</v>
      </c>
      <c r="F1749" s="2">
        <v>9354.69</v>
      </c>
      <c r="G1749" s="2">
        <v>9055.9</v>
      </c>
      <c r="H1749" s="2" t="str">
        <f>VLOOKUP(qhkz_4dqm[[#This Row],[fuel_type]],lookup!A:B,2,FALSE)</f>
        <v>Gasoline</v>
      </c>
      <c r="I1749" s="2">
        <f ca="1">YEAR(TODAY())-qhkz_4dqm[[#This Row],[year]]</f>
        <v>19</v>
      </c>
      <c r="J1749" s="2" t="str" cm="1">
        <f t="array" aca="1" ref="J1749" ca="1">_xlfn.IFS(qhkz_4dqm[[#This Row],[vehicle_age]]&lt;=3,"Newer",qhkz_4dqm[[#This Row],[vehicle_age]]&lt;=9,"Mid-age",qhkz_4dqm[[#This Row],[vehicle_age]]&lt;=19,"Older",qhkz_4dqm[[#This Row],[vehicle_age]]&gt;=20,"Very Old")</f>
        <v>Older</v>
      </c>
    </row>
    <row r="1750" spans="1:10">
      <c r="A1750" s="2">
        <v>24153168</v>
      </c>
      <c r="B1750" s="2">
        <v>2415316801</v>
      </c>
      <c r="C1750" s="2">
        <v>1</v>
      </c>
      <c r="D1750" s="2">
        <v>2022</v>
      </c>
      <c r="E1750" s="2">
        <v>1</v>
      </c>
      <c r="F1750" s="2">
        <v>808.36</v>
      </c>
      <c r="G1750" s="2">
        <v>1390.41</v>
      </c>
      <c r="H1750" s="2" t="str">
        <f>VLOOKUP(qhkz_4dqm[[#This Row],[fuel_type]],lookup!A:B,2,FALSE)</f>
        <v>Gasoline</v>
      </c>
      <c r="I1750" s="2">
        <f ca="1">YEAR(TODAY())-qhkz_4dqm[[#This Row],[year]]</f>
        <v>4</v>
      </c>
      <c r="J1750" s="2" t="str" cm="1">
        <f t="array" aca="1" ref="J1750" ca="1">_xlfn.IFS(qhkz_4dqm[[#This Row],[vehicle_age]]&lt;=3,"Newer",qhkz_4dqm[[#This Row],[vehicle_age]]&lt;=9,"Mid-age",qhkz_4dqm[[#This Row],[vehicle_age]]&lt;=19,"Older",qhkz_4dqm[[#This Row],[vehicle_age]]&gt;=20,"Very Old")</f>
        <v>Mid-age</v>
      </c>
    </row>
    <row r="1751" spans="1:10">
      <c r="A1751" s="2">
        <v>24153169</v>
      </c>
      <c r="B1751" s="2">
        <v>2415316901</v>
      </c>
      <c r="C1751" s="2">
        <v>1</v>
      </c>
      <c r="D1751" s="2">
        <v>2021</v>
      </c>
      <c r="E1751" s="2">
        <v>1</v>
      </c>
      <c r="F1751" s="2">
        <v>395.65</v>
      </c>
      <c r="G1751" s="2">
        <v>342.53</v>
      </c>
      <c r="H1751" s="2" t="str">
        <f>VLOOKUP(qhkz_4dqm[[#This Row],[fuel_type]],lookup!A:B,2,FALSE)</f>
        <v>Gasoline</v>
      </c>
      <c r="I1751" s="2">
        <f ca="1">YEAR(TODAY())-qhkz_4dqm[[#This Row],[year]]</f>
        <v>5</v>
      </c>
      <c r="J1751" s="2" t="str" cm="1">
        <f t="array" aca="1" ref="J1751" ca="1">_xlfn.IFS(qhkz_4dqm[[#This Row],[vehicle_age]]&lt;=3,"Newer",qhkz_4dqm[[#This Row],[vehicle_age]]&lt;=9,"Mid-age",qhkz_4dqm[[#This Row],[vehicle_age]]&lt;=19,"Older",qhkz_4dqm[[#This Row],[vehicle_age]]&gt;=20,"Very Old")</f>
        <v>Mid-age</v>
      </c>
    </row>
    <row r="1752" spans="1:10">
      <c r="A1752" s="2">
        <v>24153175</v>
      </c>
      <c r="B1752" s="2">
        <v>2415317501</v>
      </c>
      <c r="C1752" s="2">
        <v>1</v>
      </c>
      <c r="D1752" s="2">
        <v>2010</v>
      </c>
      <c r="E1752" s="2">
        <v>1</v>
      </c>
      <c r="F1752" s="2">
        <v>10969.09</v>
      </c>
      <c r="G1752" s="2">
        <v>9143.69</v>
      </c>
      <c r="H1752" s="2" t="str">
        <f>VLOOKUP(qhkz_4dqm[[#This Row],[fuel_type]],lookup!A:B,2,FALSE)</f>
        <v>Gasoline</v>
      </c>
      <c r="I1752" s="2">
        <f ca="1">YEAR(TODAY())-qhkz_4dqm[[#This Row],[year]]</f>
        <v>16</v>
      </c>
      <c r="J1752" s="2" t="str" cm="1">
        <f t="array" aca="1" ref="J1752" ca="1">_xlfn.IFS(qhkz_4dqm[[#This Row],[vehicle_age]]&lt;=3,"Newer",qhkz_4dqm[[#This Row],[vehicle_age]]&lt;=9,"Mid-age",qhkz_4dqm[[#This Row],[vehicle_age]]&lt;=19,"Older",qhkz_4dqm[[#This Row],[vehicle_age]]&gt;=20,"Very Old")</f>
        <v>Older</v>
      </c>
    </row>
    <row r="1753" spans="1:10">
      <c r="A1753" s="2">
        <v>24153186</v>
      </c>
      <c r="B1753" s="2">
        <v>2415318601</v>
      </c>
      <c r="C1753" s="2">
        <v>1</v>
      </c>
      <c r="D1753" s="2">
        <v>2018</v>
      </c>
      <c r="E1753" s="2">
        <v>1</v>
      </c>
      <c r="F1753" s="2">
        <v>595.41</v>
      </c>
      <c r="G1753" s="2">
        <v>1254.53</v>
      </c>
      <c r="H1753" s="2" t="str">
        <f>VLOOKUP(qhkz_4dqm[[#This Row],[fuel_type]],lookup!A:B,2,FALSE)</f>
        <v>Gasoline</v>
      </c>
      <c r="I1753" s="2">
        <f ca="1">YEAR(TODAY())-qhkz_4dqm[[#This Row],[year]]</f>
        <v>8</v>
      </c>
      <c r="J1753" s="2" t="str" cm="1">
        <f t="array" aca="1" ref="J1753" ca="1">_xlfn.IFS(qhkz_4dqm[[#This Row],[vehicle_age]]&lt;=3,"Newer",qhkz_4dqm[[#This Row],[vehicle_age]]&lt;=9,"Mid-age",qhkz_4dqm[[#This Row],[vehicle_age]]&lt;=19,"Older",qhkz_4dqm[[#This Row],[vehicle_age]]&gt;=20,"Very Old")</f>
        <v>Mid-age</v>
      </c>
    </row>
    <row r="1754" spans="1:10">
      <c r="A1754" s="2">
        <v>24153190</v>
      </c>
      <c r="B1754" s="2">
        <v>2415319001</v>
      </c>
      <c r="C1754" s="2">
        <v>1</v>
      </c>
      <c r="D1754" s="2">
        <v>2016</v>
      </c>
      <c r="E1754" s="2">
        <v>1</v>
      </c>
      <c r="F1754" s="2">
        <v>1892.76</v>
      </c>
      <c r="G1754" s="2">
        <v>2497.75</v>
      </c>
      <c r="H1754" s="2" t="str">
        <f>VLOOKUP(qhkz_4dqm[[#This Row],[fuel_type]],lookup!A:B,2,FALSE)</f>
        <v>Gasoline</v>
      </c>
      <c r="I1754" s="2">
        <f ca="1">YEAR(TODAY())-qhkz_4dqm[[#This Row],[year]]</f>
        <v>10</v>
      </c>
      <c r="J1754" s="2" t="str" cm="1">
        <f t="array" aca="1" ref="J1754" ca="1">_xlfn.IFS(qhkz_4dqm[[#This Row],[vehicle_age]]&lt;=3,"Newer",qhkz_4dqm[[#This Row],[vehicle_age]]&lt;=9,"Mid-age",qhkz_4dqm[[#This Row],[vehicle_age]]&lt;=19,"Older",qhkz_4dqm[[#This Row],[vehicle_age]]&gt;=20,"Very Old")</f>
        <v>Older</v>
      </c>
    </row>
    <row r="1755" spans="1:10">
      <c r="A1755" s="2">
        <v>24153204</v>
      </c>
      <c r="B1755" s="2">
        <v>2415320401</v>
      </c>
      <c r="C1755" s="2">
        <v>1</v>
      </c>
      <c r="D1755" s="2">
        <v>2013</v>
      </c>
      <c r="E1755" s="2">
        <v>1</v>
      </c>
      <c r="F1755" s="2">
        <v>106.24</v>
      </c>
      <c r="G1755" s="2">
        <v>635.13</v>
      </c>
      <c r="H1755" s="2" t="str">
        <f>VLOOKUP(qhkz_4dqm[[#This Row],[fuel_type]],lookup!A:B,2,FALSE)</f>
        <v>Gasoline</v>
      </c>
      <c r="I1755" s="2">
        <f ca="1">YEAR(TODAY())-qhkz_4dqm[[#This Row],[year]]</f>
        <v>13</v>
      </c>
      <c r="J1755" s="2" t="str" cm="1">
        <f t="array" aca="1" ref="J1755" ca="1">_xlfn.IFS(qhkz_4dqm[[#This Row],[vehicle_age]]&lt;=3,"Newer",qhkz_4dqm[[#This Row],[vehicle_age]]&lt;=9,"Mid-age",qhkz_4dqm[[#This Row],[vehicle_age]]&lt;=19,"Older",qhkz_4dqm[[#This Row],[vehicle_age]]&gt;=20,"Very Old")</f>
        <v>Older</v>
      </c>
    </row>
    <row r="1756" spans="1:10">
      <c r="A1756" s="2">
        <v>24153205</v>
      </c>
      <c r="B1756" s="2">
        <v>2415320501</v>
      </c>
      <c r="C1756" s="2">
        <v>1</v>
      </c>
      <c r="D1756" s="2">
        <v>2021</v>
      </c>
      <c r="E1756" s="2">
        <v>1</v>
      </c>
      <c r="F1756" s="2">
        <v>2119.5100000000002</v>
      </c>
      <c r="G1756" s="2">
        <v>3039.1</v>
      </c>
      <c r="H1756" s="2" t="str">
        <f>VLOOKUP(qhkz_4dqm[[#This Row],[fuel_type]],lookup!A:B,2,FALSE)</f>
        <v>Gasoline</v>
      </c>
      <c r="I1756" s="2">
        <f ca="1">YEAR(TODAY())-qhkz_4dqm[[#This Row],[year]]</f>
        <v>5</v>
      </c>
      <c r="J1756" s="2" t="str" cm="1">
        <f t="array" aca="1" ref="J1756" ca="1">_xlfn.IFS(qhkz_4dqm[[#This Row],[vehicle_age]]&lt;=3,"Newer",qhkz_4dqm[[#This Row],[vehicle_age]]&lt;=9,"Mid-age",qhkz_4dqm[[#This Row],[vehicle_age]]&lt;=19,"Older",qhkz_4dqm[[#This Row],[vehicle_age]]&gt;=20,"Very Old")</f>
        <v>Mid-age</v>
      </c>
    </row>
    <row r="1757" spans="1:10">
      <c r="A1757" s="2">
        <v>24153215</v>
      </c>
      <c r="B1757" s="2">
        <v>2415321501</v>
      </c>
      <c r="C1757" s="2">
        <v>1</v>
      </c>
      <c r="D1757" s="2">
        <v>2003</v>
      </c>
      <c r="E1757" s="2">
        <v>1</v>
      </c>
      <c r="F1757" s="2">
        <v>436.81</v>
      </c>
      <c r="G1757" s="2">
        <v>284.02</v>
      </c>
      <c r="H1757" s="2" t="str">
        <f>VLOOKUP(qhkz_4dqm[[#This Row],[fuel_type]],lookup!A:B,2,FALSE)</f>
        <v>Gasoline</v>
      </c>
      <c r="I1757" s="2">
        <f ca="1">YEAR(TODAY())-qhkz_4dqm[[#This Row],[year]]</f>
        <v>23</v>
      </c>
      <c r="J1757" s="2" t="str" cm="1">
        <f t="array" aca="1" ref="J1757" ca="1">_xlfn.IFS(qhkz_4dqm[[#This Row],[vehicle_age]]&lt;=3,"Newer",qhkz_4dqm[[#This Row],[vehicle_age]]&lt;=9,"Mid-age",qhkz_4dqm[[#This Row],[vehicle_age]]&lt;=19,"Older",qhkz_4dqm[[#This Row],[vehicle_age]]&gt;=20,"Very Old")</f>
        <v>Very Old</v>
      </c>
    </row>
    <row r="1758" spans="1:10">
      <c r="A1758" s="2">
        <v>24153219</v>
      </c>
      <c r="B1758" s="2">
        <v>2415321901</v>
      </c>
      <c r="C1758" s="2">
        <v>1</v>
      </c>
      <c r="D1758" s="2">
        <v>2019</v>
      </c>
      <c r="E1758" s="2">
        <v>1</v>
      </c>
      <c r="F1758" s="2">
        <v>630.37</v>
      </c>
      <c r="G1758" s="2">
        <v>1159.94</v>
      </c>
      <c r="H1758" s="2" t="str">
        <f>VLOOKUP(qhkz_4dqm[[#This Row],[fuel_type]],lookup!A:B,2,FALSE)</f>
        <v>Gasoline</v>
      </c>
      <c r="I1758" s="2">
        <f ca="1">YEAR(TODAY())-qhkz_4dqm[[#This Row],[year]]</f>
        <v>7</v>
      </c>
      <c r="J1758" s="2" t="str" cm="1">
        <f t="array" aca="1" ref="J1758" ca="1">_xlfn.IFS(qhkz_4dqm[[#This Row],[vehicle_age]]&lt;=3,"Newer",qhkz_4dqm[[#This Row],[vehicle_age]]&lt;=9,"Mid-age",qhkz_4dqm[[#This Row],[vehicle_age]]&lt;=19,"Older",qhkz_4dqm[[#This Row],[vehicle_age]]&gt;=20,"Very Old")</f>
        <v>Mid-age</v>
      </c>
    </row>
    <row r="1759" spans="1:10">
      <c r="A1759" s="2">
        <v>24153222</v>
      </c>
      <c r="B1759" s="2">
        <v>2415322201</v>
      </c>
      <c r="C1759" s="2">
        <v>1</v>
      </c>
      <c r="D1759" s="2">
        <v>2013</v>
      </c>
      <c r="E1759" s="2">
        <v>1</v>
      </c>
      <c r="F1759" s="2">
        <v>495.55</v>
      </c>
      <c r="G1759" s="2">
        <v>595.75</v>
      </c>
      <c r="H1759" s="2" t="str">
        <f>VLOOKUP(qhkz_4dqm[[#This Row],[fuel_type]],lookup!A:B,2,FALSE)</f>
        <v>Gasoline</v>
      </c>
      <c r="I1759" s="2">
        <f ca="1">YEAR(TODAY())-qhkz_4dqm[[#This Row],[year]]</f>
        <v>13</v>
      </c>
      <c r="J1759" s="2" t="str" cm="1">
        <f t="array" aca="1" ref="J1759" ca="1">_xlfn.IFS(qhkz_4dqm[[#This Row],[vehicle_age]]&lt;=3,"Newer",qhkz_4dqm[[#This Row],[vehicle_age]]&lt;=9,"Mid-age",qhkz_4dqm[[#This Row],[vehicle_age]]&lt;=19,"Older",qhkz_4dqm[[#This Row],[vehicle_age]]&gt;=20,"Very Old")</f>
        <v>Older</v>
      </c>
    </row>
    <row r="1760" spans="1:10">
      <c r="A1760" s="2">
        <v>24153227</v>
      </c>
      <c r="B1760" s="2">
        <v>2415322701</v>
      </c>
      <c r="C1760" s="2">
        <v>1</v>
      </c>
      <c r="D1760" s="2">
        <v>2019</v>
      </c>
      <c r="E1760" s="2">
        <v>1</v>
      </c>
      <c r="F1760" s="2">
        <v>663.68</v>
      </c>
      <c r="G1760" s="2">
        <v>553.14</v>
      </c>
      <c r="H1760" s="2" t="str">
        <f>VLOOKUP(qhkz_4dqm[[#This Row],[fuel_type]],lookup!A:B,2,FALSE)</f>
        <v>Gasoline</v>
      </c>
      <c r="I1760" s="2">
        <f ca="1">YEAR(TODAY())-qhkz_4dqm[[#This Row],[year]]</f>
        <v>7</v>
      </c>
      <c r="J1760" s="2" t="str" cm="1">
        <f t="array" aca="1" ref="J1760" ca="1">_xlfn.IFS(qhkz_4dqm[[#This Row],[vehicle_age]]&lt;=3,"Newer",qhkz_4dqm[[#This Row],[vehicle_age]]&lt;=9,"Mid-age",qhkz_4dqm[[#This Row],[vehicle_age]]&lt;=19,"Older",qhkz_4dqm[[#This Row],[vehicle_age]]&gt;=20,"Very Old")</f>
        <v>Mid-age</v>
      </c>
    </row>
    <row r="1761" spans="1:10">
      <c r="A1761" s="2">
        <v>24153229</v>
      </c>
      <c r="B1761" s="2">
        <v>2415322901</v>
      </c>
      <c r="C1761" s="2">
        <v>1</v>
      </c>
      <c r="D1761" s="2">
        <v>2017</v>
      </c>
      <c r="E1761" s="2">
        <v>1</v>
      </c>
      <c r="F1761" s="2">
        <v>892.62</v>
      </c>
      <c r="G1761" s="2">
        <v>911.92</v>
      </c>
      <c r="H1761" s="2" t="str">
        <f>VLOOKUP(qhkz_4dqm[[#This Row],[fuel_type]],lookup!A:B,2,FALSE)</f>
        <v>Gasoline</v>
      </c>
      <c r="I1761" s="2">
        <f ca="1">YEAR(TODAY())-qhkz_4dqm[[#This Row],[year]]</f>
        <v>9</v>
      </c>
      <c r="J1761" s="2" t="str" cm="1">
        <f t="array" aca="1" ref="J1761" ca="1">_xlfn.IFS(qhkz_4dqm[[#This Row],[vehicle_age]]&lt;=3,"Newer",qhkz_4dqm[[#This Row],[vehicle_age]]&lt;=9,"Mid-age",qhkz_4dqm[[#This Row],[vehicle_age]]&lt;=19,"Older",qhkz_4dqm[[#This Row],[vehicle_age]]&gt;=20,"Very Old")</f>
        <v>Mid-age</v>
      </c>
    </row>
    <row r="1762" spans="1:10">
      <c r="A1762" s="2">
        <v>24153241</v>
      </c>
      <c r="B1762" s="2">
        <v>2415324101</v>
      </c>
      <c r="C1762" s="2">
        <v>1</v>
      </c>
      <c r="D1762" s="2">
        <v>2019</v>
      </c>
      <c r="E1762" s="2">
        <v>1</v>
      </c>
      <c r="F1762" s="2">
        <v>742.27</v>
      </c>
      <c r="G1762" s="2">
        <v>1220</v>
      </c>
      <c r="H1762" s="2" t="str">
        <f>VLOOKUP(qhkz_4dqm[[#This Row],[fuel_type]],lookup!A:B,2,FALSE)</f>
        <v>Gasoline</v>
      </c>
      <c r="I1762" s="2">
        <f ca="1">YEAR(TODAY())-qhkz_4dqm[[#This Row],[year]]</f>
        <v>7</v>
      </c>
      <c r="J1762" s="2" t="str" cm="1">
        <f t="array" aca="1" ref="J1762" ca="1">_xlfn.IFS(qhkz_4dqm[[#This Row],[vehicle_age]]&lt;=3,"Newer",qhkz_4dqm[[#This Row],[vehicle_age]]&lt;=9,"Mid-age",qhkz_4dqm[[#This Row],[vehicle_age]]&lt;=19,"Older",qhkz_4dqm[[#This Row],[vehicle_age]]&gt;=20,"Very Old")</f>
        <v>Mid-age</v>
      </c>
    </row>
    <row r="1763" spans="1:10">
      <c r="A1763" s="2">
        <v>24153268</v>
      </c>
      <c r="B1763" s="2">
        <v>2415326801</v>
      </c>
      <c r="C1763" s="2">
        <v>1</v>
      </c>
      <c r="D1763" s="2">
        <v>2018</v>
      </c>
      <c r="E1763" s="2">
        <v>1</v>
      </c>
      <c r="F1763" s="2">
        <v>798.96</v>
      </c>
      <c r="G1763" s="2">
        <v>738.33</v>
      </c>
      <c r="H1763" s="2" t="str">
        <f>VLOOKUP(qhkz_4dqm[[#This Row],[fuel_type]],lookup!A:B,2,FALSE)</f>
        <v>Gasoline</v>
      </c>
      <c r="I1763" s="2">
        <f ca="1">YEAR(TODAY())-qhkz_4dqm[[#This Row],[year]]</f>
        <v>8</v>
      </c>
      <c r="J1763" s="2" t="str" cm="1">
        <f t="array" aca="1" ref="J1763" ca="1">_xlfn.IFS(qhkz_4dqm[[#This Row],[vehicle_age]]&lt;=3,"Newer",qhkz_4dqm[[#This Row],[vehicle_age]]&lt;=9,"Mid-age",qhkz_4dqm[[#This Row],[vehicle_age]]&lt;=19,"Older",qhkz_4dqm[[#This Row],[vehicle_age]]&gt;=20,"Very Old")</f>
        <v>Mid-age</v>
      </c>
    </row>
    <row r="1764" spans="1:10">
      <c r="A1764" s="2">
        <v>24153271</v>
      </c>
      <c r="B1764" s="2">
        <v>2415327101</v>
      </c>
      <c r="C1764" s="2">
        <v>1</v>
      </c>
      <c r="D1764" s="2">
        <v>2020</v>
      </c>
      <c r="E1764" s="2">
        <v>1</v>
      </c>
      <c r="F1764" s="2">
        <v>14.64</v>
      </c>
      <c r="G1764" s="2">
        <v>150.69999999999999</v>
      </c>
      <c r="H1764" s="2" t="str">
        <f>VLOOKUP(qhkz_4dqm[[#This Row],[fuel_type]],lookup!A:B,2,FALSE)</f>
        <v>Gasoline</v>
      </c>
      <c r="I1764" s="2">
        <f ca="1">YEAR(TODAY())-qhkz_4dqm[[#This Row],[year]]</f>
        <v>6</v>
      </c>
      <c r="J1764" s="2" t="str" cm="1">
        <f t="array" aca="1" ref="J1764" ca="1">_xlfn.IFS(qhkz_4dqm[[#This Row],[vehicle_age]]&lt;=3,"Newer",qhkz_4dqm[[#This Row],[vehicle_age]]&lt;=9,"Mid-age",qhkz_4dqm[[#This Row],[vehicle_age]]&lt;=19,"Older",qhkz_4dqm[[#This Row],[vehicle_age]]&gt;=20,"Very Old")</f>
        <v>Mid-age</v>
      </c>
    </row>
    <row r="1765" spans="1:10">
      <c r="A1765" s="2">
        <v>24153272</v>
      </c>
      <c r="B1765" s="2">
        <v>2415327201</v>
      </c>
      <c r="C1765" s="2">
        <v>1</v>
      </c>
      <c r="D1765" s="2">
        <v>2012</v>
      </c>
      <c r="E1765" s="2">
        <v>1</v>
      </c>
      <c r="F1765" s="2">
        <v>3657.44</v>
      </c>
      <c r="G1765" s="2">
        <v>1117.99</v>
      </c>
      <c r="H1765" s="2" t="str">
        <f>VLOOKUP(qhkz_4dqm[[#This Row],[fuel_type]],lookup!A:B,2,FALSE)</f>
        <v>Gasoline</v>
      </c>
      <c r="I1765" s="2">
        <f ca="1">YEAR(TODAY())-qhkz_4dqm[[#This Row],[year]]</f>
        <v>14</v>
      </c>
      <c r="J1765" s="2" t="str" cm="1">
        <f t="array" aca="1" ref="J1765" ca="1">_xlfn.IFS(qhkz_4dqm[[#This Row],[vehicle_age]]&lt;=3,"Newer",qhkz_4dqm[[#This Row],[vehicle_age]]&lt;=9,"Mid-age",qhkz_4dqm[[#This Row],[vehicle_age]]&lt;=19,"Older",qhkz_4dqm[[#This Row],[vehicle_age]]&gt;=20,"Very Old")</f>
        <v>Older</v>
      </c>
    </row>
    <row r="1766" spans="1:10">
      <c r="A1766" s="2">
        <v>24153282</v>
      </c>
      <c r="B1766" s="2">
        <v>2415328201</v>
      </c>
      <c r="C1766" s="2">
        <v>1</v>
      </c>
      <c r="D1766" s="2">
        <v>2019</v>
      </c>
      <c r="E1766" s="2">
        <v>1</v>
      </c>
      <c r="F1766" s="2">
        <v>62.07</v>
      </c>
      <c r="G1766" s="2">
        <v>290.99</v>
      </c>
      <c r="H1766" s="2" t="str">
        <f>VLOOKUP(qhkz_4dqm[[#This Row],[fuel_type]],lookup!A:B,2,FALSE)</f>
        <v>Gasoline</v>
      </c>
      <c r="I1766" s="2">
        <f ca="1">YEAR(TODAY())-qhkz_4dqm[[#This Row],[year]]</f>
        <v>7</v>
      </c>
      <c r="J1766" s="2" t="str" cm="1">
        <f t="array" aca="1" ref="J1766" ca="1">_xlfn.IFS(qhkz_4dqm[[#This Row],[vehicle_age]]&lt;=3,"Newer",qhkz_4dqm[[#This Row],[vehicle_age]]&lt;=9,"Mid-age",qhkz_4dqm[[#This Row],[vehicle_age]]&lt;=19,"Older",qhkz_4dqm[[#This Row],[vehicle_age]]&gt;=20,"Very Old")</f>
        <v>Mid-age</v>
      </c>
    </row>
    <row r="1767" spans="1:10">
      <c r="A1767" s="2">
        <v>24153284</v>
      </c>
      <c r="B1767" s="2">
        <v>2415328401</v>
      </c>
      <c r="C1767" s="2">
        <v>1</v>
      </c>
      <c r="D1767" s="2">
        <v>2020</v>
      </c>
      <c r="E1767" s="2">
        <v>1</v>
      </c>
      <c r="F1767" s="2">
        <v>3651.8</v>
      </c>
      <c r="G1767" s="2">
        <v>3043.96</v>
      </c>
      <c r="H1767" s="2" t="str">
        <f>VLOOKUP(qhkz_4dqm[[#This Row],[fuel_type]],lookup!A:B,2,FALSE)</f>
        <v>Gasoline</v>
      </c>
      <c r="I1767" s="2">
        <f ca="1">YEAR(TODAY())-qhkz_4dqm[[#This Row],[year]]</f>
        <v>6</v>
      </c>
      <c r="J1767" s="2" t="str" cm="1">
        <f t="array" aca="1" ref="J1767" ca="1">_xlfn.IFS(qhkz_4dqm[[#This Row],[vehicle_age]]&lt;=3,"Newer",qhkz_4dqm[[#This Row],[vehicle_age]]&lt;=9,"Mid-age",qhkz_4dqm[[#This Row],[vehicle_age]]&lt;=19,"Older",qhkz_4dqm[[#This Row],[vehicle_age]]&gt;=20,"Very Old")</f>
        <v>Mid-age</v>
      </c>
    </row>
    <row r="1768" spans="1:10">
      <c r="A1768" s="2">
        <v>24153289</v>
      </c>
      <c r="B1768" s="2">
        <v>2415328901</v>
      </c>
      <c r="C1768" s="2">
        <v>1</v>
      </c>
      <c r="D1768" s="2">
        <v>2013</v>
      </c>
      <c r="E1768" s="2">
        <v>1</v>
      </c>
      <c r="F1768" s="2">
        <v>3503.74</v>
      </c>
      <c r="G1768" s="2">
        <v>3039.03</v>
      </c>
      <c r="H1768" s="2" t="str">
        <f>VLOOKUP(qhkz_4dqm[[#This Row],[fuel_type]],lookup!A:B,2,FALSE)</f>
        <v>Gasoline</v>
      </c>
      <c r="I1768" s="2">
        <f ca="1">YEAR(TODAY())-qhkz_4dqm[[#This Row],[year]]</f>
        <v>13</v>
      </c>
      <c r="J1768" s="2" t="str" cm="1">
        <f t="array" aca="1" ref="J1768" ca="1">_xlfn.IFS(qhkz_4dqm[[#This Row],[vehicle_age]]&lt;=3,"Newer",qhkz_4dqm[[#This Row],[vehicle_age]]&lt;=9,"Mid-age",qhkz_4dqm[[#This Row],[vehicle_age]]&lt;=19,"Older",qhkz_4dqm[[#This Row],[vehicle_age]]&gt;=20,"Very Old")</f>
        <v>Older</v>
      </c>
    </row>
    <row r="1769" spans="1:10">
      <c r="A1769" s="2">
        <v>24153300</v>
      </c>
      <c r="B1769" s="2">
        <v>2415330001</v>
      </c>
      <c r="C1769" s="2">
        <v>1</v>
      </c>
      <c r="D1769" s="2">
        <v>2022</v>
      </c>
      <c r="E1769" s="2">
        <v>1</v>
      </c>
      <c r="F1769" s="2">
        <v>1022.59</v>
      </c>
      <c r="G1769" s="2">
        <v>278.76</v>
      </c>
      <c r="H1769" s="2" t="str">
        <f>VLOOKUP(qhkz_4dqm[[#This Row],[fuel_type]],lookup!A:B,2,FALSE)</f>
        <v>Gasoline</v>
      </c>
      <c r="I1769" s="2">
        <f ca="1">YEAR(TODAY())-qhkz_4dqm[[#This Row],[year]]</f>
        <v>4</v>
      </c>
      <c r="J1769" s="2" t="str" cm="1">
        <f t="array" aca="1" ref="J1769" ca="1">_xlfn.IFS(qhkz_4dqm[[#This Row],[vehicle_age]]&lt;=3,"Newer",qhkz_4dqm[[#This Row],[vehicle_age]]&lt;=9,"Mid-age",qhkz_4dqm[[#This Row],[vehicle_age]]&lt;=19,"Older",qhkz_4dqm[[#This Row],[vehicle_age]]&gt;=20,"Very Old")</f>
        <v>Mid-age</v>
      </c>
    </row>
    <row r="1770" spans="1:10">
      <c r="A1770" s="2">
        <v>24153311</v>
      </c>
      <c r="B1770" s="2">
        <v>2415331101</v>
      </c>
      <c r="C1770" s="2">
        <v>1</v>
      </c>
      <c r="D1770" s="2">
        <v>2022</v>
      </c>
      <c r="E1770" s="2">
        <v>1</v>
      </c>
      <c r="F1770" s="2">
        <v>2065.2800000000002</v>
      </c>
      <c r="G1770" s="2">
        <v>481.95</v>
      </c>
      <c r="H1770" s="2" t="str">
        <f>VLOOKUP(qhkz_4dqm[[#This Row],[fuel_type]],lookup!A:B,2,FALSE)</f>
        <v>Gasoline</v>
      </c>
      <c r="I1770" s="2">
        <f ca="1">YEAR(TODAY())-qhkz_4dqm[[#This Row],[year]]</f>
        <v>4</v>
      </c>
      <c r="J1770" s="2" t="str" cm="1">
        <f t="array" aca="1" ref="J1770" ca="1">_xlfn.IFS(qhkz_4dqm[[#This Row],[vehicle_age]]&lt;=3,"Newer",qhkz_4dqm[[#This Row],[vehicle_age]]&lt;=9,"Mid-age",qhkz_4dqm[[#This Row],[vehicle_age]]&lt;=19,"Older",qhkz_4dqm[[#This Row],[vehicle_age]]&gt;=20,"Very Old")</f>
        <v>Mid-age</v>
      </c>
    </row>
    <row r="1771" spans="1:10">
      <c r="A1771" s="2">
        <v>24153324</v>
      </c>
      <c r="B1771" s="2">
        <v>2415332401</v>
      </c>
      <c r="C1771" s="2">
        <v>1</v>
      </c>
      <c r="D1771" s="2">
        <v>2019</v>
      </c>
      <c r="E1771" s="2">
        <v>1</v>
      </c>
      <c r="F1771" s="2">
        <v>2.77</v>
      </c>
      <c r="G1771" s="2">
        <v>183.52</v>
      </c>
      <c r="H1771" s="2" t="str">
        <f>VLOOKUP(qhkz_4dqm[[#This Row],[fuel_type]],lookup!A:B,2,FALSE)</f>
        <v>Gasoline</v>
      </c>
      <c r="I1771" s="2">
        <f ca="1">YEAR(TODAY())-qhkz_4dqm[[#This Row],[year]]</f>
        <v>7</v>
      </c>
      <c r="J1771" s="2" t="str" cm="1">
        <f t="array" aca="1" ref="J1771" ca="1">_xlfn.IFS(qhkz_4dqm[[#This Row],[vehicle_age]]&lt;=3,"Newer",qhkz_4dqm[[#This Row],[vehicle_age]]&lt;=9,"Mid-age",qhkz_4dqm[[#This Row],[vehicle_age]]&lt;=19,"Older",qhkz_4dqm[[#This Row],[vehicle_age]]&gt;=20,"Very Old")</f>
        <v>Mid-age</v>
      </c>
    </row>
    <row r="1772" spans="1:10">
      <c r="A1772" s="2">
        <v>24153327</v>
      </c>
      <c r="B1772" s="2">
        <v>2415332701</v>
      </c>
      <c r="C1772" s="2">
        <v>1</v>
      </c>
      <c r="D1772" s="2">
        <v>2018</v>
      </c>
      <c r="E1772" s="2">
        <v>1</v>
      </c>
      <c r="F1772" s="2">
        <v>1531.91</v>
      </c>
      <c r="G1772" s="2">
        <v>1216.02</v>
      </c>
      <c r="H1772" s="2" t="str">
        <f>VLOOKUP(qhkz_4dqm[[#This Row],[fuel_type]],lookup!A:B,2,FALSE)</f>
        <v>Gasoline</v>
      </c>
      <c r="I1772" s="2">
        <f ca="1">YEAR(TODAY())-qhkz_4dqm[[#This Row],[year]]</f>
        <v>8</v>
      </c>
      <c r="J1772" s="2" t="str" cm="1">
        <f t="array" aca="1" ref="J1772" ca="1">_xlfn.IFS(qhkz_4dqm[[#This Row],[vehicle_age]]&lt;=3,"Newer",qhkz_4dqm[[#This Row],[vehicle_age]]&lt;=9,"Mid-age",qhkz_4dqm[[#This Row],[vehicle_age]]&lt;=19,"Older",qhkz_4dqm[[#This Row],[vehicle_age]]&gt;=20,"Very Old")</f>
        <v>Mid-age</v>
      </c>
    </row>
    <row r="1773" spans="1:10">
      <c r="A1773" s="2">
        <v>24153328</v>
      </c>
      <c r="B1773" s="2">
        <v>2415332801</v>
      </c>
      <c r="C1773" s="2">
        <v>1</v>
      </c>
      <c r="D1773" s="2">
        <v>2015</v>
      </c>
      <c r="E1773" s="2">
        <v>1</v>
      </c>
      <c r="F1773" s="2">
        <v>2127.29</v>
      </c>
      <c r="G1773" s="2">
        <v>952.4</v>
      </c>
      <c r="H1773" s="2" t="str">
        <f>VLOOKUP(qhkz_4dqm[[#This Row],[fuel_type]],lookup!A:B,2,FALSE)</f>
        <v>Gasoline</v>
      </c>
      <c r="I1773" s="2">
        <f ca="1">YEAR(TODAY())-qhkz_4dqm[[#This Row],[year]]</f>
        <v>11</v>
      </c>
      <c r="J1773" s="2" t="str" cm="1">
        <f t="array" aca="1" ref="J1773" ca="1">_xlfn.IFS(qhkz_4dqm[[#This Row],[vehicle_age]]&lt;=3,"Newer",qhkz_4dqm[[#This Row],[vehicle_age]]&lt;=9,"Mid-age",qhkz_4dqm[[#This Row],[vehicle_age]]&lt;=19,"Older",qhkz_4dqm[[#This Row],[vehicle_age]]&gt;=20,"Very Old")</f>
        <v>Older</v>
      </c>
    </row>
    <row r="1774" spans="1:10">
      <c r="A1774" s="2">
        <v>24153337</v>
      </c>
      <c r="B1774" s="2">
        <v>2415333701</v>
      </c>
      <c r="C1774" s="2">
        <v>1</v>
      </c>
      <c r="D1774" s="2">
        <v>2021</v>
      </c>
      <c r="E1774" s="2">
        <v>1</v>
      </c>
      <c r="F1774" s="2">
        <v>420.94</v>
      </c>
      <c r="G1774" s="2">
        <v>1110.7</v>
      </c>
      <c r="H1774" s="2" t="str">
        <f>VLOOKUP(qhkz_4dqm[[#This Row],[fuel_type]],lookup!A:B,2,FALSE)</f>
        <v>Gasoline</v>
      </c>
      <c r="I1774" s="2">
        <f ca="1">YEAR(TODAY())-qhkz_4dqm[[#This Row],[year]]</f>
        <v>5</v>
      </c>
      <c r="J1774" s="2" t="str" cm="1">
        <f t="array" aca="1" ref="J1774" ca="1">_xlfn.IFS(qhkz_4dqm[[#This Row],[vehicle_age]]&lt;=3,"Newer",qhkz_4dqm[[#This Row],[vehicle_age]]&lt;=9,"Mid-age",qhkz_4dqm[[#This Row],[vehicle_age]]&lt;=19,"Older",qhkz_4dqm[[#This Row],[vehicle_age]]&gt;=20,"Very Old")</f>
        <v>Mid-age</v>
      </c>
    </row>
    <row r="1775" spans="1:10">
      <c r="A1775" s="2">
        <v>24153340</v>
      </c>
      <c r="B1775" s="2">
        <v>2415334001</v>
      </c>
      <c r="C1775" s="2">
        <v>1</v>
      </c>
      <c r="D1775" s="2">
        <v>2007</v>
      </c>
      <c r="E1775" s="2">
        <v>1</v>
      </c>
      <c r="F1775" s="2">
        <v>1.84</v>
      </c>
      <c r="G1775" s="2">
        <v>208.33</v>
      </c>
      <c r="H1775" s="2" t="str">
        <f>VLOOKUP(qhkz_4dqm[[#This Row],[fuel_type]],lookup!A:B,2,FALSE)</f>
        <v>Gasoline</v>
      </c>
      <c r="I1775" s="2">
        <f ca="1">YEAR(TODAY())-qhkz_4dqm[[#This Row],[year]]</f>
        <v>19</v>
      </c>
      <c r="J1775" s="2" t="str" cm="1">
        <f t="array" aca="1" ref="J1775" ca="1">_xlfn.IFS(qhkz_4dqm[[#This Row],[vehicle_age]]&lt;=3,"Newer",qhkz_4dqm[[#This Row],[vehicle_age]]&lt;=9,"Mid-age",qhkz_4dqm[[#This Row],[vehicle_age]]&lt;=19,"Older",qhkz_4dqm[[#This Row],[vehicle_age]]&gt;=20,"Very Old")</f>
        <v>Older</v>
      </c>
    </row>
    <row r="1776" spans="1:10">
      <c r="A1776" s="2">
        <v>24153352</v>
      </c>
      <c r="B1776" s="2">
        <v>2415335201</v>
      </c>
      <c r="C1776" s="2">
        <v>1</v>
      </c>
      <c r="D1776" s="2">
        <v>2013</v>
      </c>
      <c r="E1776" s="2">
        <v>1</v>
      </c>
      <c r="F1776" s="2">
        <v>1166.24</v>
      </c>
      <c r="G1776" s="2">
        <v>622.03</v>
      </c>
      <c r="H1776" s="2" t="str">
        <f>VLOOKUP(qhkz_4dqm[[#This Row],[fuel_type]],lookup!A:B,2,FALSE)</f>
        <v>Gasoline</v>
      </c>
      <c r="I1776" s="2">
        <f ca="1">YEAR(TODAY())-qhkz_4dqm[[#This Row],[year]]</f>
        <v>13</v>
      </c>
      <c r="J1776" s="2" t="str" cm="1">
        <f t="array" aca="1" ref="J1776" ca="1">_xlfn.IFS(qhkz_4dqm[[#This Row],[vehicle_age]]&lt;=3,"Newer",qhkz_4dqm[[#This Row],[vehicle_age]]&lt;=9,"Mid-age",qhkz_4dqm[[#This Row],[vehicle_age]]&lt;=19,"Older",qhkz_4dqm[[#This Row],[vehicle_age]]&gt;=20,"Very Old")</f>
        <v>Older</v>
      </c>
    </row>
    <row r="1777" spans="1:10">
      <c r="A1777" s="2">
        <v>24153360</v>
      </c>
      <c r="B1777" s="2">
        <v>2415336001</v>
      </c>
      <c r="C1777" s="2">
        <v>1</v>
      </c>
      <c r="D1777" s="2">
        <v>2008</v>
      </c>
      <c r="E1777" s="2">
        <v>1</v>
      </c>
      <c r="F1777" s="2">
        <v>0.92</v>
      </c>
      <c r="G1777" s="2">
        <v>149.16</v>
      </c>
      <c r="H1777" s="2" t="str">
        <f>VLOOKUP(qhkz_4dqm[[#This Row],[fuel_type]],lookup!A:B,2,FALSE)</f>
        <v>Gasoline</v>
      </c>
      <c r="I1777" s="2">
        <f ca="1">YEAR(TODAY())-qhkz_4dqm[[#This Row],[year]]</f>
        <v>18</v>
      </c>
      <c r="J1777" s="2" t="str" cm="1">
        <f t="array" aca="1" ref="J1777" ca="1">_xlfn.IFS(qhkz_4dqm[[#This Row],[vehicle_age]]&lt;=3,"Newer",qhkz_4dqm[[#This Row],[vehicle_age]]&lt;=9,"Mid-age",qhkz_4dqm[[#This Row],[vehicle_age]]&lt;=19,"Older",qhkz_4dqm[[#This Row],[vehicle_age]]&gt;=20,"Very Old")</f>
        <v>Older</v>
      </c>
    </row>
    <row r="1778" spans="1:10">
      <c r="A1778" s="2">
        <v>24153369</v>
      </c>
      <c r="B1778" s="2">
        <v>2415336901</v>
      </c>
      <c r="C1778" s="2">
        <v>1</v>
      </c>
      <c r="D1778" s="2">
        <v>2022</v>
      </c>
      <c r="E1778" s="2">
        <v>1</v>
      </c>
      <c r="F1778" s="2">
        <v>1805.86</v>
      </c>
      <c r="G1778" s="2">
        <v>1278.58</v>
      </c>
      <c r="H1778" s="2" t="str">
        <f>VLOOKUP(qhkz_4dqm[[#This Row],[fuel_type]],lookup!A:B,2,FALSE)</f>
        <v>Gasoline</v>
      </c>
      <c r="I1778" s="2">
        <f ca="1">YEAR(TODAY())-qhkz_4dqm[[#This Row],[year]]</f>
        <v>4</v>
      </c>
      <c r="J1778" s="2" t="str" cm="1">
        <f t="array" aca="1" ref="J1778" ca="1">_xlfn.IFS(qhkz_4dqm[[#This Row],[vehicle_age]]&lt;=3,"Newer",qhkz_4dqm[[#This Row],[vehicle_age]]&lt;=9,"Mid-age",qhkz_4dqm[[#This Row],[vehicle_age]]&lt;=19,"Older",qhkz_4dqm[[#This Row],[vehicle_age]]&gt;=20,"Very Old")</f>
        <v>Mid-age</v>
      </c>
    </row>
    <row r="1779" spans="1:10">
      <c r="A1779" s="2">
        <v>24153373</v>
      </c>
      <c r="B1779" s="2">
        <v>2415337301</v>
      </c>
      <c r="C1779" s="2">
        <v>1</v>
      </c>
      <c r="D1779" s="2">
        <v>2021</v>
      </c>
      <c r="E1779" s="2">
        <v>1</v>
      </c>
      <c r="F1779" s="2">
        <v>494.7</v>
      </c>
      <c r="G1779" s="2">
        <v>677.71</v>
      </c>
      <c r="H1779" s="2" t="str">
        <f>VLOOKUP(qhkz_4dqm[[#This Row],[fuel_type]],lookup!A:B,2,FALSE)</f>
        <v>Gasoline</v>
      </c>
      <c r="I1779" s="2">
        <f ca="1">YEAR(TODAY())-qhkz_4dqm[[#This Row],[year]]</f>
        <v>5</v>
      </c>
      <c r="J1779" s="2" t="str" cm="1">
        <f t="array" aca="1" ref="J1779" ca="1">_xlfn.IFS(qhkz_4dqm[[#This Row],[vehicle_age]]&lt;=3,"Newer",qhkz_4dqm[[#This Row],[vehicle_age]]&lt;=9,"Mid-age",qhkz_4dqm[[#This Row],[vehicle_age]]&lt;=19,"Older",qhkz_4dqm[[#This Row],[vehicle_age]]&gt;=20,"Very Old")</f>
        <v>Mid-age</v>
      </c>
    </row>
    <row r="1780" spans="1:10">
      <c r="A1780" s="2">
        <v>24153376</v>
      </c>
      <c r="B1780" s="2">
        <v>2415337601</v>
      </c>
      <c r="C1780" s="2">
        <v>1</v>
      </c>
      <c r="D1780" s="2">
        <v>2023</v>
      </c>
      <c r="E1780" s="2">
        <v>1</v>
      </c>
      <c r="F1780" s="2">
        <v>1.5</v>
      </c>
      <c r="G1780" s="2">
        <v>232.01</v>
      </c>
      <c r="H1780" s="2" t="str">
        <f>VLOOKUP(qhkz_4dqm[[#This Row],[fuel_type]],lookup!A:B,2,FALSE)</f>
        <v>Gasoline</v>
      </c>
      <c r="I1780" s="2">
        <f ca="1">YEAR(TODAY())-qhkz_4dqm[[#This Row],[year]]</f>
        <v>3</v>
      </c>
      <c r="J1780" s="2" t="str" cm="1">
        <f t="array" aca="1" ref="J1780" ca="1">_xlfn.IFS(qhkz_4dqm[[#This Row],[vehicle_age]]&lt;=3,"Newer",qhkz_4dqm[[#This Row],[vehicle_age]]&lt;=9,"Mid-age",qhkz_4dqm[[#This Row],[vehicle_age]]&lt;=19,"Older",qhkz_4dqm[[#This Row],[vehicle_age]]&gt;=20,"Very Old")</f>
        <v>Newer</v>
      </c>
    </row>
    <row r="1781" spans="1:10">
      <c r="A1781" s="2">
        <v>24153385</v>
      </c>
      <c r="B1781" s="2">
        <v>2415338501</v>
      </c>
      <c r="C1781" s="2">
        <v>1</v>
      </c>
      <c r="D1781" s="2">
        <v>2022</v>
      </c>
      <c r="E1781" s="2">
        <v>1</v>
      </c>
      <c r="F1781" s="2">
        <v>1.84</v>
      </c>
      <c r="G1781" s="2">
        <v>270.97000000000003</v>
      </c>
      <c r="H1781" s="2" t="str">
        <f>VLOOKUP(qhkz_4dqm[[#This Row],[fuel_type]],lookup!A:B,2,FALSE)</f>
        <v>Gasoline</v>
      </c>
      <c r="I1781" s="2">
        <f ca="1">YEAR(TODAY())-qhkz_4dqm[[#This Row],[year]]</f>
        <v>4</v>
      </c>
      <c r="J1781" s="2" t="str" cm="1">
        <f t="array" aca="1" ref="J1781" ca="1">_xlfn.IFS(qhkz_4dqm[[#This Row],[vehicle_age]]&lt;=3,"Newer",qhkz_4dqm[[#This Row],[vehicle_age]]&lt;=9,"Mid-age",qhkz_4dqm[[#This Row],[vehicle_age]]&lt;=19,"Older",qhkz_4dqm[[#This Row],[vehicle_age]]&gt;=20,"Very Old")</f>
        <v>Mid-age</v>
      </c>
    </row>
    <row r="1782" spans="1:10">
      <c r="A1782" s="2">
        <v>24153386</v>
      </c>
      <c r="B1782" s="2">
        <v>2415338601</v>
      </c>
      <c r="C1782" s="2">
        <v>1</v>
      </c>
      <c r="D1782" s="2">
        <v>2017</v>
      </c>
      <c r="E1782" s="2">
        <v>1</v>
      </c>
      <c r="F1782" s="2">
        <v>430.81</v>
      </c>
      <c r="G1782" s="2">
        <v>592.28</v>
      </c>
      <c r="H1782" s="2" t="str">
        <f>VLOOKUP(qhkz_4dqm[[#This Row],[fuel_type]],lookup!A:B,2,FALSE)</f>
        <v>Gasoline</v>
      </c>
      <c r="I1782" s="2">
        <f ca="1">YEAR(TODAY())-qhkz_4dqm[[#This Row],[year]]</f>
        <v>9</v>
      </c>
      <c r="J1782" s="2" t="str" cm="1">
        <f t="array" aca="1" ref="J1782" ca="1">_xlfn.IFS(qhkz_4dqm[[#This Row],[vehicle_age]]&lt;=3,"Newer",qhkz_4dqm[[#This Row],[vehicle_age]]&lt;=9,"Mid-age",qhkz_4dqm[[#This Row],[vehicle_age]]&lt;=19,"Older",qhkz_4dqm[[#This Row],[vehicle_age]]&gt;=20,"Very Old")</f>
        <v>Mid-age</v>
      </c>
    </row>
    <row r="1783" spans="1:10">
      <c r="A1783" s="2">
        <v>24153388</v>
      </c>
      <c r="B1783" s="2">
        <v>2415338801</v>
      </c>
      <c r="C1783" s="2">
        <v>1</v>
      </c>
      <c r="D1783" s="2">
        <v>2018</v>
      </c>
      <c r="E1783" s="2">
        <v>1</v>
      </c>
      <c r="F1783" s="2">
        <v>0.92</v>
      </c>
      <c r="G1783" s="2">
        <v>231.74</v>
      </c>
      <c r="H1783" s="2" t="str">
        <f>VLOOKUP(qhkz_4dqm[[#This Row],[fuel_type]],lookup!A:B,2,FALSE)</f>
        <v>Gasoline</v>
      </c>
      <c r="I1783" s="2">
        <f ca="1">YEAR(TODAY())-qhkz_4dqm[[#This Row],[year]]</f>
        <v>8</v>
      </c>
      <c r="J1783" s="2" t="str" cm="1">
        <f t="array" aca="1" ref="J1783" ca="1">_xlfn.IFS(qhkz_4dqm[[#This Row],[vehicle_age]]&lt;=3,"Newer",qhkz_4dqm[[#This Row],[vehicle_age]]&lt;=9,"Mid-age",qhkz_4dqm[[#This Row],[vehicle_age]]&lt;=19,"Older",qhkz_4dqm[[#This Row],[vehicle_age]]&gt;=20,"Very Old")</f>
        <v>Mid-age</v>
      </c>
    </row>
    <row r="1784" spans="1:10">
      <c r="A1784" s="2">
        <v>24153392</v>
      </c>
      <c r="B1784" s="2">
        <v>2415339201</v>
      </c>
      <c r="C1784" s="2">
        <v>1</v>
      </c>
      <c r="D1784" s="2">
        <v>2020</v>
      </c>
      <c r="E1784" s="2">
        <v>4</v>
      </c>
      <c r="F1784" s="2">
        <v>486.01</v>
      </c>
      <c r="G1784" s="2">
        <v>217.63</v>
      </c>
      <c r="H1784" s="2" t="str">
        <f>VLOOKUP(qhkz_4dqm[[#This Row],[fuel_type]],lookup!A:B,2,FALSE)</f>
        <v>Electric</v>
      </c>
      <c r="I1784" s="2">
        <f ca="1">YEAR(TODAY())-qhkz_4dqm[[#This Row],[year]]</f>
        <v>6</v>
      </c>
      <c r="J1784" s="2" t="str" cm="1">
        <f t="array" aca="1" ref="J1784" ca="1">_xlfn.IFS(qhkz_4dqm[[#This Row],[vehicle_age]]&lt;=3,"Newer",qhkz_4dqm[[#This Row],[vehicle_age]]&lt;=9,"Mid-age",qhkz_4dqm[[#This Row],[vehicle_age]]&lt;=19,"Older",qhkz_4dqm[[#This Row],[vehicle_age]]&gt;=20,"Very Old")</f>
        <v>Mid-age</v>
      </c>
    </row>
    <row r="1785" spans="1:10">
      <c r="A1785" s="2">
        <v>24153397</v>
      </c>
      <c r="B1785" s="2">
        <v>2415339701</v>
      </c>
      <c r="C1785" s="2">
        <v>1</v>
      </c>
      <c r="D1785" s="2">
        <v>2019</v>
      </c>
      <c r="E1785" s="2">
        <v>1</v>
      </c>
      <c r="F1785" s="2">
        <v>35.04</v>
      </c>
      <c r="G1785" s="2">
        <v>340.17</v>
      </c>
      <c r="H1785" s="2" t="str">
        <f>VLOOKUP(qhkz_4dqm[[#This Row],[fuel_type]],lookup!A:B,2,FALSE)</f>
        <v>Gasoline</v>
      </c>
      <c r="I1785" s="2">
        <f ca="1">YEAR(TODAY())-qhkz_4dqm[[#This Row],[year]]</f>
        <v>7</v>
      </c>
      <c r="J1785" s="2" t="str" cm="1">
        <f t="array" aca="1" ref="J1785" ca="1">_xlfn.IFS(qhkz_4dqm[[#This Row],[vehicle_age]]&lt;=3,"Newer",qhkz_4dqm[[#This Row],[vehicle_age]]&lt;=9,"Mid-age",qhkz_4dqm[[#This Row],[vehicle_age]]&lt;=19,"Older",qhkz_4dqm[[#This Row],[vehicle_age]]&gt;=20,"Very Old")</f>
        <v>Mid-age</v>
      </c>
    </row>
  </sheetData>
  <conditionalFormatting sqref="G1785">
    <cfRule type="duplicateValues" dxfId="30" priority="2"/>
  </conditionalFormatting>
  <conditionalFormatting sqref="A1:A1048576">
    <cfRule type="duplicateValues" dxfId="29" priority="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4DAF-A78C-4AA4-84C7-08CC40BAE12D}">
  <dimension ref="E8:J9"/>
  <sheetViews>
    <sheetView showGridLines="0" tabSelected="1" zoomScale="40" zoomScaleNormal="40" workbookViewId="0">
      <selection activeCell="AH39" sqref="AH39"/>
    </sheetView>
  </sheetViews>
  <sheetFormatPr defaultRowHeight="14.25"/>
  <cols>
    <col min="5" max="5" width="17.75" customWidth="1"/>
    <col min="10" max="10" width="17.875" customWidth="1"/>
  </cols>
  <sheetData>
    <row r="8" spans="5:10" ht="19.5">
      <c r="E8" s="8">
        <f>COUNTA(Data!A2:A1785)</f>
        <v>1784</v>
      </c>
      <c r="J8" s="9">
        <f ca="1">AVERAGE(Data!I2:I1785)</f>
        <v>9.9859865470852025</v>
      </c>
    </row>
    <row r="9" spans="5:10" ht="19.5">
      <c r="E9" s="8" t="s">
        <v>24</v>
      </c>
      <c r="J9" s="8" t="s">
        <v>25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9C6F-7E4E-4618-8DC6-7BE69C71C526}">
  <dimension ref="A1:B8"/>
  <sheetViews>
    <sheetView workbookViewId="0">
      <selection activeCell="B2" sqref="B2:B8"/>
    </sheetView>
  </sheetViews>
  <sheetFormatPr defaultRowHeight="14.25"/>
  <cols>
    <col min="1" max="1" width="10.625" customWidth="1"/>
    <col min="2" max="2" width="22.875" customWidth="1"/>
  </cols>
  <sheetData>
    <row r="1" spans="1:2">
      <c r="A1" t="s">
        <v>10</v>
      </c>
      <c r="B1" t="s">
        <v>11</v>
      </c>
    </row>
    <row r="2" spans="1:2">
      <c r="A2" s="1">
        <v>1</v>
      </c>
      <c r="B2" s="1" t="s">
        <v>12</v>
      </c>
    </row>
    <row r="3" spans="1:2">
      <c r="A3" s="1">
        <v>2</v>
      </c>
      <c r="B3" s="1" t="s">
        <v>13</v>
      </c>
    </row>
    <row r="4" spans="1:2">
      <c r="A4" s="1">
        <v>3</v>
      </c>
      <c r="B4" s="1" t="s">
        <v>14</v>
      </c>
    </row>
    <row r="5" spans="1:2">
      <c r="A5" s="1">
        <v>4</v>
      </c>
      <c r="B5" s="1" t="s">
        <v>15</v>
      </c>
    </row>
    <row r="6" spans="1:2">
      <c r="A6" s="1">
        <v>5</v>
      </c>
      <c r="B6" s="1" t="s">
        <v>16</v>
      </c>
    </row>
    <row r="7" spans="1:2">
      <c r="A7" s="1">
        <v>6</v>
      </c>
      <c r="B7" s="1" t="s">
        <v>17</v>
      </c>
    </row>
    <row r="8" spans="1:2">
      <c r="A8" s="1">
        <v>7</v>
      </c>
      <c r="B8" s="1"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9701-C013-4110-A22D-4075DCE869F4}">
  <dimension ref="A3:B11"/>
  <sheetViews>
    <sheetView workbookViewId="0">
      <selection activeCell="C22" sqref="C22"/>
    </sheetView>
  </sheetViews>
  <sheetFormatPr defaultRowHeight="14.25"/>
  <cols>
    <col min="1" max="1" width="23.375" bestFit="1" customWidth="1"/>
    <col min="2" max="2" width="19.375" bestFit="1" customWidth="1"/>
  </cols>
  <sheetData>
    <row r="3" spans="1:2">
      <c r="A3" s="3" t="s">
        <v>7</v>
      </c>
      <c r="B3" t="s">
        <v>9</v>
      </c>
    </row>
    <row r="4" spans="1:2">
      <c r="A4" s="4" t="s">
        <v>12</v>
      </c>
      <c r="B4" s="5">
        <v>1622</v>
      </c>
    </row>
    <row r="5" spans="1:2">
      <c r="A5" s="4" t="s">
        <v>13</v>
      </c>
      <c r="B5" s="5">
        <v>77</v>
      </c>
    </row>
    <row r="6" spans="1:2">
      <c r="A6" s="4" t="s">
        <v>15</v>
      </c>
      <c r="B6" s="5">
        <v>57</v>
      </c>
    </row>
    <row r="7" spans="1:2">
      <c r="A7" s="4" t="s">
        <v>14</v>
      </c>
      <c r="B7" s="5">
        <v>18</v>
      </c>
    </row>
    <row r="8" spans="1:2">
      <c r="A8" s="4" t="s">
        <v>17</v>
      </c>
      <c r="B8" s="5">
        <v>5</v>
      </c>
    </row>
    <row r="9" spans="1:2">
      <c r="A9" s="4" t="s">
        <v>18</v>
      </c>
      <c r="B9" s="5">
        <v>3</v>
      </c>
    </row>
    <row r="10" spans="1:2">
      <c r="A10" s="4" t="s">
        <v>16</v>
      </c>
      <c r="B10" s="5">
        <v>2</v>
      </c>
    </row>
    <row r="11" spans="1:2">
      <c r="A11" s="4" t="s">
        <v>8</v>
      </c>
      <c r="B11" s="5">
        <v>1784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02E13-8E01-4172-AD2A-388F1C632C8E}">
  <dimension ref="A3:B11"/>
  <sheetViews>
    <sheetView workbookViewId="0">
      <selection activeCell="A2" sqref="A2"/>
    </sheetView>
  </sheetViews>
  <sheetFormatPr defaultRowHeight="14.25"/>
  <cols>
    <col min="1" max="1" width="23.375" bestFit="1" customWidth="1"/>
    <col min="2" max="2" width="23.5" bestFit="1" customWidth="1"/>
  </cols>
  <sheetData>
    <row r="3" spans="1:2">
      <c r="A3" s="3" t="s">
        <v>7</v>
      </c>
      <c r="B3" t="s">
        <v>22</v>
      </c>
    </row>
    <row r="4" spans="1:2">
      <c r="A4" s="4" t="s">
        <v>18</v>
      </c>
      <c r="B4" s="7">
        <v>16</v>
      </c>
    </row>
    <row r="5" spans="1:2">
      <c r="A5" s="4" t="s">
        <v>16</v>
      </c>
      <c r="B5" s="7">
        <v>15.5</v>
      </c>
    </row>
    <row r="6" spans="1:2">
      <c r="A6" s="4" t="s">
        <v>17</v>
      </c>
      <c r="B6" s="7">
        <v>10.6</v>
      </c>
    </row>
    <row r="7" spans="1:2">
      <c r="A7" s="4" t="s">
        <v>12</v>
      </c>
      <c r="B7" s="7">
        <v>10.354500616522811</v>
      </c>
    </row>
    <row r="8" spans="1:2">
      <c r="A8" s="4" t="s">
        <v>13</v>
      </c>
      <c r="B8" s="7">
        <v>7.0389610389610393</v>
      </c>
    </row>
    <row r="9" spans="1:2">
      <c r="A9" s="4" t="s">
        <v>15</v>
      </c>
      <c r="B9" s="7">
        <v>4.9298245614035086</v>
      </c>
    </row>
    <row r="10" spans="1:2">
      <c r="A10" s="4" t="s">
        <v>14</v>
      </c>
      <c r="B10" s="7">
        <v>3.6111111111111112</v>
      </c>
    </row>
    <row r="11" spans="1:2">
      <c r="A11" s="4" t="s">
        <v>8</v>
      </c>
      <c r="B11" s="5">
        <v>9.9859865470852025</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26BC2-3E8B-4D7E-834E-B2673AD5F5EC}">
  <dimension ref="A3:B11"/>
  <sheetViews>
    <sheetView workbookViewId="0">
      <selection activeCell="N13" sqref="N13"/>
    </sheetView>
  </sheetViews>
  <sheetFormatPr defaultRowHeight="14.25"/>
  <cols>
    <col min="1" max="1" width="23.375" bestFit="1" customWidth="1"/>
    <col min="2" max="2" width="31.5" bestFit="1" customWidth="1"/>
  </cols>
  <sheetData>
    <row r="3" spans="1:2">
      <c r="A3" s="3" t="s">
        <v>7</v>
      </c>
      <c r="B3" t="s">
        <v>23</v>
      </c>
    </row>
    <row r="4" spans="1:2">
      <c r="A4" s="4" t="s">
        <v>16</v>
      </c>
      <c r="B4" s="7">
        <v>2127.6950000000002</v>
      </c>
    </row>
    <row r="5" spans="1:2">
      <c r="A5" s="4" t="s">
        <v>12</v>
      </c>
      <c r="B5" s="7">
        <v>985.33969173859566</v>
      </c>
    </row>
    <row r="6" spans="1:2">
      <c r="A6" s="4" t="s">
        <v>17</v>
      </c>
      <c r="B6" s="7">
        <v>978.78399999999999</v>
      </c>
    </row>
    <row r="7" spans="1:2">
      <c r="A7" s="4" t="s">
        <v>13</v>
      </c>
      <c r="B7" s="7">
        <v>851.40805194805193</v>
      </c>
    </row>
    <row r="8" spans="1:2">
      <c r="A8" s="4" t="s">
        <v>15</v>
      </c>
      <c r="B8" s="7">
        <v>771.72157894736813</v>
      </c>
    </row>
    <row r="9" spans="1:2">
      <c r="A9" s="4" t="s">
        <v>14</v>
      </c>
      <c r="B9" s="7">
        <v>746.75111111111107</v>
      </c>
    </row>
    <row r="10" spans="1:2">
      <c r="A10" s="4" t="s">
        <v>18</v>
      </c>
      <c r="B10" s="7">
        <v>491.89000000000004</v>
      </c>
    </row>
    <row r="11" spans="1:2">
      <c r="A11" s="4" t="s">
        <v>8</v>
      </c>
      <c r="B11" s="5">
        <v>970.75898542600919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A82E96-4D83-4EA1-ACC0-B1DC14C47B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Dashboard</vt:lpstr>
      <vt:lpstr>lookup</vt:lpstr>
      <vt:lpstr>count_vehicle</vt:lpstr>
      <vt:lpstr>Average_age</vt:lpstr>
      <vt:lpstr>Average of hh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MATRIX</dc:creator>
  <cp:lastModifiedBy>MATRIX</cp:lastModifiedBy>
  <dcterms:created xsi:type="dcterms:W3CDTF">2015-06-05T18:17:20Z</dcterms:created>
  <dcterms:modified xsi:type="dcterms:W3CDTF">2026-08-02T17:48:38Z</dcterms:modified>
</cp:coreProperties>
</file>